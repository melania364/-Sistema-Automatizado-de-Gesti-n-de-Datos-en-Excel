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8_{713CF074-DC6E-4B12-8EA6-841CBC6EF13A}" xr6:coauthVersionLast="47" xr6:coauthVersionMax="47" xr10:uidLastSave="{00000000-0000-0000-0000-000000000000}"/>
  <bookViews>
    <workbookView xWindow="-120" yWindow="-120" windowWidth="20730" windowHeight="11310" firstSheet="1" activeTab="1" xr2:uid="{A41E98B7-D993-40A0-8E89-5B79B432138A}"/>
  </bookViews>
  <sheets>
    <sheet name="VALIDACION" sheetId="2" state="hidden" r:id="rId1"/>
    <sheet name="INICIO" sheetId="5" r:id="rId2"/>
    <sheet name="FORMULARIO" sheetId="1" r:id="rId3"/>
    <sheet name="PRUEBA" sheetId="9" state="hidden" r:id="rId4"/>
    <sheet name="BASE_DATOS" sheetId="3" r:id="rId5"/>
    <sheet name="OBSERVACIONES" sheetId="4" r:id="rId6"/>
    <sheet name="OBSERVAR" sheetId="10" state="hidden" r:id="rId7"/>
    <sheet name="BASE _LIMPIA" sheetId="7" r:id="rId8"/>
    <sheet name="CONSULTAS" sheetId="6" r:id="rId9"/>
  </sheets>
  <definedNames>
    <definedName name="_xleta.SEQUENCE" hidden="1" xlm="1">#NAME?</definedName>
    <definedName name="_xleta.TODAY" hidden="1" xlm="1">#NAME?</definedName>
    <definedName name="DatosExternos_1" localSheetId="7" hidden="1">'BASE _LIMPIA'!$B$6:$J$938</definedName>
  </definedNames>
  <calcPr calcId="191029"/>
  <pivotCaches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17" i="6" l="1" a="1"/>
  <c r="I17" i="6" s="1"/>
  <c r="I29" i="6" a="1"/>
  <c r="I29" i="6" s="1"/>
  <c r="F48" i="6"/>
  <c r="C35" i="6" a="1"/>
  <c r="C35" i="6" s="1"/>
  <c r="C51" i="6"/>
  <c r="C29" i="6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" i="4"/>
  <c r="I23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FB820F-FBB0-4A19-B99E-7C2CA6CEFBD3}" keepAlive="1" name="Consulta - Tabla4" description="Conexión a la consulta 'Tabla4' en el libro." type="5" refreshedVersion="8" background="1" saveData="1">
    <dbPr connection="Provider=Microsoft.Mashup.OleDb.1;Data Source=$Workbook$;Location=Tabla4;Extended Properties=&quot;&quot;" command="SELECT * FROM [Tabla4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<sst xmlns="http://schemas.openxmlformats.org/spreadsheetml/2006/main" count="17877" uniqueCount="1124">
  <si>
    <t>ID Registro</t>
  </si>
  <si>
    <t>Cliente</t>
  </si>
  <si>
    <t>Producto</t>
  </si>
  <si>
    <t>Fecha</t>
  </si>
  <si>
    <t>Estado</t>
  </si>
  <si>
    <t>PRODUCTOS</t>
  </si>
  <si>
    <t>Laptop HP 15</t>
  </si>
  <si>
    <t>Laptop Lenovo IdeaPad</t>
  </si>
  <si>
    <t>Laptop Dell Inspiron</t>
  </si>
  <si>
    <t>Mouse Logitech M185</t>
  </si>
  <si>
    <t>Mouse Gamer Redragon</t>
  </si>
  <si>
    <t>Teclado Mecánico Redragon</t>
  </si>
  <si>
    <t>Teclado Logitech K120</t>
  </si>
  <si>
    <t>Monitor Samsung 24"</t>
  </si>
  <si>
    <t>Monitor LG UltraWide</t>
  </si>
  <si>
    <t>Impresora Epson L3250</t>
  </si>
  <si>
    <t>Impresora HP Smart Tank</t>
  </si>
  <si>
    <t>Webcam Logitech C920</t>
  </si>
  <si>
    <t>Disco Duro Externo 1TB</t>
  </si>
  <si>
    <t>Memoria USB 64GB</t>
  </si>
  <si>
    <t>Memoria USB 128GB</t>
  </si>
  <si>
    <t>SSD Kingston 480GB</t>
  </si>
  <si>
    <t>SSD Samsung 1TB</t>
  </si>
  <si>
    <t>Memoria RAM 8GB</t>
  </si>
  <si>
    <t>Memoria RAM 16GB</t>
  </si>
  <si>
    <t>Audífonos Sony WH-CH520</t>
  </si>
  <si>
    <t>Audífonos JBL Tune 510BT</t>
  </si>
  <si>
    <t>Parlante JBL Go 3</t>
  </si>
  <si>
    <t>Silla Ergonómica</t>
  </si>
  <si>
    <t>Escritorio Office</t>
  </si>
  <si>
    <t>Router TP-Link</t>
  </si>
  <si>
    <t>Router Xiaomi AX3000</t>
  </si>
  <si>
    <t>Cámara de Seguridad Xiaomi</t>
  </si>
  <si>
    <t>Tablet Samsung Galaxy Tab</t>
  </si>
  <si>
    <t>iPad 10th Gen</t>
  </si>
  <si>
    <t>Smartphone Samsung A54</t>
  </si>
  <si>
    <t>Smartphone Xiaomi Redmi Note</t>
  </si>
  <si>
    <t>Smartphone iPhone 13</t>
  </si>
  <si>
    <t>Smartwatch Huawei GT</t>
  </si>
  <si>
    <t>Smartwatch Xiaomi Band</t>
  </si>
  <si>
    <t>Cargador USB-C</t>
  </si>
  <si>
    <t>Cable HDMI</t>
  </si>
  <si>
    <t>Cable USB Tipo C</t>
  </si>
  <si>
    <t>Base Refrigerante Laptop</t>
  </si>
  <si>
    <t>Micrófono HyperX SoloCast</t>
  </si>
  <si>
    <t>Proyector Epson</t>
  </si>
  <si>
    <t>UPS Forza 1000VA</t>
  </si>
  <si>
    <t>Regulador de Voltaje</t>
  </si>
  <si>
    <t>Switch TP-Link 8 Puertos</t>
  </si>
  <si>
    <t>Hub USB</t>
  </si>
  <si>
    <t>Lector de Código de Barras</t>
  </si>
  <si>
    <t>Etiquetadora Brother</t>
  </si>
  <si>
    <t>Docking Station USB-C</t>
  </si>
  <si>
    <t>Mini PC Intel NUC</t>
  </si>
  <si>
    <t>All-in-One HP</t>
  </si>
  <si>
    <t>Cámara Web Full HD</t>
  </si>
  <si>
    <t>ESTADO</t>
  </si>
  <si>
    <t>Pendiente</t>
  </si>
  <si>
    <t>En proceso</t>
  </si>
  <si>
    <t>Completado</t>
  </si>
  <si>
    <t>Cancelado</t>
  </si>
  <si>
    <t>Cantidad</t>
  </si>
  <si>
    <t>Región</t>
  </si>
  <si>
    <t>Observaciones</t>
  </si>
  <si>
    <t>Precio</t>
  </si>
  <si>
    <t xml:space="preserve">  </t>
  </si>
  <si>
    <t>INGRESE ID REGISTRO</t>
  </si>
  <si>
    <t>CLIENTE :</t>
  </si>
  <si>
    <t>PRODUCTO:</t>
  </si>
  <si>
    <t>FECHA:</t>
  </si>
  <si>
    <t>ESTADO:</t>
  </si>
  <si>
    <t>PRECIO :</t>
  </si>
  <si>
    <t xml:space="preserve">TOTAL </t>
  </si>
  <si>
    <t>CANTIDAD:</t>
  </si>
  <si>
    <t>Andrea Salas</t>
  </si>
  <si>
    <t>Teclado HyperX</t>
  </si>
  <si>
    <t>Insular</t>
  </si>
  <si>
    <t>Valeria Nuñez</t>
  </si>
  <si>
    <t>Tablet Samsung</t>
  </si>
  <si>
    <t>Ricardo Luna</t>
  </si>
  <si>
    <t>Mouse Logitech</t>
  </si>
  <si>
    <t>Amazonia</t>
  </si>
  <si>
    <t>Ana Torres</t>
  </si>
  <si>
    <t>Monitor Samsung</t>
  </si>
  <si>
    <t>Sierra</t>
  </si>
  <si>
    <t>Carlos Ramos</t>
  </si>
  <si>
    <t>Patricia Mora</t>
  </si>
  <si>
    <t>Lucia Mena</t>
  </si>
  <si>
    <t>Impresora Epson</t>
  </si>
  <si>
    <t>Kevin Soto</t>
  </si>
  <si>
    <t>Maria Lopez</t>
  </si>
  <si>
    <t>Jose Rivas</t>
  </si>
  <si>
    <t>Oscar Mejia</t>
  </si>
  <si>
    <t>Laura Campos</t>
  </si>
  <si>
    <t>Marco Diaz</t>
  </si>
  <si>
    <t>Camila Reyes</t>
  </si>
  <si>
    <t>Fernanda Gil</t>
  </si>
  <si>
    <t>Pedro Ruiz</t>
  </si>
  <si>
    <t>Luis Medina</t>
  </si>
  <si>
    <t>Samuel Ortiz</t>
  </si>
  <si>
    <t>Sofia Vega</t>
  </si>
  <si>
    <t>Costa</t>
  </si>
  <si>
    <t>ID-1</t>
  </si>
  <si>
    <t>ID-2</t>
  </si>
  <si>
    <t>ID-3</t>
  </si>
  <si>
    <t>ID-4</t>
  </si>
  <si>
    <t>ID-5</t>
  </si>
  <si>
    <t>ID-6</t>
  </si>
  <si>
    <t>ID-7</t>
  </si>
  <si>
    <t>ID-8</t>
  </si>
  <si>
    <t>ID-9</t>
  </si>
  <si>
    <t>ID-10</t>
  </si>
  <si>
    <t>ID-11</t>
  </si>
  <si>
    <t>ID-12</t>
  </si>
  <si>
    <t>ID-13</t>
  </si>
  <si>
    <t>ID-14</t>
  </si>
  <si>
    <t>ID-15</t>
  </si>
  <si>
    <t>ID-16</t>
  </si>
  <si>
    <t>ID-17</t>
  </si>
  <si>
    <t>ID-18</t>
  </si>
  <si>
    <t>ID-19</t>
  </si>
  <si>
    <t>ID-20</t>
  </si>
  <si>
    <t>ID-21</t>
  </si>
  <si>
    <t>ID-22</t>
  </si>
  <si>
    <t>ID-23</t>
  </si>
  <si>
    <t>ID-24</t>
  </si>
  <si>
    <t>ID-25</t>
  </si>
  <si>
    <t>ID-26</t>
  </si>
  <si>
    <t>ID-27</t>
  </si>
  <si>
    <t>ID-28</t>
  </si>
  <si>
    <t>ID-29</t>
  </si>
  <si>
    <t>ID-30</t>
  </si>
  <si>
    <t>ID-31</t>
  </si>
  <si>
    <t>ID-32</t>
  </si>
  <si>
    <t>ID-33</t>
  </si>
  <si>
    <t>ID-34</t>
  </si>
  <si>
    <t>ID-35</t>
  </si>
  <si>
    <t>ID-36</t>
  </si>
  <si>
    <t>ID-37</t>
  </si>
  <si>
    <t>ID-38</t>
  </si>
  <si>
    <t>ID-39</t>
  </si>
  <si>
    <t>ID-40</t>
  </si>
  <si>
    <t>ID-41</t>
  </si>
  <si>
    <t>ID-42</t>
  </si>
  <si>
    <t>ID-43</t>
  </si>
  <si>
    <t>ID-44</t>
  </si>
  <si>
    <t>ID-45</t>
  </si>
  <si>
    <t>ID-46</t>
  </si>
  <si>
    <t>ID-47</t>
  </si>
  <si>
    <t>ID-48</t>
  </si>
  <si>
    <t>ID-49</t>
  </si>
  <si>
    <t>ID-50</t>
  </si>
  <si>
    <t>ID-51</t>
  </si>
  <si>
    <t>ID-52</t>
  </si>
  <si>
    <t>ID-53</t>
  </si>
  <si>
    <t>ID-54</t>
  </si>
  <si>
    <t>ID-55</t>
  </si>
  <si>
    <t>ID-56</t>
  </si>
  <si>
    <t>ID-57</t>
  </si>
  <si>
    <t>ID-58</t>
  </si>
  <si>
    <t>ID-59</t>
  </si>
  <si>
    <t>ID-60</t>
  </si>
  <si>
    <t>ID-61</t>
  </si>
  <si>
    <t>ID-62</t>
  </si>
  <si>
    <t>ID-63</t>
  </si>
  <si>
    <t>ID-64</t>
  </si>
  <si>
    <t>ID-65</t>
  </si>
  <si>
    <t>ID-66</t>
  </si>
  <si>
    <t>ID-67</t>
  </si>
  <si>
    <t>ID-68</t>
  </si>
  <si>
    <t>ID-69</t>
  </si>
  <si>
    <t>ID-70</t>
  </si>
  <si>
    <t>ID-71</t>
  </si>
  <si>
    <t>ID-72</t>
  </si>
  <si>
    <t>ID-73</t>
  </si>
  <si>
    <t>ID-74</t>
  </si>
  <si>
    <t>ID-75</t>
  </si>
  <si>
    <t>ID-76</t>
  </si>
  <si>
    <t>ID-77</t>
  </si>
  <si>
    <t>ID-78</t>
  </si>
  <si>
    <t>ID-79</t>
  </si>
  <si>
    <t>ID-80</t>
  </si>
  <si>
    <t>ID-81</t>
  </si>
  <si>
    <t>ID-82</t>
  </si>
  <si>
    <t>ID-83</t>
  </si>
  <si>
    <t>ID-84</t>
  </si>
  <si>
    <t>ID-85</t>
  </si>
  <si>
    <t>ID-86</t>
  </si>
  <si>
    <t>ID-87</t>
  </si>
  <si>
    <t>ID-88</t>
  </si>
  <si>
    <t>ID-89</t>
  </si>
  <si>
    <t>ID-90</t>
  </si>
  <si>
    <t>ID-91</t>
  </si>
  <si>
    <t>ID-92</t>
  </si>
  <si>
    <t>ID-93</t>
  </si>
  <si>
    <t>ID-94</t>
  </si>
  <si>
    <t>ID-95</t>
  </si>
  <si>
    <t>ID-96</t>
  </si>
  <si>
    <t>ID-97</t>
  </si>
  <si>
    <t>ID-98</t>
  </si>
  <si>
    <t>ID-99</t>
  </si>
  <si>
    <t>ID-100</t>
  </si>
  <si>
    <t>X</t>
  </si>
  <si>
    <t>ID-101</t>
  </si>
  <si>
    <t>ID-102</t>
  </si>
  <si>
    <t>ID-103</t>
  </si>
  <si>
    <t>ID-104</t>
  </si>
  <si>
    <t>ID-105</t>
  </si>
  <si>
    <t>ID-106</t>
  </si>
  <si>
    <t>ID-107</t>
  </si>
  <si>
    <t>ID-108</t>
  </si>
  <si>
    <t>ID-109</t>
  </si>
  <si>
    <t>ID-110</t>
  </si>
  <si>
    <t>ID-111</t>
  </si>
  <si>
    <t>ID-112</t>
  </si>
  <si>
    <t>ID-113</t>
  </si>
  <si>
    <t>ID-114</t>
  </si>
  <si>
    <t>ID-115</t>
  </si>
  <si>
    <t>ID-116</t>
  </si>
  <si>
    <t>ID-117</t>
  </si>
  <si>
    <t>ID-118</t>
  </si>
  <si>
    <t>ID-119</t>
  </si>
  <si>
    <t>ID-120</t>
  </si>
  <si>
    <t>ID-121</t>
  </si>
  <si>
    <t>ID-122</t>
  </si>
  <si>
    <t>ID-123</t>
  </si>
  <si>
    <t>ID-124</t>
  </si>
  <si>
    <t>ID-125</t>
  </si>
  <si>
    <t>ID-126</t>
  </si>
  <si>
    <t>ID-127</t>
  </si>
  <si>
    <t>ID-128</t>
  </si>
  <si>
    <t>ID-129</t>
  </si>
  <si>
    <t>ID-130</t>
  </si>
  <si>
    <t>ID-131</t>
  </si>
  <si>
    <t>ID-132</t>
  </si>
  <si>
    <t>ID-133</t>
  </si>
  <si>
    <t>ID-134</t>
  </si>
  <si>
    <t>ID-135</t>
  </si>
  <si>
    <t>ID-136</t>
  </si>
  <si>
    <t>ID-137</t>
  </si>
  <si>
    <t>ID-138</t>
  </si>
  <si>
    <t>ID-139</t>
  </si>
  <si>
    <t>ID-140</t>
  </si>
  <si>
    <t>ID-141</t>
  </si>
  <si>
    <t>ID-142</t>
  </si>
  <si>
    <t>ID-143</t>
  </si>
  <si>
    <t>ID-144</t>
  </si>
  <si>
    <t>ID-145</t>
  </si>
  <si>
    <t>ID-146</t>
  </si>
  <si>
    <t>ID-147</t>
  </si>
  <si>
    <t>ID-148</t>
  </si>
  <si>
    <t>ID-149</t>
  </si>
  <si>
    <t>ID-150</t>
  </si>
  <si>
    <t>ID-151</t>
  </si>
  <si>
    <t>ID-152</t>
  </si>
  <si>
    <t>ID-153</t>
  </si>
  <si>
    <t>ID-154</t>
  </si>
  <si>
    <t>ID-155</t>
  </si>
  <si>
    <t>ID-156</t>
  </si>
  <si>
    <t>ID-157</t>
  </si>
  <si>
    <t>ID-158</t>
  </si>
  <si>
    <t>ID-159</t>
  </si>
  <si>
    <t>ID-160</t>
  </si>
  <si>
    <t>ID-161</t>
  </si>
  <si>
    <t>ID-162</t>
  </si>
  <si>
    <t>ID-163</t>
  </si>
  <si>
    <t>ID-164</t>
  </si>
  <si>
    <t>ID-165</t>
  </si>
  <si>
    <t>ID-166</t>
  </si>
  <si>
    <t>ID-167</t>
  </si>
  <si>
    <t>ID-168</t>
  </si>
  <si>
    <t>ID-169</t>
  </si>
  <si>
    <t>ID-170</t>
  </si>
  <si>
    <t>ID-171</t>
  </si>
  <si>
    <t>ID-172</t>
  </si>
  <si>
    <t>ID-173</t>
  </si>
  <si>
    <t>ID-174</t>
  </si>
  <si>
    <t>ID-175</t>
  </si>
  <si>
    <t>ID-176</t>
  </si>
  <si>
    <t>ID-177</t>
  </si>
  <si>
    <t>ID-178</t>
  </si>
  <si>
    <t>ID-179</t>
  </si>
  <si>
    <t>ID-180</t>
  </si>
  <si>
    <t>ID-181</t>
  </si>
  <si>
    <t>ID-182</t>
  </si>
  <si>
    <t>ID-183</t>
  </si>
  <si>
    <t>ID-184</t>
  </si>
  <si>
    <t>ID-185</t>
  </si>
  <si>
    <t>ID-186</t>
  </si>
  <si>
    <t>ID-187</t>
  </si>
  <si>
    <t>ID-188</t>
  </si>
  <si>
    <t>ID-189</t>
  </si>
  <si>
    <t>ID-190</t>
  </si>
  <si>
    <t>ID-191</t>
  </si>
  <si>
    <t>ID-192</t>
  </si>
  <si>
    <t>ID-193</t>
  </si>
  <si>
    <t>ID-194</t>
  </si>
  <si>
    <t>ID-195</t>
  </si>
  <si>
    <t>ID-196</t>
  </si>
  <si>
    <t>ID-197</t>
  </si>
  <si>
    <t>ID-198</t>
  </si>
  <si>
    <t>ID-199</t>
  </si>
  <si>
    <t>ID-200</t>
  </si>
  <si>
    <t>ID-201</t>
  </si>
  <si>
    <t>ID-202</t>
  </si>
  <si>
    <t>ID-203</t>
  </si>
  <si>
    <t>ID-204</t>
  </si>
  <si>
    <t>ID-205</t>
  </si>
  <si>
    <t>ID-206</t>
  </si>
  <si>
    <t>ID-207</t>
  </si>
  <si>
    <t>ID-208</t>
  </si>
  <si>
    <t>ID-209</t>
  </si>
  <si>
    <t>ID-210</t>
  </si>
  <si>
    <t>ID-211</t>
  </si>
  <si>
    <t>ID-212</t>
  </si>
  <si>
    <t>ID-213</t>
  </si>
  <si>
    <t>ID-214</t>
  </si>
  <si>
    <t>ID-215</t>
  </si>
  <si>
    <t>ID-216</t>
  </si>
  <si>
    <t>ID-217</t>
  </si>
  <si>
    <t>ID-218</t>
  </si>
  <si>
    <t>ID-219</t>
  </si>
  <si>
    <t>ID-220</t>
  </si>
  <si>
    <t>ID-221</t>
  </si>
  <si>
    <t>ID-222</t>
  </si>
  <si>
    <t>ID-223</t>
  </si>
  <si>
    <t>ID-224</t>
  </si>
  <si>
    <t>ID-225</t>
  </si>
  <si>
    <t>ID-226</t>
  </si>
  <si>
    <t>ID-227</t>
  </si>
  <si>
    <t>ID-228</t>
  </si>
  <si>
    <t>ID-229</t>
  </si>
  <si>
    <t>ID-230</t>
  </si>
  <si>
    <t>ID-231</t>
  </si>
  <si>
    <t>ID-232</t>
  </si>
  <si>
    <t>ID-233</t>
  </si>
  <si>
    <t>ID-234</t>
  </si>
  <si>
    <t>ID-235</t>
  </si>
  <si>
    <t>ID-236</t>
  </si>
  <si>
    <t>ID-237</t>
  </si>
  <si>
    <t>ID-238</t>
  </si>
  <si>
    <t>ID-239</t>
  </si>
  <si>
    <t>ID-240</t>
  </si>
  <si>
    <t>ID-241</t>
  </si>
  <si>
    <t>ID-242</t>
  </si>
  <si>
    <t>ID-243</t>
  </si>
  <si>
    <t>ID-244</t>
  </si>
  <si>
    <t>ID-245</t>
  </si>
  <si>
    <t>ID-246</t>
  </si>
  <si>
    <t>ID-247</t>
  </si>
  <si>
    <t>ID-248</t>
  </si>
  <si>
    <t>ID-249</t>
  </si>
  <si>
    <t>ID-250</t>
  </si>
  <si>
    <t>ID-251</t>
  </si>
  <si>
    <t>ID-252</t>
  </si>
  <si>
    <t>ID-253</t>
  </si>
  <si>
    <t>ID-254</t>
  </si>
  <si>
    <t>ID-255</t>
  </si>
  <si>
    <t>ID-256</t>
  </si>
  <si>
    <t>ID-257</t>
  </si>
  <si>
    <t>ID-258</t>
  </si>
  <si>
    <t>ID-259</t>
  </si>
  <si>
    <t>ID-260</t>
  </si>
  <si>
    <t>ID-261</t>
  </si>
  <si>
    <t>ID-262</t>
  </si>
  <si>
    <t>ID-263</t>
  </si>
  <si>
    <t>ID-264</t>
  </si>
  <si>
    <t>ID-265</t>
  </si>
  <si>
    <t>ID-266</t>
  </si>
  <si>
    <t>ID-267</t>
  </si>
  <si>
    <t>ID-268</t>
  </si>
  <si>
    <t>ID-269</t>
  </si>
  <si>
    <t>ID-270</t>
  </si>
  <si>
    <t>ID-271</t>
  </si>
  <si>
    <t>ID-272</t>
  </si>
  <si>
    <t>ID-273</t>
  </si>
  <si>
    <t>ID-274</t>
  </si>
  <si>
    <t>ID-275</t>
  </si>
  <si>
    <t>ID-276</t>
  </si>
  <si>
    <t>ID-277</t>
  </si>
  <si>
    <t>ID-278</t>
  </si>
  <si>
    <t>ID-279</t>
  </si>
  <si>
    <t>ID-280</t>
  </si>
  <si>
    <t>ID-281</t>
  </si>
  <si>
    <t>ID-282</t>
  </si>
  <si>
    <t>ID-283</t>
  </si>
  <si>
    <t>ID-284</t>
  </si>
  <si>
    <t>ID-285</t>
  </si>
  <si>
    <t>ID-286</t>
  </si>
  <si>
    <t>ID-287</t>
  </si>
  <si>
    <t>ID-288</t>
  </si>
  <si>
    <t>ID-289</t>
  </si>
  <si>
    <t>ID-290</t>
  </si>
  <si>
    <t>ID-291</t>
  </si>
  <si>
    <t>ID-292</t>
  </si>
  <si>
    <t>ID-293</t>
  </si>
  <si>
    <t>ID-294</t>
  </si>
  <si>
    <t>ID-295</t>
  </si>
  <si>
    <t>ID-296</t>
  </si>
  <si>
    <t>ID-297</t>
  </si>
  <si>
    <t>ID-298</t>
  </si>
  <si>
    <t>ID-299</t>
  </si>
  <si>
    <t>ID-300</t>
  </si>
  <si>
    <t>ID-301</t>
  </si>
  <si>
    <t>ID-302</t>
  </si>
  <si>
    <t>ID-303</t>
  </si>
  <si>
    <t>ID-304</t>
  </si>
  <si>
    <t>ID-305</t>
  </si>
  <si>
    <t>ID-306</t>
  </si>
  <si>
    <t>ID-307</t>
  </si>
  <si>
    <t>ID-308</t>
  </si>
  <si>
    <t>ID-309</t>
  </si>
  <si>
    <t>ID-310</t>
  </si>
  <si>
    <t>ID-311</t>
  </si>
  <si>
    <t>ID-312</t>
  </si>
  <si>
    <t>ID-313</t>
  </si>
  <si>
    <t>ID-314</t>
  </si>
  <si>
    <t>ID-315</t>
  </si>
  <si>
    <t>ID-316</t>
  </si>
  <si>
    <t>ID-317</t>
  </si>
  <si>
    <t>ID-318</t>
  </si>
  <si>
    <t>ID-319</t>
  </si>
  <si>
    <t>ID-320</t>
  </si>
  <si>
    <t>ID-321</t>
  </si>
  <si>
    <t>ID-322</t>
  </si>
  <si>
    <t>ID-323</t>
  </si>
  <si>
    <t>ID-324</t>
  </si>
  <si>
    <t>ID-325</t>
  </si>
  <si>
    <t>ID-326</t>
  </si>
  <si>
    <t>ID-327</t>
  </si>
  <si>
    <t>ID-328</t>
  </si>
  <si>
    <t>ID-329</t>
  </si>
  <si>
    <t>ID-330</t>
  </si>
  <si>
    <t>ID-331</t>
  </si>
  <si>
    <t>ID-332</t>
  </si>
  <si>
    <t>ID-333</t>
  </si>
  <si>
    <t>ID-334</t>
  </si>
  <si>
    <t>ID-335</t>
  </si>
  <si>
    <t>ID-336</t>
  </si>
  <si>
    <t>ID-337</t>
  </si>
  <si>
    <t>ID-338</t>
  </si>
  <si>
    <t>ID-339</t>
  </si>
  <si>
    <t>ID-340</t>
  </si>
  <si>
    <t>ID-341</t>
  </si>
  <si>
    <t>ID-342</t>
  </si>
  <si>
    <t>ID-343</t>
  </si>
  <si>
    <t>ID-344</t>
  </si>
  <si>
    <t>ID-345</t>
  </si>
  <si>
    <t>ID-346</t>
  </si>
  <si>
    <t>ID-347</t>
  </si>
  <si>
    <t>ID-348</t>
  </si>
  <si>
    <t>ID-349</t>
  </si>
  <si>
    <t>ID-350</t>
  </si>
  <si>
    <t>ID-351</t>
  </si>
  <si>
    <t>ID-352</t>
  </si>
  <si>
    <t>ID-353</t>
  </si>
  <si>
    <t>ID-354</t>
  </si>
  <si>
    <t>ID-355</t>
  </si>
  <si>
    <t>ID-356</t>
  </si>
  <si>
    <t>ID-357</t>
  </si>
  <si>
    <t>ID-358</t>
  </si>
  <si>
    <t>ID-359</t>
  </si>
  <si>
    <t>ID-360</t>
  </si>
  <si>
    <t>ID-361</t>
  </si>
  <si>
    <t>ID-362</t>
  </si>
  <si>
    <t>ID-363</t>
  </si>
  <si>
    <t>ID-364</t>
  </si>
  <si>
    <t>ID-365</t>
  </si>
  <si>
    <t>ID-366</t>
  </si>
  <si>
    <t>ID-367</t>
  </si>
  <si>
    <t>ID-368</t>
  </si>
  <si>
    <t>ID-369</t>
  </si>
  <si>
    <t>ID-370</t>
  </si>
  <si>
    <t>ID-371</t>
  </si>
  <si>
    <t>ID-372</t>
  </si>
  <si>
    <t>ID-373</t>
  </si>
  <si>
    <t>ID-374</t>
  </si>
  <si>
    <t>ID-375</t>
  </si>
  <si>
    <t>ID-376</t>
  </si>
  <si>
    <t>ID-377</t>
  </si>
  <si>
    <t>ID-378</t>
  </si>
  <si>
    <t>ID-379</t>
  </si>
  <si>
    <t>ID-380</t>
  </si>
  <si>
    <t>ID-381</t>
  </si>
  <si>
    <t>ID-382</t>
  </si>
  <si>
    <t>ID-383</t>
  </si>
  <si>
    <t>ID-384</t>
  </si>
  <si>
    <t>ID-385</t>
  </si>
  <si>
    <t>ID-386</t>
  </si>
  <si>
    <t>ID-387</t>
  </si>
  <si>
    <t>ID-388</t>
  </si>
  <si>
    <t>ID-389</t>
  </si>
  <si>
    <t>ID-390</t>
  </si>
  <si>
    <t>ID-391</t>
  </si>
  <si>
    <t>ID-392</t>
  </si>
  <si>
    <t>ID-393</t>
  </si>
  <si>
    <t>ID-394</t>
  </si>
  <si>
    <t>ID-395</t>
  </si>
  <si>
    <t>ID-396</t>
  </si>
  <si>
    <t>ID-397</t>
  </si>
  <si>
    <t>ID-398</t>
  </si>
  <si>
    <t>ID-399</t>
  </si>
  <si>
    <t>ID-400</t>
  </si>
  <si>
    <t>ID-401</t>
  </si>
  <si>
    <t>ID-402</t>
  </si>
  <si>
    <t>ID-403</t>
  </si>
  <si>
    <t>ID-404</t>
  </si>
  <si>
    <t>ID-405</t>
  </si>
  <si>
    <t>ID-406</t>
  </si>
  <si>
    <t>ID-407</t>
  </si>
  <si>
    <t>ID-408</t>
  </si>
  <si>
    <t>ID-409</t>
  </si>
  <si>
    <t>ID-410</t>
  </si>
  <si>
    <t>ID-411</t>
  </si>
  <si>
    <t>ID-412</t>
  </si>
  <si>
    <t>ID-413</t>
  </si>
  <si>
    <t>ID-414</t>
  </si>
  <si>
    <t>ID-415</t>
  </si>
  <si>
    <t>ID-416</t>
  </si>
  <si>
    <t>ID-417</t>
  </si>
  <si>
    <t>ID-418</t>
  </si>
  <si>
    <t>ID-419</t>
  </si>
  <si>
    <t>ID-420</t>
  </si>
  <si>
    <t>ID-421</t>
  </si>
  <si>
    <t>ID-422</t>
  </si>
  <si>
    <t>ID-423</t>
  </si>
  <si>
    <t>ID-424</t>
  </si>
  <si>
    <t>ID-425</t>
  </si>
  <si>
    <t>ID-426</t>
  </si>
  <si>
    <t>ID-427</t>
  </si>
  <si>
    <t>ID-428</t>
  </si>
  <si>
    <t>ID-429</t>
  </si>
  <si>
    <t>ID-430</t>
  </si>
  <si>
    <t>ID-431</t>
  </si>
  <si>
    <t>ID-432</t>
  </si>
  <si>
    <t>ID-433</t>
  </si>
  <si>
    <t>ID-434</t>
  </si>
  <si>
    <t>ID-435</t>
  </si>
  <si>
    <t>ID-436</t>
  </si>
  <si>
    <t>ID-437</t>
  </si>
  <si>
    <t>ID-438</t>
  </si>
  <si>
    <t>ID-439</t>
  </si>
  <si>
    <t>ID-440</t>
  </si>
  <si>
    <t>ID-441</t>
  </si>
  <si>
    <t>ID-442</t>
  </si>
  <si>
    <t>ID-443</t>
  </si>
  <si>
    <t>ID-444</t>
  </si>
  <si>
    <t>ID-445</t>
  </si>
  <si>
    <t>ID-446</t>
  </si>
  <si>
    <t>ID-447</t>
  </si>
  <si>
    <t>ID-448</t>
  </si>
  <si>
    <t>ID-449</t>
  </si>
  <si>
    <t>ID-450</t>
  </si>
  <si>
    <t>ID-451</t>
  </si>
  <si>
    <t>ID-452</t>
  </si>
  <si>
    <t>ID-453</t>
  </si>
  <si>
    <t>ID-454</t>
  </si>
  <si>
    <t>ID-455</t>
  </si>
  <si>
    <t>ID-456</t>
  </si>
  <si>
    <t>ID-457</t>
  </si>
  <si>
    <t>ID-458</t>
  </si>
  <si>
    <t>ID-459</t>
  </si>
  <si>
    <t>ID-460</t>
  </si>
  <si>
    <t>ID-461</t>
  </si>
  <si>
    <t>ID-462</t>
  </si>
  <si>
    <t>ID-463</t>
  </si>
  <si>
    <t>ID-464</t>
  </si>
  <si>
    <t>ID-465</t>
  </si>
  <si>
    <t>ID-466</t>
  </si>
  <si>
    <t>ID-467</t>
  </si>
  <si>
    <t>ID-468</t>
  </si>
  <si>
    <t>ID-469</t>
  </si>
  <si>
    <t>ID-470</t>
  </si>
  <si>
    <t>ID-471</t>
  </si>
  <si>
    <t>ID-472</t>
  </si>
  <si>
    <t>ID-473</t>
  </si>
  <si>
    <t>ID-474</t>
  </si>
  <si>
    <t>ID-475</t>
  </si>
  <si>
    <t>ID-476</t>
  </si>
  <si>
    <t>ID-477</t>
  </si>
  <si>
    <t>ID-478</t>
  </si>
  <si>
    <t>ID-479</t>
  </si>
  <si>
    <t>ID-480</t>
  </si>
  <si>
    <t>ID-481</t>
  </si>
  <si>
    <t>ID-482</t>
  </si>
  <si>
    <t>ID-483</t>
  </si>
  <si>
    <t>ID-484</t>
  </si>
  <si>
    <t>ID-485</t>
  </si>
  <si>
    <t>ID-486</t>
  </si>
  <si>
    <t>ID-487</t>
  </si>
  <si>
    <t>ID-488</t>
  </si>
  <si>
    <t>ID-489</t>
  </si>
  <si>
    <t>ID-490</t>
  </si>
  <si>
    <t>ID-491</t>
  </si>
  <si>
    <t>ID-492</t>
  </si>
  <si>
    <t>ID-493</t>
  </si>
  <si>
    <t>ID-494</t>
  </si>
  <si>
    <t>ID-495</t>
  </si>
  <si>
    <t>ID-496</t>
  </si>
  <si>
    <t>ID-497</t>
  </si>
  <si>
    <t>ID-498</t>
  </si>
  <si>
    <t>ID-499</t>
  </si>
  <si>
    <t>ID-500</t>
  </si>
  <si>
    <t>ID-501</t>
  </si>
  <si>
    <t>ID-502</t>
  </si>
  <si>
    <t>ID-503</t>
  </si>
  <si>
    <t>ID-504</t>
  </si>
  <si>
    <t>ID-505</t>
  </si>
  <si>
    <t>ID-506</t>
  </si>
  <si>
    <t>ID-507</t>
  </si>
  <si>
    <t>ID-508</t>
  </si>
  <si>
    <t>ID-509</t>
  </si>
  <si>
    <t>ID-510</t>
  </si>
  <si>
    <t>ID-511</t>
  </si>
  <si>
    <t>ID-512</t>
  </si>
  <si>
    <t>ID-513</t>
  </si>
  <si>
    <t>ID-514</t>
  </si>
  <si>
    <t>ID-515</t>
  </si>
  <si>
    <t>ID-516</t>
  </si>
  <si>
    <t>ID-517</t>
  </si>
  <si>
    <t>ID-518</t>
  </si>
  <si>
    <t>ID-519</t>
  </si>
  <si>
    <t>ID-520</t>
  </si>
  <si>
    <t>ID-521</t>
  </si>
  <si>
    <t>ID-522</t>
  </si>
  <si>
    <t>ID-523</t>
  </si>
  <si>
    <t>ID-524</t>
  </si>
  <si>
    <t>ID-525</t>
  </si>
  <si>
    <t>ID-526</t>
  </si>
  <si>
    <t>ID-527</t>
  </si>
  <si>
    <t>ID-528</t>
  </si>
  <si>
    <t>ID-529</t>
  </si>
  <si>
    <t>ID-530</t>
  </si>
  <si>
    <t>ID-531</t>
  </si>
  <si>
    <t>ID-532</t>
  </si>
  <si>
    <t>ID-533</t>
  </si>
  <si>
    <t>ID-534</t>
  </si>
  <si>
    <t>ID-535</t>
  </si>
  <si>
    <t>ID-536</t>
  </si>
  <si>
    <t>ID-537</t>
  </si>
  <si>
    <t>ID-538</t>
  </si>
  <si>
    <t>ID-539</t>
  </si>
  <si>
    <t>ID-540</t>
  </si>
  <si>
    <t>ID-541</t>
  </si>
  <si>
    <t>ID-542</t>
  </si>
  <si>
    <t>ID-543</t>
  </si>
  <si>
    <t>ID-544</t>
  </si>
  <si>
    <t>ID-545</t>
  </si>
  <si>
    <t>ID-546</t>
  </si>
  <si>
    <t>ID-547</t>
  </si>
  <si>
    <t>ID-548</t>
  </si>
  <si>
    <t>ID-549</t>
  </si>
  <si>
    <t>ID-550</t>
  </si>
  <si>
    <t>ID-551</t>
  </si>
  <si>
    <t>ID-552</t>
  </si>
  <si>
    <t>ID-553</t>
  </si>
  <si>
    <t>ID-554</t>
  </si>
  <si>
    <t>ID-555</t>
  </si>
  <si>
    <t>ID-556</t>
  </si>
  <si>
    <t>ID-557</t>
  </si>
  <si>
    <t>ID-558</t>
  </si>
  <si>
    <t>ID-559</t>
  </si>
  <si>
    <t>ID-560</t>
  </si>
  <si>
    <t>ID-561</t>
  </si>
  <si>
    <t>ID-562</t>
  </si>
  <si>
    <t>ID-563</t>
  </si>
  <si>
    <t>ID-564</t>
  </si>
  <si>
    <t>ID-565</t>
  </si>
  <si>
    <t>ID-566</t>
  </si>
  <si>
    <t>ID-567</t>
  </si>
  <si>
    <t>ID-568</t>
  </si>
  <si>
    <t>ID-569</t>
  </si>
  <si>
    <t>ID-570</t>
  </si>
  <si>
    <t>ID-571</t>
  </si>
  <si>
    <t>ID-572</t>
  </si>
  <si>
    <t>ID-573</t>
  </si>
  <si>
    <t>ID-574</t>
  </si>
  <si>
    <t>ID-575</t>
  </si>
  <si>
    <t>ID-576</t>
  </si>
  <si>
    <t>ID-577</t>
  </si>
  <si>
    <t>ID-578</t>
  </si>
  <si>
    <t>ID-579</t>
  </si>
  <si>
    <t>ID-580</t>
  </si>
  <si>
    <t>ID-581</t>
  </si>
  <si>
    <t>ID-582</t>
  </si>
  <si>
    <t>ID-583</t>
  </si>
  <si>
    <t>ID-584</t>
  </si>
  <si>
    <t>ID-585</t>
  </si>
  <si>
    <t>ID-586</t>
  </si>
  <si>
    <t>ID-587</t>
  </si>
  <si>
    <t>ID-588</t>
  </si>
  <si>
    <t>ID-589</t>
  </si>
  <si>
    <t>ID-590</t>
  </si>
  <si>
    <t>ID-591</t>
  </si>
  <si>
    <t>ID-592</t>
  </si>
  <si>
    <t>ID-593</t>
  </si>
  <si>
    <t>ID-594</t>
  </si>
  <si>
    <t>ID-595</t>
  </si>
  <si>
    <t>ID-596</t>
  </si>
  <si>
    <t>ID-597</t>
  </si>
  <si>
    <t>ID-598</t>
  </si>
  <si>
    <t>ID-599</t>
  </si>
  <si>
    <t>ID-600</t>
  </si>
  <si>
    <t>ID-601</t>
  </si>
  <si>
    <t>ID-602</t>
  </si>
  <si>
    <t>ID-603</t>
  </si>
  <si>
    <t>ID-604</t>
  </si>
  <si>
    <t>ID-605</t>
  </si>
  <si>
    <t>ID-606</t>
  </si>
  <si>
    <t>ID-607</t>
  </si>
  <si>
    <t>ID-608</t>
  </si>
  <si>
    <t>ID-609</t>
  </si>
  <si>
    <t>ID-610</t>
  </si>
  <si>
    <t>ID-611</t>
  </si>
  <si>
    <t>ID-612</t>
  </si>
  <si>
    <t>ID-613</t>
  </si>
  <si>
    <t>ID-614</t>
  </si>
  <si>
    <t>ID-615</t>
  </si>
  <si>
    <t>ID-616</t>
  </si>
  <si>
    <t>ID-617</t>
  </si>
  <si>
    <t>ID-618</t>
  </si>
  <si>
    <t>ID-619</t>
  </si>
  <si>
    <t>ID-620</t>
  </si>
  <si>
    <t>ID-621</t>
  </si>
  <si>
    <t>ID-622</t>
  </si>
  <si>
    <t>ID-623</t>
  </si>
  <si>
    <t>ID-624</t>
  </si>
  <si>
    <t>ID-625</t>
  </si>
  <si>
    <t>ID-626</t>
  </si>
  <si>
    <t>ID-627</t>
  </si>
  <si>
    <t>ID-628</t>
  </si>
  <si>
    <t>ID-629</t>
  </si>
  <si>
    <t>ID-630</t>
  </si>
  <si>
    <t>ID-631</t>
  </si>
  <si>
    <t>ID-632</t>
  </si>
  <si>
    <t>ID-633</t>
  </si>
  <si>
    <t>ID-634</t>
  </si>
  <si>
    <t>ID-635</t>
  </si>
  <si>
    <t>ID-636</t>
  </si>
  <si>
    <t>ID-637</t>
  </si>
  <si>
    <t>ID-638</t>
  </si>
  <si>
    <t>ID-639</t>
  </si>
  <si>
    <t>ID-640</t>
  </si>
  <si>
    <t>ID-641</t>
  </si>
  <si>
    <t>ID-642</t>
  </si>
  <si>
    <t>ID-643</t>
  </si>
  <si>
    <t>ID-644</t>
  </si>
  <si>
    <t>ID-645</t>
  </si>
  <si>
    <t>ID-646</t>
  </si>
  <si>
    <t>ID-647</t>
  </si>
  <si>
    <t>ID-648</t>
  </si>
  <si>
    <t>ID-649</t>
  </si>
  <si>
    <t>ID-650</t>
  </si>
  <si>
    <t>ID-651</t>
  </si>
  <si>
    <t>ID-652</t>
  </si>
  <si>
    <t>ID-653</t>
  </si>
  <si>
    <t>ID-654</t>
  </si>
  <si>
    <t>ID-655</t>
  </si>
  <si>
    <t>ID-656</t>
  </si>
  <si>
    <t>ID-657</t>
  </si>
  <si>
    <t>ID-658</t>
  </si>
  <si>
    <t>ID-659</t>
  </si>
  <si>
    <t>ID-660</t>
  </si>
  <si>
    <t>ID-661</t>
  </si>
  <si>
    <t>ID-662</t>
  </si>
  <si>
    <t>ID-663</t>
  </si>
  <si>
    <t>ID-664</t>
  </si>
  <si>
    <t>ID-665</t>
  </si>
  <si>
    <t>ID-666</t>
  </si>
  <si>
    <t>ID-667</t>
  </si>
  <si>
    <t>ID-668</t>
  </si>
  <si>
    <t>ID-669</t>
  </si>
  <si>
    <t>ID-670</t>
  </si>
  <si>
    <t>ID-671</t>
  </si>
  <si>
    <t>ID-672</t>
  </si>
  <si>
    <t>ID-673</t>
  </si>
  <si>
    <t>ID-674</t>
  </si>
  <si>
    <t>ID-675</t>
  </si>
  <si>
    <t>ID-676</t>
  </si>
  <si>
    <t>ID-677</t>
  </si>
  <si>
    <t>ID-678</t>
  </si>
  <si>
    <t>ID-679</t>
  </si>
  <si>
    <t>ID-680</t>
  </si>
  <si>
    <t>ID-681</t>
  </si>
  <si>
    <t>ID-682</t>
  </si>
  <si>
    <t>ID-683</t>
  </si>
  <si>
    <t>ID-684</t>
  </si>
  <si>
    <t>ID-685</t>
  </si>
  <si>
    <t>ID-686</t>
  </si>
  <si>
    <t>ID-687</t>
  </si>
  <si>
    <t>ID-688</t>
  </si>
  <si>
    <t>ID-689</t>
  </si>
  <si>
    <t>ID-690</t>
  </si>
  <si>
    <t>ID-691</t>
  </si>
  <si>
    <t>ID-692</t>
  </si>
  <si>
    <t>ID-693</t>
  </si>
  <si>
    <t>ID-694</t>
  </si>
  <si>
    <t>ID-695</t>
  </si>
  <si>
    <t>ID-696</t>
  </si>
  <si>
    <t>ID-697</t>
  </si>
  <si>
    <t>ID-698</t>
  </si>
  <si>
    <t>ID-699</t>
  </si>
  <si>
    <t>ID-700</t>
  </si>
  <si>
    <t>ID-701</t>
  </si>
  <si>
    <t>ID-702</t>
  </si>
  <si>
    <t>ID-703</t>
  </si>
  <si>
    <t>ID-704</t>
  </si>
  <si>
    <t>ID-705</t>
  </si>
  <si>
    <t>ID-706</t>
  </si>
  <si>
    <t>ID-707</t>
  </si>
  <si>
    <t>ID-708</t>
  </si>
  <si>
    <t>ID-709</t>
  </si>
  <si>
    <t>ID-710</t>
  </si>
  <si>
    <t>ID-711</t>
  </si>
  <si>
    <t>ID-712</t>
  </si>
  <si>
    <t>ID-713</t>
  </si>
  <si>
    <t>ID-714</t>
  </si>
  <si>
    <t>ID-715</t>
  </si>
  <si>
    <t>ID-716</t>
  </si>
  <si>
    <t>ID-717</t>
  </si>
  <si>
    <t>ID-718</t>
  </si>
  <si>
    <t>ID-719</t>
  </si>
  <si>
    <t>ID-720</t>
  </si>
  <si>
    <t>ID-721</t>
  </si>
  <si>
    <t>ID-722</t>
  </si>
  <si>
    <t>ID-723</t>
  </si>
  <si>
    <t>ID-724</t>
  </si>
  <si>
    <t>ID-725</t>
  </si>
  <si>
    <t>ID-726</t>
  </si>
  <si>
    <t>ID-727</t>
  </si>
  <si>
    <t>ID-728</t>
  </si>
  <si>
    <t>ID-729</t>
  </si>
  <si>
    <t>ID-730</t>
  </si>
  <si>
    <t>ID-731</t>
  </si>
  <si>
    <t>ID-732</t>
  </si>
  <si>
    <t>ID-733</t>
  </si>
  <si>
    <t>ID-734</t>
  </si>
  <si>
    <t>ID-735</t>
  </si>
  <si>
    <t>ID-736</t>
  </si>
  <si>
    <t>ID-737</t>
  </si>
  <si>
    <t>ID-738</t>
  </si>
  <si>
    <t>ID-739</t>
  </si>
  <si>
    <t>ID-740</t>
  </si>
  <si>
    <t>ID-741</t>
  </si>
  <si>
    <t>ID-742</t>
  </si>
  <si>
    <t>ID-743</t>
  </si>
  <si>
    <t>ID-744</t>
  </si>
  <si>
    <t>ID-745</t>
  </si>
  <si>
    <t>ID-746</t>
  </si>
  <si>
    <t>ID-747</t>
  </si>
  <si>
    <t>ID-748</t>
  </si>
  <si>
    <t>ID-749</t>
  </si>
  <si>
    <t>ID-750</t>
  </si>
  <si>
    <t>ID-751</t>
  </si>
  <si>
    <t>ID-752</t>
  </si>
  <si>
    <t>ID-753</t>
  </si>
  <si>
    <t>ID-754</t>
  </si>
  <si>
    <t>ID-755</t>
  </si>
  <si>
    <t>ID-756</t>
  </si>
  <si>
    <t>ID-757</t>
  </si>
  <si>
    <t>ID-758</t>
  </si>
  <si>
    <t>ID-759</t>
  </si>
  <si>
    <t>ID-760</t>
  </si>
  <si>
    <t>ID-761</t>
  </si>
  <si>
    <t>ID-762</t>
  </si>
  <si>
    <t>ID-763</t>
  </si>
  <si>
    <t>ID-764</t>
  </si>
  <si>
    <t>ID-765</t>
  </si>
  <si>
    <t>ID-766</t>
  </si>
  <si>
    <t>ID-767</t>
  </si>
  <si>
    <t>ID-768</t>
  </si>
  <si>
    <t>ID-769</t>
  </si>
  <si>
    <t>ID-770</t>
  </si>
  <si>
    <t>ID-771</t>
  </si>
  <si>
    <t>ID-772</t>
  </si>
  <si>
    <t>ID-773</t>
  </si>
  <si>
    <t>ID-774</t>
  </si>
  <si>
    <t>ID-775</t>
  </si>
  <si>
    <t>ID-776</t>
  </si>
  <si>
    <t>ID-777</t>
  </si>
  <si>
    <t>ID-778</t>
  </si>
  <si>
    <t>ID-779</t>
  </si>
  <si>
    <t>ID-780</t>
  </si>
  <si>
    <t>ID-781</t>
  </si>
  <si>
    <t>ID-782</t>
  </si>
  <si>
    <t>ID-783</t>
  </si>
  <si>
    <t>ID-784</t>
  </si>
  <si>
    <t>ID-785</t>
  </si>
  <si>
    <t>ID-786</t>
  </si>
  <si>
    <t>ID-787</t>
  </si>
  <si>
    <t>ID-788</t>
  </si>
  <si>
    <t>ID-789</t>
  </si>
  <si>
    <t>ID-790</t>
  </si>
  <si>
    <t>ID-791</t>
  </si>
  <si>
    <t>ID-792</t>
  </si>
  <si>
    <t>ID-793</t>
  </si>
  <si>
    <t>ID-794</t>
  </si>
  <si>
    <t>ID-795</t>
  </si>
  <si>
    <t>ID-796</t>
  </si>
  <si>
    <t>ID-797</t>
  </si>
  <si>
    <t>ID-798</t>
  </si>
  <si>
    <t>ID-799</t>
  </si>
  <si>
    <t>ID-800</t>
  </si>
  <si>
    <t>ID-801</t>
  </si>
  <si>
    <t>ID-802</t>
  </si>
  <si>
    <t>ID-803</t>
  </si>
  <si>
    <t>ID-804</t>
  </si>
  <si>
    <t>ID-805</t>
  </si>
  <si>
    <t>ID-806</t>
  </si>
  <si>
    <t>ID-807</t>
  </si>
  <si>
    <t>ID-808</t>
  </si>
  <si>
    <t>ID-809</t>
  </si>
  <si>
    <t>ID-810</t>
  </si>
  <si>
    <t>ID-811</t>
  </si>
  <si>
    <t>ID-812</t>
  </si>
  <si>
    <t>ID-813</t>
  </si>
  <si>
    <t>ID-814</t>
  </si>
  <si>
    <t>ID-815</t>
  </si>
  <si>
    <t>ID-816</t>
  </si>
  <si>
    <t>ID-817</t>
  </si>
  <si>
    <t>ID-818</t>
  </si>
  <si>
    <t>ID-819</t>
  </si>
  <si>
    <t>ID-820</t>
  </si>
  <si>
    <t>ID-821</t>
  </si>
  <si>
    <t>ID-822</t>
  </si>
  <si>
    <t>ID-823</t>
  </si>
  <si>
    <t>ID-824</t>
  </si>
  <si>
    <t>ID-825</t>
  </si>
  <si>
    <t>ID-826</t>
  </si>
  <si>
    <t>ID-827</t>
  </si>
  <si>
    <t>ID-828</t>
  </si>
  <si>
    <t>ID-829</t>
  </si>
  <si>
    <t>ID-830</t>
  </si>
  <si>
    <t>ID-831</t>
  </si>
  <si>
    <t>ID-832</t>
  </si>
  <si>
    <t>ID-833</t>
  </si>
  <si>
    <t>ID-834</t>
  </si>
  <si>
    <t>ID-835</t>
  </si>
  <si>
    <t>ID-836</t>
  </si>
  <si>
    <t>ID-837</t>
  </si>
  <si>
    <t>ID-838</t>
  </si>
  <si>
    <t>ID-839</t>
  </si>
  <si>
    <t>ID-840</t>
  </si>
  <si>
    <t>ID-841</t>
  </si>
  <si>
    <t>ID-842</t>
  </si>
  <si>
    <t>ID-843</t>
  </si>
  <si>
    <t>ID-844</t>
  </si>
  <si>
    <t>ID-845</t>
  </si>
  <si>
    <t>ID-846</t>
  </si>
  <si>
    <t>ID-847</t>
  </si>
  <si>
    <t>ID-848</t>
  </si>
  <si>
    <t>ID-849</t>
  </si>
  <si>
    <t>ID-850</t>
  </si>
  <si>
    <t>ID-851</t>
  </si>
  <si>
    <t>ID-852</t>
  </si>
  <si>
    <t>ID-853</t>
  </si>
  <si>
    <t>ID-854</t>
  </si>
  <si>
    <t>ID-855</t>
  </si>
  <si>
    <t>ID-856</t>
  </si>
  <si>
    <t>ID-857</t>
  </si>
  <si>
    <t>ID-858</t>
  </si>
  <si>
    <t>ID-859</t>
  </si>
  <si>
    <t>ID-860</t>
  </si>
  <si>
    <t>ID-861</t>
  </si>
  <si>
    <t>ID-862</t>
  </si>
  <si>
    <t>ID-863</t>
  </si>
  <si>
    <t>ID-864</t>
  </si>
  <si>
    <t>ID-865</t>
  </si>
  <si>
    <t>ID-866</t>
  </si>
  <si>
    <t>ID-867</t>
  </si>
  <si>
    <t>ID-868</t>
  </si>
  <si>
    <t>ID-869</t>
  </si>
  <si>
    <t>ID-870</t>
  </si>
  <si>
    <t>ID-871</t>
  </si>
  <si>
    <t>ID-872</t>
  </si>
  <si>
    <t>ID-873</t>
  </si>
  <si>
    <t>ID-874</t>
  </si>
  <si>
    <t>ID-875</t>
  </si>
  <si>
    <t>ID-876</t>
  </si>
  <si>
    <t>ID-877</t>
  </si>
  <si>
    <t>ID-878</t>
  </si>
  <si>
    <t>ID-879</t>
  </si>
  <si>
    <t>ID-880</t>
  </si>
  <si>
    <t>ID-881</t>
  </si>
  <si>
    <t>ID-882</t>
  </si>
  <si>
    <t>ID-883</t>
  </si>
  <si>
    <t>ID-884</t>
  </si>
  <si>
    <t>ID-885</t>
  </si>
  <si>
    <t>ID-886</t>
  </si>
  <si>
    <t>ID-887</t>
  </si>
  <si>
    <t>ID-888</t>
  </si>
  <si>
    <t>ID-889</t>
  </si>
  <si>
    <t>ID-890</t>
  </si>
  <si>
    <t>ID-891</t>
  </si>
  <si>
    <t>ID-892</t>
  </si>
  <si>
    <t>ID-893</t>
  </si>
  <si>
    <t>ID-894</t>
  </si>
  <si>
    <t>ID-895</t>
  </si>
  <si>
    <t>ID-896</t>
  </si>
  <si>
    <t>ID-897</t>
  </si>
  <si>
    <t>ID-898</t>
  </si>
  <si>
    <t>ID-899</t>
  </si>
  <si>
    <t>ID-900</t>
  </si>
  <si>
    <t>x</t>
  </si>
  <si>
    <t>Cristopher Vera</t>
  </si>
  <si>
    <t>Bianca Cedeño</t>
  </si>
  <si>
    <t>Pamela Rosero</t>
  </si>
  <si>
    <t>Sebastian Yanez</t>
  </si>
  <si>
    <t>Ivan Alcivar</t>
  </si>
  <si>
    <t>Diana Zambrano</t>
  </si>
  <si>
    <t>Gonzalo Mera</t>
  </si>
  <si>
    <t>Jessenia Toapanta</t>
  </si>
  <si>
    <t>Esteban Quintero</t>
  </si>
  <si>
    <t>Quincy Delgado</t>
  </si>
  <si>
    <t>Kleber Villacis</t>
  </si>
  <si>
    <t>Nicole Carrion</t>
  </si>
  <si>
    <t>Mateo Santillan</t>
  </si>
  <si>
    <t>Renata Villamar</t>
  </si>
  <si>
    <t>Fabiana Aguirre</t>
  </si>
  <si>
    <t>Orlando Guamán</t>
  </si>
  <si>
    <t>Helena Paredes</t>
  </si>
  <si>
    <t>Lorena Chicaiza</t>
  </si>
  <si>
    <t>Tatiana Viteri</t>
  </si>
  <si>
    <t>ID-901</t>
  </si>
  <si>
    <t xml:space="preserve"> Sierra</t>
  </si>
  <si>
    <t>ID-902</t>
  </si>
  <si>
    <t>Am</t>
  </si>
  <si>
    <t>ID-903</t>
  </si>
  <si>
    <t>galapagos</t>
  </si>
  <si>
    <t>ID-904</t>
  </si>
  <si>
    <t>ID-905</t>
  </si>
  <si>
    <t>ID-906</t>
  </si>
  <si>
    <t>ID-907</t>
  </si>
  <si>
    <t>ID-908</t>
  </si>
  <si>
    <t>ID-909</t>
  </si>
  <si>
    <t>ID-910</t>
  </si>
  <si>
    <t>ID-911</t>
  </si>
  <si>
    <t>ID-912</t>
  </si>
  <si>
    <t>ID-913</t>
  </si>
  <si>
    <t>ID-914</t>
  </si>
  <si>
    <t>ID-915</t>
  </si>
  <si>
    <t>ID-916</t>
  </si>
  <si>
    <t>ID-917</t>
  </si>
  <si>
    <t>ID-918</t>
  </si>
  <si>
    <t>ID-919</t>
  </si>
  <si>
    <t>ID-920</t>
  </si>
  <si>
    <t>ID-921</t>
  </si>
  <si>
    <t>ID-922</t>
  </si>
  <si>
    <t>ID-923</t>
  </si>
  <si>
    <t>ID-924</t>
  </si>
  <si>
    <t>ID-925</t>
  </si>
  <si>
    <t>ID-926</t>
  </si>
  <si>
    <t>ID-927</t>
  </si>
  <si>
    <t>ID-928</t>
  </si>
  <si>
    <t>ID-929</t>
  </si>
  <si>
    <t>ID-930</t>
  </si>
  <si>
    <t>Karen Tipantuña</t>
  </si>
  <si>
    <t>REGION</t>
  </si>
  <si>
    <t>Amazonía</t>
  </si>
  <si>
    <t>ID-0975</t>
  </si>
  <si>
    <t>Leonardo Toasa</t>
  </si>
  <si>
    <t xml:space="preserve">Nuevo cliente </t>
  </si>
  <si>
    <t>ID-0987</t>
  </si>
  <si>
    <t>Melany Pincay</t>
  </si>
  <si>
    <t>No se específica la región</t>
  </si>
  <si>
    <t>ID-0947</t>
  </si>
  <si>
    <t>Raquel Chiliquinga</t>
  </si>
  <si>
    <t>N/A</t>
  </si>
  <si>
    <t>ID-0941</t>
  </si>
  <si>
    <t>Pedido cancelado</t>
  </si>
  <si>
    <t>Requiere seguimiento</t>
  </si>
  <si>
    <t>Producto defectuoso</t>
  </si>
  <si>
    <t>Entrega retrasada</t>
  </si>
  <si>
    <t>Cliente no responde</t>
  </si>
  <si>
    <t>Cambio solicitado</t>
  </si>
  <si>
    <t>Factura enviada</t>
  </si>
  <si>
    <t>Garantía aplicada</t>
  </si>
  <si>
    <t>Dirección incorrecta</t>
  </si>
  <si>
    <t>Cliente satisfecho</t>
  </si>
  <si>
    <t>Entrega completada</t>
  </si>
  <si>
    <t>Pago pendiente</t>
  </si>
  <si>
    <t>ID-931</t>
  </si>
  <si>
    <t>ID-932</t>
  </si>
  <si>
    <t>ID-935</t>
  </si>
  <si>
    <t>ID-937</t>
  </si>
  <si>
    <t>ID-938</t>
  </si>
  <si>
    <t>ID-939</t>
  </si>
  <si>
    <t>ID-941</t>
  </si>
  <si>
    <t>ID-942</t>
  </si>
  <si>
    <t>ID-944</t>
  </si>
  <si>
    <t>ID-945</t>
  </si>
  <si>
    <t>ID-946</t>
  </si>
  <si>
    <t>ID-947</t>
  </si>
  <si>
    <t>ID-948</t>
  </si>
  <si>
    <t>ID-949</t>
  </si>
  <si>
    <t>ID-950</t>
  </si>
  <si>
    <t>ID-951</t>
  </si>
  <si>
    <t>ID-952</t>
  </si>
  <si>
    <t>ID-953</t>
  </si>
  <si>
    <t>ID-955</t>
  </si>
  <si>
    <t>ID-956</t>
  </si>
  <si>
    <t>ID-957</t>
  </si>
  <si>
    <t>ID-959</t>
  </si>
  <si>
    <t>ID-960</t>
  </si>
  <si>
    <t>ID-961</t>
  </si>
  <si>
    <t>ID-962</t>
  </si>
  <si>
    <t>ID-963</t>
  </si>
  <si>
    <t>ID-964</t>
  </si>
  <si>
    <t>ID-965</t>
  </si>
  <si>
    <t>ID-966</t>
  </si>
  <si>
    <t>ID-967</t>
  </si>
  <si>
    <t>ID-968</t>
  </si>
  <si>
    <t>ID-970</t>
  </si>
  <si>
    <t>ID-971</t>
  </si>
  <si>
    <t>ID-972</t>
  </si>
  <si>
    <t>ID-973</t>
  </si>
  <si>
    <t>ID-974</t>
  </si>
  <si>
    <t>Total_Final</t>
  </si>
  <si>
    <t>Galápagos</t>
  </si>
  <si>
    <t xml:space="preserve">TOTAL PRODUCTOS ÚNICOS </t>
  </si>
  <si>
    <t>Total general</t>
  </si>
  <si>
    <t>TOTAL_VENDIDO</t>
  </si>
  <si>
    <t>PORCENTAJE</t>
  </si>
  <si>
    <t xml:space="preserve">PEDIDOS _COMPLETADOS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</si>
</sst>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&quot;$&quot;\-#,##0.00"/>
    <numFmt numFmtId="44" formatCode="_ &quot;$&quot;* #,##0.00_ ;_ &quot;$&quot;* \-#,##0.00_ ;_ &quot;$&quot;* &quot;-&quot;??_ ;_ @_ "/>
    <numFmt numFmtId="173" formatCode="_ &quot;$&quot;* #,##0_ ;_ &quot;$&quot;* \-#,##0_ ;_ &quot;$&quot;* &quot;-&quot;??_ ;_ @_ "/>
    <numFmt numFmtId="183" formatCode="#,##0.00,,&quot;M&quot;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0B304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12"/>
      <color rgb="FF000000"/>
      <name val="Aptos Narrow"/>
      <family val="2"/>
      <scheme val="minor"/>
    </font>
    <font>
      <b/>
      <sz val="14"/>
      <color rgb="FF0B304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0" tint="-0.14999847407452621"/>
      <name val="Aptos Narrow"/>
      <family val="2"/>
      <scheme val="minor"/>
    </font>
    <font>
      <b/>
      <sz val="2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5">
    <xf numFmtId="0" fontId="0" fillId="0" borderId="0" xfId="0"/>
    <xf numFmtId="0" fontId="4" fillId="0" borderId="0" xfId="0" applyFont="1"/>
    <xf numFmtId="0" fontId="2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44" fontId="0" fillId="0" borderId="0" xfId="1" applyFont="1" applyBorder="1"/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" fillId="0" borderId="0" xfId="0" applyFont="1"/>
    <xf numFmtId="0" fontId="9" fillId="0" borderId="0" xfId="2"/>
    <xf numFmtId="0" fontId="10" fillId="0" borderId="0" xfId="0" applyFont="1"/>
    <xf numFmtId="0" fontId="11" fillId="0" borderId="2" xfId="0" applyFont="1" applyBorder="1"/>
    <xf numFmtId="0" fontId="12" fillId="0" borderId="0" xfId="0" applyFont="1"/>
    <xf numFmtId="0" fontId="13" fillId="0" borderId="0" xfId="0" applyFont="1"/>
    <xf numFmtId="0" fontId="14" fillId="4" borderId="0" xfId="0" applyFont="1" applyFill="1" applyAlignment="1">
      <alignment horizontal="center"/>
    </xf>
    <xf numFmtId="0" fontId="15" fillId="6" borderId="0" xfId="0" applyFont="1" applyFill="1"/>
    <xf numFmtId="44" fontId="3" fillId="6" borderId="0" xfId="1" applyFont="1" applyFill="1"/>
    <xf numFmtId="0" fontId="0" fillId="0" borderId="0" xfId="0" applyFill="1" applyAlignment="1">
      <alignment vertical="center" wrapText="1"/>
    </xf>
    <xf numFmtId="0" fontId="0" fillId="7" borderId="0" xfId="0" applyFill="1"/>
    <xf numFmtId="7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5" fillId="2" borderId="5" xfId="0" applyFont="1" applyFill="1" applyBorder="1"/>
    <xf numFmtId="0" fontId="5" fillId="2" borderId="0" xfId="0" applyFont="1" applyFill="1" applyBorder="1"/>
    <xf numFmtId="0" fontId="5" fillId="2" borderId="4" xfId="0" applyFont="1" applyFill="1" applyBorder="1" applyAlignment="1">
      <alignment horizontal="center"/>
    </xf>
    <xf numFmtId="0" fontId="0" fillId="0" borderId="0" xfId="0" applyNumberFormat="1"/>
    <xf numFmtId="0" fontId="16" fillId="2" borderId="3" xfId="0" applyFont="1" applyFill="1" applyBorder="1"/>
    <xf numFmtId="0" fontId="16" fillId="2" borderId="1" xfId="0" applyFont="1" applyFill="1" applyBorder="1"/>
    <xf numFmtId="0" fontId="0" fillId="5" borderId="2" xfId="0" applyFill="1" applyBorder="1" applyAlignment="1">
      <alignment horizontal="center"/>
    </xf>
    <xf numFmtId="14" fontId="0" fillId="5" borderId="2" xfId="0" applyNumberFormat="1" applyFill="1" applyBorder="1" applyAlignment="1">
      <alignment horizontal="center"/>
    </xf>
    <xf numFmtId="44" fontId="0" fillId="5" borderId="2" xfId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0" fontId="0" fillId="0" borderId="0" xfId="0" applyBorder="1"/>
    <xf numFmtId="173" fontId="0" fillId="0" borderId="0" xfId="0" applyNumberFormat="1"/>
    <xf numFmtId="0" fontId="2" fillId="0" borderId="0" xfId="0" pivotButton="1" applyFont="1"/>
    <xf numFmtId="10" fontId="0" fillId="0" borderId="0" xfId="0" applyNumberFormat="1"/>
    <xf numFmtId="9" fontId="0" fillId="0" borderId="0" xfId="0" applyNumberFormat="1"/>
    <xf numFmtId="0" fontId="18" fillId="0" borderId="0" xfId="0" applyFont="1" applyAlignment="1">
      <alignment horizontal="center"/>
    </xf>
    <xf numFmtId="183" fontId="12" fillId="0" borderId="0" xfId="1" applyNumberFormat="1" applyFont="1" applyBorder="1" applyAlignment="1">
      <alignment horizontal="center"/>
    </xf>
    <xf numFmtId="0" fontId="16" fillId="4" borderId="6" xfId="0" applyFont="1" applyFill="1" applyBorder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70"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numFmt numFmtId="0" formatCode="General"/>
    </dxf>
    <dxf>
      <numFmt numFmtId="171" formatCode="&quot;$&quot;#,##0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right style="thin">
          <color rgb="FF44B3E1"/>
        </right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ASE_DATOS!A1"/><Relationship Id="rId13" Type="http://schemas.openxmlformats.org/officeDocument/2006/relationships/image" Target="../media/image11.png"/><Relationship Id="rId3" Type="http://schemas.openxmlformats.org/officeDocument/2006/relationships/hyperlink" Target="#FORMULARIO!A1"/><Relationship Id="rId7" Type="http://schemas.openxmlformats.org/officeDocument/2006/relationships/image" Target="../media/image6.svg"/><Relationship Id="rId12" Type="http://schemas.openxmlformats.org/officeDocument/2006/relationships/image" Target="../media/image10.svg"/><Relationship Id="rId17" Type="http://schemas.openxmlformats.org/officeDocument/2006/relationships/hyperlink" Target="#CONSULTAS!A1"/><Relationship Id="rId2" Type="http://schemas.openxmlformats.org/officeDocument/2006/relationships/image" Target="../media/image2.svg"/><Relationship Id="rId16" Type="http://schemas.openxmlformats.org/officeDocument/2006/relationships/hyperlink" Target="#OBSERVACIONES!A1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9.png"/><Relationship Id="rId5" Type="http://schemas.openxmlformats.org/officeDocument/2006/relationships/image" Target="../media/image4.svg"/><Relationship Id="rId15" Type="http://schemas.openxmlformats.org/officeDocument/2006/relationships/hyperlink" Target="#'BASE _LIMPIA'!A1"/><Relationship Id="rId10" Type="http://schemas.openxmlformats.org/officeDocument/2006/relationships/image" Target="../media/image8.sv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2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8.svg"/><Relationship Id="rId26" Type="http://schemas.openxmlformats.org/officeDocument/2006/relationships/image" Target="../media/image36.svg"/><Relationship Id="rId3" Type="http://schemas.openxmlformats.org/officeDocument/2006/relationships/image" Target="../media/image13.png"/><Relationship Id="rId21" Type="http://schemas.openxmlformats.org/officeDocument/2006/relationships/image" Target="../media/image31.png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7.png"/><Relationship Id="rId25" Type="http://schemas.openxmlformats.org/officeDocument/2006/relationships/image" Target="../media/image35.png"/><Relationship Id="rId2" Type="http://schemas.openxmlformats.org/officeDocument/2006/relationships/image" Target="../media/image6.svg"/><Relationship Id="rId16" Type="http://schemas.openxmlformats.org/officeDocument/2006/relationships/image" Target="../media/image26.svg"/><Relationship Id="rId20" Type="http://schemas.openxmlformats.org/officeDocument/2006/relationships/image" Target="../media/image30.svg"/><Relationship Id="rId29" Type="http://schemas.openxmlformats.org/officeDocument/2006/relationships/hyperlink" Target="#INICIO!A1"/><Relationship Id="rId1" Type="http://schemas.openxmlformats.org/officeDocument/2006/relationships/image" Target="../media/image5.png"/><Relationship Id="rId6" Type="http://schemas.openxmlformats.org/officeDocument/2006/relationships/image" Target="../media/image16.svg"/><Relationship Id="rId11" Type="http://schemas.openxmlformats.org/officeDocument/2006/relationships/image" Target="../media/image21.png"/><Relationship Id="rId24" Type="http://schemas.openxmlformats.org/officeDocument/2006/relationships/image" Target="../media/image34.svg"/><Relationship Id="rId32" Type="http://schemas.openxmlformats.org/officeDocument/2006/relationships/image" Target="../media/image40.sv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3.png"/><Relationship Id="rId28" Type="http://schemas.openxmlformats.org/officeDocument/2006/relationships/image" Target="../media/image38.svg"/><Relationship Id="rId10" Type="http://schemas.openxmlformats.org/officeDocument/2006/relationships/image" Target="../media/image20.svg"/><Relationship Id="rId19" Type="http://schemas.openxmlformats.org/officeDocument/2006/relationships/image" Target="../media/image29.png"/><Relationship Id="rId31" Type="http://schemas.openxmlformats.org/officeDocument/2006/relationships/image" Target="../media/image39.png"/><Relationship Id="rId4" Type="http://schemas.openxmlformats.org/officeDocument/2006/relationships/image" Target="../media/image14.svg"/><Relationship Id="rId9" Type="http://schemas.openxmlformats.org/officeDocument/2006/relationships/image" Target="../media/image19.png"/><Relationship Id="rId14" Type="http://schemas.openxmlformats.org/officeDocument/2006/relationships/image" Target="../media/image24.svg"/><Relationship Id="rId22" Type="http://schemas.openxmlformats.org/officeDocument/2006/relationships/image" Target="../media/image32.svg"/><Relationship Id="rId27" Type="http://schemas.openxmlformats.org/officeDocument/2006/relationships/image" Target="../media/image37.png"/><Relationship Id="rId30" Type="http://schemas.openxmlformats.org/officeDocument/2006/relationships/hyperlink" Target="#BASE_DAT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12.svg"/><Relationship Id="rId7" Type="http://schemas.openxmlformats.org/officeDocument/2006/relationships/image" Target="../media/image44.svg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43.png"/><Relationship Id="rId11" Type="http://schemas.openxmlformats.org/officeDocument/2006/relationships/image" Target="../media/image48.svg"/><Relationship Id="rId5" Type="http://schemas.openxmlformats.org/officeDocument/2006/relationships/image" Target="../media/image42.svg"/><Relationship Id="rId10" Type="http://schemas.openxmlformats.org/officeDocument/2006/relationships/image" Target="../media/image47.png"/><Relationship Id="rId4" Type="http://schemas.openxmlformats.org/officeDocument/2006/relationships/image" Target="../media/image41.png"/><Relationship Id="rId9" Type="http://schemas.openxmlformats.org/officeDocument/2006/relationships/image" Target="../media/image4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126067</xdr:colOff>
      <xdr:row>0</xdr:row>
      <xdr:rowOff>28015</xdr:rowOff>
    </xdr:from>
    <xdr:to>
      <xdr:col>12</xdr:col>
      <xdr:colOff>514532</xdr:colOff>
      <xdr:row>4</xdr:row>
      <xdr:rowOff>23446</xdr:rowOff>
    </xdr:to>
    <xdr:sp macro="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D532BD5D-C19A-4FCD-8A0A-7A2F25D22317}"/>
            </a:ext>
          </a:extLst>
        </xdr:cNvPr>
        <xdr:cNvSpPr/>
      </xdr:nvSpPr>
      <xdr:spPr>
        <a:xfrm>
          <a:off x="1638861" y="28015"/>
          <a:ext cx="7952436" cy="779843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2</xdr:col>
      <xdr:colOff>224119</xdr:colOff>
      <xdr:row>0</xdr:row>
      <xdr:rowOff>1</xdr:rowOff>
    </xdr:from>
    <xdr:to>
      <xdr:col>3</xdr:col>
      <xdr:colOff>336178</xdr:colOff>
      <xdr:row>4</xdr:row>
      <xdr:rowOff>115809</xdr:rowOff>
    </xdr:to>
    <xdr:pic>
      <xdr:nvPicPr>
        <xdr:cNvPr id="5" name="Gráfico 4" descr="Búsqueda de carpetas con relleno sólido">
          <a:extLst>
            <a:ext uri="{FF2B5EF4-FFF2-40B4-BE49-F238E27FC236}">
              <a16:creationId xmlns:a16="http://schemas.microsoft.com/office/drawing/2014/main" id="{9C8E5F0E-3A5B-0AE5-657F-90F6D4B8A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36913" y="1"/>
          <a:ext cx="868456" cy="900220"/>
        </a:xfrm>
        <a:prstGeom prst="rect">
          <a:avLst/>
        </a:prstGeom>
      </xdr:spPr>
    </xdr:pic>
    <xdr:clientData/>
  </xdr:twoCellAnchor>
  <xdr:twoCellAnchor>
    <xdr:from>
      <xdr:col>3</xdr:col>
      <xdr:colOff>434227</xdr:colOff>
      <xdr:row>0</xdr:row>
      <xdr:rowOff>126066</xdr:rowOff>
    </xdr:from>
    <xdr:to>
      <xdr:col>8</xdr:col>
      <xdr:colOff>188030</xdr:colOff>
      <xdr:row>2</xdr:row>
      <xdr:rowOff>163961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E2C6BFD5-3086-4B74-829B-59AD643F6E06}"/>
            </a:ext>
          </a:extLst>
        </xdr:cNvPr>
        <xdr:cNvSpPr txBox="1"/>
      </xdr:nvSpPr>
      <xdr:spPr>
        <a:xfrm>
          <a:off x="2703418" y="126066"/>
          <a:ext cx="3535788" cy="430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SISTEMA DE GESTIÓN</a:t>
          </a:r>
        </a:p>
      </xdr:txBody>
    </xdr:sp>
    <xdr:clientData/>
  </xdr:twoCellAnchor>
  <xdr:twoCellAnchor>
    <xdr:from>
      <xdr:col>3</xdr:col>
      <xdr:colOff>448234</xdr:colOff>
      <xdr:row>2</xdr:row>
      <xdr:rowOff>28015</xdr:rowOff>
    </xdr:from>
    <xdr:to>
      <xdr:col>8</xdr:col>
      <xdr:colOff>202037</xdr:colOff>
      <xdr:row>4</xdr:row>
      <xdr:rowOff>68593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8C61E7B0-7083-4E78-9AE5-25AAA515D33E}"/>
            </a:ext>
          </a:extLst>
        </xdr:cNvPr>
        <xdr:cNvSpPr txBox="1"/>
      </xdr:nvSpPr>
      <xdr:spPr>
        <a:xfrm>
          <a:off x="2717425" y="420221"/>
          <a:ext cx="3535788" cy="4327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Registro y Control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Datos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602315</xdr:colOff>
      <xdr:row>7</xdr:row>
      <xdr:rowOff>84044</xdr:rowOff>
    </xdr:from>
    <xdr:to>
      <xdr:col>5</xdr:col>
      <xdr:colOff>182095</xdr:colOff>
      <xdr:row>7</xdr:row>
      <xdr:rowOff>84044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58F04932-E7AE-C3DA-3C95-E231F40DA630}"/>
            </a:ext>
          </a:extLst>
        </xdr:cNvPr>
        <xdr:cNvCxnSpPr/>
      </xdr:nvCxnSpPr>
      <xdr:spPr>
        <a:xfrm>
          <a:off x="2115109" y="1456765"/>
          <a:ext cx="1848971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628649</xdr:colOff>
      <xdr:row>7</xdr:row>
      <xdr:rowOff>40341</xdr:rowOff>
    </xdr:from>
    <xdr:to>
      <xdr:col>12</xdr:col>
      <xdr:colOff>208429</xdr:colOff>
      <xdr:row>7</xdr:row>
      <xdr:rowOff>40341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84214502-9A78-4CCB-9472-D7B23986DD08}"/>
            </a:ext>
          </a:extLst>
        </xdr:cNvPr>
        <xdr:cNvCxnSpPr/>
      </xdr:nvCxnSpPr>
      <xdr:spPr>
        <a:xfrm>
          <a:off x="7436223" y="1413062"/>
          <a:ext cx="1848971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308162</xdr:colOff>
      <xdr:row>5</xdr:row>
      <xdr:rowOff>0</xdr:rowOff>
    </xdr:from>
    <xdr:to>
      <xdr:col>9</xdr:col>
      <xdr:colOff>490257</xdr:colOff>
      <xdr:row>9</xdr:row>
      <xdr:rowOff>168089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52658684-CAA6-6FE4-96D5-16A75B18C6E7}"/>
            </a:ext>
          </a:extLst>
        </xdr:cNvPr>
        <xdr:cNvSpPr txBox="1"/>
      </xdr:nvSpPr>
      <xdr:spPr>
        <a:xfrm>
          <a:off x="4090147" y="980515"/>
          <a:ext cx="3207684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C" sz="3200" b="1">
              <a:solidFill>
                <a:schemeClr val="accent1">
                  <a:lumMod val="50000"/>
                </a:schemeClr>
              </a:solidFill>
            </a:rPr>
            <a:t>MENÚ</a:t>
          </a:r>
          <a:r>
            <a:rPr lang="es-EC" sz="3200" b="1" baseline="0">
              <a:solidFill>
                <a:schemeClr val="accent1">
                  <a:lumMod val="50000"/>
                </a:schemeClr>
              </a:solidFill>
            </a:rPr>
            <a:t> PRINCIPAL</a:t>
          </a:r>
        </a:p>
        <a:p>
          <a:pPr algn="ctr"/>
          <a:r>
            <a:rPr lang="es-EC" sz="1400" baseline="0">
              <a:solidFill>
                <a:schemeClr val="accent1">
                  <a:lumMod val="50000"/>
                </a:schemeClr>
              </a:solidFill>
            </a:rPr>
            <a:t>Seleccione una opción para continuar</a:t>
          </a:r>
          <a:endParaRPr lang="es-EC" sz="14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672352</xdr:colOff>
      <xdr:row>11</xdr:row>
      <xdr:rowOff>84045</xdr:rowOff>
    </xdr:from>
    <xdr:to>
      <xdr:col>10</xdr:col>
      <xdr:colOff>252132</xdr:colOff>
      <xdr:row>14</xdr:row>
      <xdr:rowOff>168089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45809814-A6B5-3FC4-42BA-B2A00E8743A0}"/>
            </a:ext>
          </a:extLst>
        </xdr:cNvPr>
        <xdr:cNvSpPr/>
      </xdr:nvSpPr>
      <xdr:spPr>
        <a:xfrm>
          <a:off x="3697940" y="2241177"/>
          <a:ext cx="4118163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FORMULARIO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686362</xdr:colOff>
      <xdr:row>16</xdr:row>
      <xdr:rowOff>40342</xdr:rowOff>
    </xdr:from>
    <xdr:to>
      <xdr:col>10</xdr:col>
      <xdr:colOff>250451</xdr:colOff>
      <xdr:row>19</xdr:row>
      <xdr:rowOff>124386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68BBC322-03B6-44BB-A367-3C59B90775E8}"/>
            </a:ext>
          </a:extLst>
        </xdr:cNvPr>
        <xdr:cNvSpPr/>
      </xdr:nvSpPr>
      <xdr:spPr>
        <a:xfrm>
          <a:off x="3711950" y="3177989"/>
          <a:ext cx="4102472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BASE DE DATOS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725020</xdr:colOff>
      <xdr:row>21</xdr:row>
      <xdr:rowOff>52668</xdr:rowOff>
    </xdr:from>
    <xdr:to>
      <xdr:col>10</xdr:col>
      <xdr:colOff>234762</xdr:colOff>
      <xdr:row>24</xdr:row>
      <xdr:rowOff>136712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2EF4E9E4-BB26-494E-8244-DA473ABF1D0F}"/>
            </a:ext>
          </a:extLst>
        </xdr:cNvPr>
        <xdr:cNvSpPr/>
      </xdr:nvSpPr>
      <xdr:spPr>
        <a:xfrm>
          <a:off x="3750608" y="4170830"/>
          <a:ext cx="4048125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BASE_LIMPIA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751353</xdr:colOff>
      <xdr:row>26</xdr:row>
      <xdr:rowOff>79003</xdr:rowOff>
    </xdr:from>
    <xdr:to>
      <xdr:col>10</xdr:col>
      <xdr:colOff>261095</xdr:colOff>
      <xdr:row>29</xdr:row>
      <xdr:rowOff>163047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DC1A116A-8C3E-4265-8BB7-FA209CECE11B}"/>
            </a:ext>
          </a:extLst>
        </xdr:cNvPr>
        <xdr:cNvSpPr/>
      </xdr:nvSpPr>
      <xdr:spPr>
        <a:xfrm>
          <a:off x="3776941" y="5177679"/>
          <a:ext cx="4048125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OBSERVACIONES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749672</xdr:colOff>
      <xdr:row>30</xdr:row>
      <xdr:rowOff>189381</xdr:rowOff>
    </xdr:from>
    <xdr:to>
      <xdr:col>10</xdr:col>
      <xdr:colOff>259414</xdr:colOff>
      <xdr:row>34</xdr:row>
      <xdr:rowOff>77322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71E1DCEE-1ED5-4D80-BBA2-3F4FE7196245}"/>
            </a:ext>
          </a:extLst>
        </xdr:cNvPr>
        <xdr:cNvSpPr/>
      </xdr:nvSpPr>
      <xdr:spPr>
        <a:xfrm>
          <a:off x="3775260" y="6072469"/>
          <a:ext cx="4048125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CONSULTAS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266140</xdr:colOff>
      <xdr:row>11</xdr:row>
      <xdr:rowOff>84044</xdr:rowOff>
    </xdr:from>
    <xdr:to>
      <xdr:col>11</xdr:col>
      <xdr:colOff>154081</xdr:colOff>
      <xdr:row>14</xdr:row>
      <xdr:rowOff>168088</xdr:rowOff>
    </xdr:to>
    <xdr:sp macro="" textlink="">
      <xdr:nvSpPr>
        <xdr:cNvPr id="21" name="Flecha: cheurón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10F3F0-2B74-CB47-CCD7-A2BD379D9767}"/>
            </a:ext>
          </a:extLst>
        </xdr:cNvPr>
        <xdr:cNvSpPr/>
      </xdr:nvSpPr>
      <xdr:spPr>
        <a:xfrm>
          <a:off x="7830111" y="2241176"/>
          <a:ext cx="644338" cy="672353"/>
        </a:xfrm>
        <a:prstGeom prst="chevron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686360</xdr:colOff>
      <xdr:row>11</xdr:row>
      <xdr:rowOff>98052</xdr:rowOff>
    </xdr:from>
    <xdr:to>
      <xdr:col>4</xdr:col>
      <xdr:colOff>644338</xdr:colOff>
      <xdr:row>14</xdr:row>
      <xdr:rowOff>154081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226E3F9F-7495-D901-51D2-35079CF89F6E}"/>
            </a:ext>
          </a:extLst>
        </xdr:cNvPr>
        <xdr:cNvSpPr/>
      </xdr:nvSpPr>
      <xdr:spPr>
        <a:xfrm>
          <a:off x="2955551" y="2255184"/>
          <a:ext cx="714375" cy="644338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3</xdr:col>
      <xdr:colOff>728382</xdr:colOff>
      <xdr:row>11</xdr:row>
      <xdr:rowOff>98050</xdr:rowOff>
    </xdr:from>
    <xdr:to>
      <xdr:col>4</xdr:col>
      <xdr:colOff>592230</xdr:colOff>
      <xdr:row>14</xdr:row>
      <xdr:rowOff>129986</xdr:rowOff>
    </xdr:to>
    <xdr:pic>
      <xdr:nvPicPr>
        <xdr:cNvPr id="24" name="Gráfico 23" descr="Documento contorno">
          <a:extLst>
            <a:ext uri="{FF2B5EF4-FFF2-40B4-BE49-F238E27FC236}">
              <a16:creationId xmlns:a16="http://schemas.microsoft.com/office/drawing/2014/main" id="{7B5D804B-7D84-C881-341B-B8E6B3BF2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997573" y="2255182"/>
          <a:ext cx="620245" cy="620245"/>
        </a:xfrm>
        <a:prstGeom prst="rect">
          <a:avLst/>
        </a:prstGeom>
      </xdr:spPr>
    </xdr:pic>
    <xdr:clientData/>
  </xdr:twoCellAnchor>
  <xdr:twoCellAnchor>
    <xdr:from>
      <xdr:col>3</xdr:col>
      <xdr:colOff>684678</xdr:colOff>
      <xdr:row>16</xdr:row>
      <xdr:rowOff>54349</xdr:rowOff>
    </xdr:from>
    <xdr:to>
      <xdr:col>4</xdr:col>
      <xdr:colOff>642656</xdr:colOff>
      <xdr:row>19</xdr:row>
      <xdr:rowOff>110378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AAB20062-48FA-4BEB-A1BD-0411F5AE5611}"/>
            </a:ext>
          </a:extLst>
        </xdr:cNvPr>
        <xdr:cNvSpPr/>
      </xdr:nvSpPr>
      <xdr:spPr>
        <a:xfrm>
          <a:off x="2953869" y="3191996"/>
          <a:ext cx="714375" cy="644338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3</xdr:col>
      <xdr:colOff>746313</xdr:colOff>
      <xdr:row>16</xdr:row>
      <xdr:rowOff>56030</xdr:rowOff>
    </xdr:from>
    <xdr:to>
      <xdr:col>4</xdr:col>
      <xdr:colOff>648261</xdr:colOff>
      <xdr:row>19</xdr:row>
      <xdr:rowOff>126066</xdr:rowOff>
    </xdr:to>
    <xdr:pic>
      <xdr:nvPicPr>
        <xdr:cNvPr id="27" name="Gráfico 26" descr="Base de datos con relleno sólido">
          <a:extLst>
            <a:ext uri="{FF2B5EF4-FFF2-40B4-BE49-F238E27FC236}">
              <a16:creationId xmlns:a16="http://schemas.microsoft.com/office/drawing/2014/main" id="{70D62D5F-3754-31F7-D298-C3B043308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015504" y="3193677"/>
          <a:ext cx="658345" cy="658345"/>
        </a:xfrm>
        <a:prstGeom prst="rect">
          <a:avLst/>
        </a:prstGeom>
      </xdr:spPr>
    </xdr:pic>
    <xdr:clientData/>
  </xdr:twoCellAnchor>
  <xdr:twoCellAnchor>
    <xdr:from>
      <xdr:col>10</xdr:col>
      <xdr:colOff>266139</xdr:colOff>
      <xdr:row>16</xdr:row>
      <xdr:rowOff>56029</xdr:rowOff>
    </xdr:from>
    <xdr:to>
      <xdr:col>11</xdr:col>
      <xdr:colOff>196102</xdr:colOff>
      <xdr:row>19</xdr:row>
      <xdr:rowOff>126066</xdr:rowOff>
    </xdr:to>
    <xdr:sp macro="" textlink="">
      <xdr:nvSpPr>
        <xdr:cNvPr id="28" name="Flecha: cheurón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C2895DC-6167-1D0E-A6B7-FBACECB64C34}"/>
            </a:ext>
          </a:extLst>
        </xdr:cNvPr>
        <xdr:cNvSpPr/>
      </xdr:nvSpPr>
      <xdr:spPr>
        <a:xfrm>
          <a:off x="7830110" y="3193676"/>
          <a:ext cx="686360" cy="658346"/>
        </a:xfrm>
        <a:prstGeom prst="chevron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725020</xdr:colOff>
      <xdr:row>21</xdr:row>
      <xdr:rowOff>24653</xdr:rowOff>
    </xdr:from>
    <xdr:to>
      <xdr:col>4</xdr:col>
      <xdr:colOff>682998</xdr:colOff>
      <xdr:row>24</xdr:row>
      <xdr:rowOff>80682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638C409B-C439-4CD4-90F6-9E2BDC7CD72A}"/>
            </a:ext>
          </a:extLst>
        </xdr:cNvPr>
        <xdr:cNvSpPr/>
      </xdr:nvSpPr>
      <xdr:spPr>
        <a:xfrm>
          <a:off x="2994211" y="4142815"/>
          <a:ext cx="714375" cy="6443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723339</xdr:colOff>
      <xdr:row>26</xdr:row>
      <xdr:rowOff>50987</xdr:rowOff>
    </xdr:from>
    <xdr:to>
      <xdr:col>4</xdr:col>
      <xdr:colOff>681317</xdr:colOff>
      <xdr:row>29</xdr:row>
      <xdr:rowOff>107016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D0F83DB3-3B15-4718-A1BD-4B505B0551A4}"/>
            </a:ext>
          </a:extLst>
        </xdr:cNvPr>
        <xdr:cNvSpPr/>
      </xdr:nvSpPr>
      <xdr:spPr>
        <a:xfrm>
          <a:off x="2992530" y="5149663"/>
          <a:ext cx="714375" cy="644338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735665</xdr:colOff>
      <xdr:row>31</xdr:row>
      <xdr:rowOff>7284</xdr:rowOff>
    </xdr:from>
    <xdr:to>
      <xdr:col>4</xdr:col>
      <xdr:colOff>693643</xdr:colOff>
      <xdr:row>34</xdr:row>
      <xdr:rowOff>63313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2FA25124-143C-4FD1-866D-E7C14E15F717}"/>
            </a:ext>
          </a:extLst>
        </xdr:cNvPr>
        <xdr:cNvSpPr/>
      </xdr:nvSpPr>
      <xdr:spPr>
        <a:xfrm>
          <a:off x="3004856" y="6086475"/>
          <a:ext cx="714375" cy="644338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3</xdr:col>
      <xdr:colOff>728383</xdr:colOff>
      <xdr:row>20</xdr:row>
      <xdr:rowOff>182097</xdr:rowOff>
    </xdr:from>
    <xdr:to>
      <xdr:col>4</xdr:col>
      <xdr:colOff>714375</xdr:colOff>
      <xdr:row>24</xdr:row>
      <xdr:rowOff>140074</xdr:rowOff>
    </xdr:to>
    <xdr:pic>
      <xdr:nvPicPr>
        <xdr:cNvPr id="33" name="Gráfico 32" descr="Pizarra contorno">
          <a:extLst>
            <a:ext uri="{FF2B5EF4-FFF2-40B4-BE49-F238E27FC236}">
              <a16:creationId xmlns:a16="http://schemas.microsoft.com/office/drawing/2014/main" id="{3B96A4DB-396C-F934-4746-40B7079EF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997574" y="4104156"/>
          <a:ext cx="742389" cy="742389"/>
        </a:xfrm>
        <a:prstGeom prst="rect">
          <a:avLst/>
        </a:prstGeom>
      </xdr:spPr>
    </xdr:pic>
    <xdr:clientData/>
  </xdr:twoCellAnchor>
  <xdr:twoCellAnchor editAs="oneCell">
    <xdr:from>
      <xdr:col>4</xdr:col>
      <xdr:colOff>70037</xdr:colOff>
      <xdr:row>26</xdr:row>
      <xdr:rowOff>98052</xdr:rowOff>
    </xdr:from>
    <xdr:to>
      <xdr:col>4</xdr:col>
      <xdr:colOff>660319</xdr:colOff>
      <xdr:row>29</xdr:row>
      <xdr:rowOff>100025</xdr:rowOff>
    </xdr:to>
    <xdr:pic>
      <xdr:nvPicPr>
        <xdr:cNvPr id="34" name="Gráfico 33" descr="Notas adhesivas  con relleno sólido">
          <a:extLst>
            <a:ext uri="{FF2B5EF4-FFF2-40B4-BE49-F238E27FC236}">
              <a16:creationId xmlns:a16="http://schemas.microsoft.com/office/drawing/2014/main" id="{3F1EDF92-8DD4-40A0-AF47-D3B19A605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95625" y="5196728"/>
          <a:ext cx="590282" cy="590282"/>
        </a:xfrm>
        <a:prstGeom prst="rect">
          <a:avLst/>
        </a:prstGeom>
      </xdr:spPr>
    </xdr:pic>
    <xdr:clientData/>
  </xdr:twoCellAnchor>
  <xdr:twoCellAnchor editAs="oneCell">
    <xdr:from>
      <xdr:col>4</xdr:col>
      <xdr:colOff>42022</xdr:colOff>
      <xdr:row>31</xdr:row>
      <xdr:rowOff>56031</xdr:rowOff>
    </xdr:from>
    <xdr:to>
      <xdr:col>4</xdr:col>
      <xdr:colOff>644338</xdr:colOff>
      <xdr:row>34</xdr:row>
      <xdr:rowOff>70038</xdr:rowOff>
    </xdr:to>
    <xdr:pic>
      <xdr:nvPicPr>
        <xdr:cNvPr id="36" name="Gráfico 35" descr="Lupa con relleno sólido">
          <a:extLst>
            <a:ext uri="{FF2B5EF4-FFF2-40B4-BE49-F238E27FC236}">
              <a16:creationId xmlns:a16="http://schemas.microsoft.com/office/drawing/2014/main" id="{E6389EB8-C8FF-72C5-3463-37A1C1DD9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67610" y="6135222"/>
          <a:ext cx="602316" cy="602316"/>
        </a:xfrm>
        <a:prstGeom prst="rect">
          <a:avLst/>
        </a:prstGeom>
      </xdr:spPr>
    </xdr:pic>
    <xdr:clientData/>
  </xdr:twoCellAnchor>
  <xdr:twoCellAnchor>
    <xdr:from>
      <xdr:col>10</xdr:col>
      <xdr:colOff>224117</xdr:colOff>
      <xdr:row>21</xdr:row>
      <xdr:rowOff>70037</xdr:rowOff>
    </xdr:from>
    <xdr:to>
      <xdr:col>11</xdr:col>
      <xdr:colOff>182095</xdr:colOff>
      <xdr:row>24</xdr:row>
      <xdr:rowOff>140073</xdr:rowOff>
    </xdr:to>
    <xdr:sp macro="" textlink="">
      <xdr:nvSpPr>
        <xdr:cNvPr id="37" name="Flecha: cheurón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CE5D6B8-9204-25C8-ED8B-CA659A43FBD9}"/>
            </a:ext>
          </a:extLst>
        </xdr:cNvPr>
        <xdr:cNvSpPr/>
      </xdr:nvSpPr>
      <xdr:spPr>
        <a:xfrm>
          <a:off x="7788088" y="4188199"/>
          <a:ext cx="714375" cy="658345"/>
        </a:xfrm>
        <a:prstGeom prst="chevron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294154</xdr:colOff>
      <xdr:row>26</xdr:row>
      <xdr:rowOff>112059</xdr:rowOff>
    </xdr:from>
    <xdr:to>
      <xdr:col>11</xdr:col>
      <xdr:colOff>196103</xdr:colOff>
      <xdr:row>29</xdr:row>
      <xdr:rowOff>168089</xdr:rowOff>
    </xdr:to>
    <xdr:sp macro="" textlink="">
      <xdr:nvSpPr>
        <xdr:cNvPr id="38" name="Flecha: cheurón 3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5B7E21A-88EA-520F-CF18-D45496DEFDFD}"/>
            </a:ext>
          </a:extLst>
        </xdr:cNvPr>
        <xdr:cNvSpPr/>
      </xdr:nvSpPr>
      <xdr:spPr>
        <a:xfrm>
          <a:off x="7858125" y="5210735"/>
          <a:ext cx="658346" cy="644339"/>
        </a:xfrm>
        <a:prstGeom prst="chevron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266139</xdr:colOff>
      <xdr:row>31</xdr:row>
      <xdr:rowOff>28014</xdr:rowOff>
    </xdr:from>
    <xdr:to>
      <xdr:col>11</xdr:col>
      <xdr:colOff>140073</xdr:colOff>
      <xdr:row>34</xdr:row>
      <xdr:rowOff>112058</xdr:rowOff>
    </xdr:to>
    <xdr:sp macro="" textlink="">
      <xdr:nvSpPr>
        <xdr:cNvPr id="39" name="Flecha: cheurón 3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7094619-138B-2493-9501-334DE3297700}"/>
            </a:ext>
          </a:extLst>
        </xdr:cNvPr>
        <xdr:cNvSpPr/>
      </xdr:nvSpPr>
      <xdr:spPr>
        <a:xfrm>
          <a:off x="7830110" y="6107205"/>
          <a:ext cx="630331" cy="672353"/>
        </a:xfrm>
        <a:prstGeom prst="chevron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0</xdr:row>
      <xdr:rowOff>57150</xdr:rowOff>
    </xdr:from>
    <xdr:to>
      <xdr:col>11</xdr:col>
      <xdr:colOff>504825</xdr:colOff>
      <xdr:row>4</xdr:row>
      <xdr:rowOff>85725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038932C5-7D06-193F-5DCC-A27419F12473}"/>
            </a:ext>
          </a:extLst>
        </xdr:cNvPr>
        <xdr:cNvSpPr/>
      </xdr:nvSpPr>
      <xdr:spPr>
        <a:xfrm>
          <a:off x="1095375" y="57150"/>
          <a:ext cx="7791450" cy="790575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238125</xdr:colOff>
      <xdr:row>0</xdr:row>
      <xdr:rowOff>142875</xdr:rowOff>
    </xdr:from>
    <xdr:to>
      <xdr:col>6</xdr:col>
      <xdr:colOff>581025</xdr:colOff>
      <xdr:row>3</xdr:row>
      <xdr:rowOff>9525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62CC6D5-0F53-66A5-F93B-2D0FDD77630D}"/>
            </a:ext>
          </a:extLst>
        </xdr:cNvPr>
        <xdr:cNvSpPr txBox="1"/>
      </xdr:nvSpPr>
      <xdr:spPr>
        <a:xfrm>
          <a:off x="1762125" y="142875"/>
          <a:ext cx="33909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REGISTRO DE DATOS </a:t>
          </a:r>
        </a:p>
      </xdr:txBody>
    </xdr:sp>
    <xdr:clientData/>
  </xdr:twoCellAnchor>
  <xdr:twoCellAnchor editAs="oneCell">
    <xdr:from>
      <xdr:col>1</xdr:col>
      <xdr:colOff>447675</xdr:colOff>
      <xdr:row>0</xdr:row>
      <xdr:rowOff>152400</xdr:rowOff>
    </xdr:from>
    <xdr:to>
      <xdr:col>2</xdr:col>
      <xdr:colOff>276225</xdr:colOff>
      <xdr:row>3</xdr:row>
      <xdr:rowOff>171450</xdr:rowOff>
    </xdr:to>
    <xdr:pic>
      <xdr:nvPicPr>
        <xdr:cNvPr id="6" name="Gráfico 5" descr="Base de datos con relleno sólido">
          <a:extLst>
            <a:ext uri="{FF2B5EF4-FFF2-40B4-BE49-F238E27FC236}">
              <a16:creationId xmlns:a16="http://schemas.microsoft.com/office/drawing/2014/main" id="{48A97CF7-EF5B-1158-14A1-5E99B5258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9675" y="152400"/>
          <a:ext cx="590550" cy="590550"/>
        </a:xfrm>
        <a:prstGeom prst="rect">
          <a:avLst/>
        </a:prstGeom>
      </xdr:spPr>
    </xdr:pic>
    <xdr:clientData/>
  </xdr:twoCellAnchor>
  <xdr:twoCellAnchor>
    <xdr:from>
      <xdr:col>2</xdr:col>
      <xdr:colOff>257175</xdr:colOff>
      <xdr:row>2</xdr:row>
      <xdr:rowOff>38100</xdr:rowOff>
    </xdr:from>
    <xdr:to>
      <xdr:col>6</xdr:col>
      <xdr:colOff>600075</xdr:colOff>
      <xdr:row>4</xdr:row>
      <xdr:rowOff>95250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2C75989B-598E-46F0-817C-81B31B92A90F}"/>
            </a:ext>
          </a:extLst>
        </xdr:cNvPr>
        <xdr:cNvSpPr txBox="1"/>
      </xdr:nvSpPr>
      <xdr:spPr>
        <a:xfrm>
          <a:off x="1781175" y="419100"/>
          <a:ext cx="33909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352425</xdr:colOff>
      <xdr:row>5</xdr:row>
      <xdr:rowOff>28573</xdr:rowOff>
    </xdr:from>
    <xdr:to>
      <xdr:col>7</xdr:col>
      <xdr:colOff>704850</xdr:colOff>
      <xdr:row>32</xdr:row>
      <xdr:rowOff>61451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CFA4A45-F032-6709-7788-2427CD79ACC6}"/>
            </a:ext>
          </a:extLst>
        </xdr:cNvPr>
        <xdr:cNvSpPr/>
      </xdr:nvSpPr>
      <xdr:spPr>
        <a:xfrm>
          <a:off x="1110328" y="1001557"/>
          <a:ext cx="5032990" cy="5205055"/>
        </a:xfrm>
        <a:prstGeom prst="roundRect">
          <a:avLst>
            <a:gd name="adj" fmla="val 2506"/>
          </a:avLst>
        </a:prstGeom>
        <a:noFill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380999</xdr:colOff>
      <xdr:row>5</xdr:row>
      <xdr:rowOff>66677</xdr:rowOff>
    </xdr:from>
    <xdr:to>
      <xdr:col>7</xdr:col>
      <xdr:colOff>657224</xdr:colOff>
      <xdr:row>7</xdr:row>
      <xdr:rowOff>163287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C2A83B95-B641-0324-F3AA-EFD777D81EE8}"/>
            </a:ext>
          </a:extLst>
        </xdr:cNvPr>
        <xdr:cNvSpPr txBox="1"/>
      </xdr:nvSpPr>
      <xdr:spPr>
        <a:xfrm>
          <a:off x="1142999" y="1019177"/>
          <a:ext cx="4984296" cy="4776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EC" sz="1100"/>
            <a:t>                               </a:t>
          </a:r>
          <a:r>
            <a:rPr lang="es-EC" sz="1400" b="1">
              <a:solidFill>
                <a:schemeClr val="accent1">
                  <a:lumMod val="50000"/>
                </a:schemeClr>
              </a:solidFill>
            </a:rPr>
            <a:t>INFORMACIÓN DE REGISTRO </a:t>
          </a:r>
          <a:endParaRPr lang="es-EC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561975</xdr:colOff>
      <xdr:row>5</xdr:row>
      <xdr:rowOff>76200</xdr:rowOff>
    </xdr:from>
    <xdr:to>
      <xdr:col>2</xdr:col>
      <xdr:colOff>219075</xdr:colOff>
      <xdr:row>7</xdr:row>
      <xdr:rowOff>114300</xdr:rowOff>
    </xdr:to>
    <xdr:pic>
      <xdr:nvPicPr>
        <xdr:cNvPr id="11" name="Gráfico 10" descr="Usuario con relleno sólido">
          <a:extLst>
            <a:ext uri="{FF2B5EF4-FFF2-40B4-BE49-F238E27FC236}">
              <a16:creationId xmlns:a16="http://schemas.microsoft.com/office/drawing/2014/main" id="{F505E04D-682D-958F-CADE-86829F561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102870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354995</xdr:colOff>
      <xdr:row>8</xdr:row>
      <xdr:rowOff>67852</xdr:rowOff>
    </xdr:from>
    <xdr:to>
      <xdr:col>2</xdr:col>
      <xdr:colOff>12095</xdr:colOff>
      <xdr:row>10</xdr:row>
      <xdr:rowOff>64524</xdr:rowOff>
    </xdr:to>
    <xdr:pic>
      <xdr:nvPicPr>
        <xdr:cNvPr id="14" name="Gráfico 13" descr="Libreta de direcciones contorno">
          <a:extLst>
            <a:ext uri="{FF2B5EF4-FFF2-40B4-BE49-F238E27FC236}">
              <a16:creationId xmlns:a16="http://schemas.microsoft.com/office/drawing/2014/main" id="{C4BC1B71-ACF5-ACFB-2E01-326BE75AB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4855" y="1608976"/>
          <a:ext cx="416959" cy="423380"/>
        </a:xfrm>
        <a:prstGeom prst="rect">
          <a:avLst/>
        </a:prstGeom>
      </xdr:spPr>
    </xdr:pic>
    <xdr:clientData/>
  </xdr:twoCellAnchor>
  <xdr:twoCellAnchor editAs="oneCell">
    <xdr:from>
      <xdr:col>1</xdr:col>
      <xdr:colOff>344292</xdr:colOff>
      <xdr:row>12</xdr:row>
      <xdr:rowOff>96428</xdr:rowOff>
    </xdr:from>
    <xdr:to>
      <xdr:col>1</xdr:col>
      <xdr:colOff>723624</xdr:colOff>
      <xdr:row>14</xdr:row>
      <xdr:rowOff>54894</xdr:rowOff>
    </xdr:to>
    <xdr:pic>
      <xdr:nvPicPr>
        <xdr:cNvPr id="21" name="Gráfico 20" descr="Usuario contorno">
          <a:extLst>
            <a:ext uri="{FF2B5EF4-FFF2-40B4-BE49-F238E27FC236}">
              <a16:creationId xmlns:a16="http://schemas.microsoft.com/office/drawing/2014/main" id="{7CBBB06A-9300-F8CE-5EA2-E96B4EAB1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04152" y="2226175"/>
          <a:ext cx="379332" cy="385174"/>
        </a:xfrm>
        <a:prstGeom prst="rect">
          <a:avLst/>
        </a:prstGeom>
      </xdr:spPr>
    </xdr:pic>
    <xdr:clientData/>
  </xdr:twoCellAnchor>
  <xdr:twoCellAnchor editAs="oneCell">
    <xdr:from>
      <xdr:col>1</xdr:col>
      <xdr:colOff>344293</xdr:colOff>
      <xdr:row>15</xdr:row>
      <xdr:rowOff>69029</xdr:rowOff>
    </xdr:from>
    <xdr:to>
      <xdr:col>1</xdr:col>
      <xdr:colOff>751728</xdr:colOff>
      <xdr:row>17</xdr:row>
      <xdr:rowOff>56175</xdr:rowOff>
    </xdr:to>
    <xdr:pic>
      <xdr:nvPicPr>
        <xdr:cNvPr id="25" name="Gráfico 24" descr="Caja contorno">
          <a:extLst>
            <a:ext uri="{FF2B5EF4-FFF2-40B4-BE49-F238E27FC236}">
              <a16:creationId xmlns:a16="http://schemas.microsoft.com/office/drawing/2014/main" id="{143AF7F7-D34D-EC61-61E9-44A30E72E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4153" y="2787400"/>
          <a:ext cx="407435" cy="413857"/>
        </a:xfrm>
        <a:prstGeom prst="rect">
          <a:avLst/>
        </a:prstGeom>
      </xdr:spPr>
    </xdr:pic>
    <xdr:clientData/>
  </xdr:twoCellAnchor>
  <xdr:twoCellAnchor editAs="oneCell">
    <xdr:from>
      <xdr:col>1</xdr:col>
      <xdr:colOff>387102</xdr:colOff>
      <xdr:row>18</xdr:row>
      <xdr:rowOff>140522</xdr:rowOff>
    </xdr:from>
    <xdr:to>
      <xdr:col>1</xdr:col>
      <xdr:colOff>701171</xdr:colOff>
      <xdr:row>20</xdr:row>
      <xdr:rowOff>33487</xdr:rowOff>
    </xdr:to>
    <xdr:pic>
      <xdr:nvPicPr>
        <xdr:cNvPr id="27" name="Gráfico 26" descr="Calendario giratorio contorno">
          <a:extLst>
            <a:ext uri="{FF2B5EF4-FFF2-40B4-BE49-F238E27FC236}">
              <a16:creationId xmlns:a16="http://schemas.microsoft.com/office/drawing/2014/main" id="{6438CDB3-C344-5D1C-E772-48230D25E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46962" y="3447516"/>
          <a:ext cx="314069" cy="319675"/>
        </a:xfrm>
        <a:prstGeom prst="rect">
          <a:avLst/>
        </a:prstGeom>
      </xdr:spPr>
    </xdr:pic>
    <xdr:clientData/>
  </xdr:twoCellAnchor>
  <xdr:twoCellAnchor editAs="oneCell">
    <xdr:from>
      <xdr:col>1</xdr:col>
      <xdr:colOff>413508</xdr:colOff>
      <xdr:row>24</xdr:row>
      <xdr:rowOff>152489</xdr:rowOff>
    </xdr:from>
    <xdr:to>
      <xdr:col>1</xdr:col>
      <xdr:colOff>710174</xdr:colOff>
      <xdr:row>26</xdr:row>
      <xdr:rowOff>25280</xdr:rowOff>
    </xdr:to>
    <xdr:pic>
      <xdr:nvPicPr>
        <xdr:cNvPr id="37" name="Gráfico 36" descr="Céntimo contorno">
          <a:extLst>
            <a:ext uri="{FF2B5EF4-FFF2-40B4-BE49-F238E27FC236}">
              <a16:creationId xmlns:a16="http://schemas.microsoft.com/office/drawing/2014/main" id="{B869F702-6999-3758-4C73-755F5055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75508" y="5581739"/>
          <a:ext cx="296666" cy="308219"/>
        </a:xfrm>
        <a:prstGeom prst="rect">
          <a:avLst/>
        </a:prstGeom>
      </xdr:spPr>
    </xdr:pic>
    <xdr:clientData/>
  </xdr:twoCellAnchor>
  <xdr:twoCellAnchor editAs="oneCell">
    <xdr:from>
      <xdr:col>1</xdr:col>
      <xdr:colOff>328774</xdr:colOff>
      <xdr:row>21</xdr:row>
      <xdr:rowOff>5995</xdr:rowOff>
    </xdr:from>
    <xdr:to>
      <xdr:col>2</xdr:col>
      <xdr:colOff>43024</xdr:colOff>
      <xdr:row>23</xdr:row>
      <xdr:rowOff>59816</xdr:rowOff>
    </xdr:to>
    <xdr:pic>
      <xdr:nvPicPr>
        <xdr:cNvPr id="39" name="Gráfico 38" descr="Casilla marcada contorno">
          <a:extLst>
            <a:ext uri="{FF2B5EF4-FFF2-40B4-BE49-F238E27FC236}">
              <a16:creationId xmlns:a16="http://schemas.microsoft.com/office/drawing/2014/main" id="{06288C3D-9425-068E-B274-1046188DC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88634" y="3901613"/>
          <a:ext cx="474109" cy="48053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5</xdr:row>
      <xdr:rowOff>38099</xdr:rowOff>
    </xdr:from>
    <xdr:to>
      <xdr:col>11</xdr:col>
      <xdr:colOff>504825</xdr:colOff>
      <xdr:row>19</xdr:row>
      <xdr:rowOff>32107</xdr:rowOff>
    </xdr:to>
    <xdr:sp macro="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E3ABCEA4-D5D6-4C16-83A4-2ED54CB51B23}"/>
            </a:ext>
          </a:extLst>
        </xdr:cNvPr>
        <xdr:cNvSpPr/>
      </xdr:nvSpPr>
      <xdr:spPr>
        <a:xfrm>
          <a:off x="6116976" y="1001301"/>
          <a:ext cx="2746304" cy="2498334"/>
        </a:xfrm>
        <a:prstGeom prst="roundRect">
          <a:avLst>
            <a:gd name="adj" fmla="val 2506"/>
          </a:avLst>
        </a:prstGeom>
        <a:noFill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8</xdr:col>
      <xdr:colOff>85724</xdr:colOff>
      <xdr:row>5</xdr:row>
      <xdr:rowOff>95250</xdr:rowOff>
    </xdr:from>
    <xdr:to>
      <xdr:col>11</xdr:col>
      <xdr:colOff>466725</xdr:colOff>
      <xdr:row>9</xdr:row>
      <xdr:rowOff>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DD1C2C15-E911-4CCB-BD37-CDC6E174F3FA}"/>
            </a:ext>
          </a:extLst>
        </xdr:cNvPr>
        <xdr:cNvSpPr txBox="1"/>
      </xdr:nvSpPr>
      <xdr:spPr>
        <a:xfrm>
          <a:off x="6317795" y="1047750"/>
          <a:ext cx="2667001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>
              <a:solidFill>
                <a:schemeClr val="accent6">
                  <a:lumMod val="50000"/>
                </a:schemeClr>
              </a:solidFill>
            </a:rPr>
            <a:t>                   </a:t>
          </a:r>
          <a:r>
            <a:rPr lang="es-EC" sz="1100" b="1">
              <a:solidFill>
                <a:schemeClr val="accent6">
                  <a:lumMod val="50000"/>
                </a:schemeClr>
              </a:solidFill>
            </a:rPr>
            <a:t>INFORMACIÓN</a:t>
          </a:r>
          <a:r>
            <a:rPr lang="es-EC" sz="1100" b="1" baseline="0">
              <a:solidFill>
                <a:schemeClr val="accent6">
                  <a:lumMod val="50000"/>
                </a:schemeClr>
              </a:solidFill>
            </a:rPr>
            <a:t> ADICIONAL</a:t>
          </a:r>
          <a:endParaRPr lang="es-EC" sz="11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171451</xdr:colOff>
      <xdr:row>5</xdr:row>
      <xdr:rowOff>95251</xdr:rowOff>
    </xdr:from>
    <xdr:to>
      <xdr:col>8</xdr:col>
      <xdr:colOff>605791</xdr:colOff>
      <xdr:row>7</xdr:row>
      <xdr:rowOff>95250</xdr:rowOff>
    </xdr:to>
    <xdr:pic>
      <xdr:nvPicPr>
        <xdr:cNvPr id="46" name="Gráfico 45" descr="Comentario importante contorno">
          <a:extLst>
            <a:ext uri="{FF2B5EF4-FFF2-40B4-BE49-F238E27FC236}">
              <a16:creationId xmlns:a16="http://schemas.microsoft.com/office/drawing/2014/main" id="{E7AD8A85-C512-1325-6BAF-0D95F03C2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267451" y="1047751"/>
          <a:ext cx="434340" cy="380999"/>
        </a:xfrm>
        <a:prstGeom prst="rect">
          <a:avLst/>
        </a:prstGeom>
      </xdr:spPr>
    </xdr:pic>
    <xdr:clientData/>
  </xdr:twoCellAnchor>
  <xdr:twoCellAnchor>
    <xdr:from>
      <xdr:col>8</xdr:col>
      <xdr:colOff>163872</xdr:colOff>
      <xdr:row>10</xdr:row>
      <xdr:rowOff>13270</xdr:rowOff>
    </xdr:from>
    <xdr:to>
      <xdr:col>11</xdr:col>
      <xdr:colOff>389194</xdr:colOff>
      <xdr:row>17</xdr:row>
      <xdr:rowOff>64214</xdr:rowOff>
    </xdr:to>
    <xdr:sp macro="" textlink="">
      <xdr:nvSpPr>
        <xdr:cNvPr id="64" name="Rectángulo 63">
          <a:extLst>
            <a:ext uri="{FF2B5EF4-FFF2-40B4-BE49-F238E27FC236}">
              <a16:creationId xmlns:a16="http://schemas.microsoft.com/office/drawing/2014/main" id="{37C1E050-28BD-45A2-8266-E683BF9195CC}"/>
            </a:ext>
          </a:extLst>
        </xdr:cNvPr>
        <xdr:cNvSpPr/>
      </xdr:nvSpPr>
      <xdr:spPr>
        <a:xfrm>
          <a:off x="6360243" y="2000205"/>
          <a:ext cx="2499032" cy="1495057"/>
        </a:xfrm>
        <a:prstGeom prst="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9</xdr:col>
      <xdr:colOff>21404</xdr:colOff>
      <xdr:row>19</xdr:row>
      <xdr:rowOff>149830</xdr:rowOff>
    </xdr:from>
    <xdr:to>
      <xdr:col>11</xdr:col>
      <xdr:colOff>96320</xdr:colOff>
      <xdr:row>22</xdr:row>
      <xdr:rowOff>160532</xdr:rowOff>
    </xdr:to>
    <xdr:sp macro="[0]!INGRESAR_DATOS" textlink="">
      <xdr:nvSpPr>
        <xdr:cNvPr id="65" name="Rectángulo: biselado 64">
          <a:extLst>
            <a:ext uri="{FF2B5EF4-FFF2-40B4-BE49-F238E27FC236}">
              <a16:creationId xmlns:a16="http://schemas.microsoft.com/office/drawing/2014/main" id="{F691C684-6360-3692-8AA5-889E21E9F851}"/>
            </a:ext>
          </a:extLst>
        </xdr:cNvPr>
        <xdr:cNvSpPr/>
      </xdr:nvSpPr>
      <xdr:spPr>
        <a:xfrm>
          <a:off x="6999269" y="3617358"/>
          <a:ext cx="1594635" cy="588623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      GUARDAR</a:t>
          </a:r>
        </a:p>
      </xdr:txBody>
    </xdr:sp>
    <xdr:clientData/>
  </xdr:twoCellAnchor>
  <xdr:twoCellAnchor editAs="oneCell">
    <xdr:from>
      <xdr:col>9</xdr:col>
      <xdr:colOff>132174</xdr:colOff>
      <xdr:row>20</xdr:row>
      <xdr:rowOff>98781</xdr:rowOff>
    </xdr:from>
    <xdr:to>
      <xdr:col>9</xdr:col>
      <xdr:colOff>446499</xdr:colOff>
      <xdr:row>22</xdr:row>
      <xdr:rowOff>32108</xdr:rowOff>
    </xdr:to>
    <xdr:pic>
      <xdr:nvPicPr>
        <xdr:cNvPr id="53" name="Gráfico 52" descr="Disco contorno">
          <a:extLst>
            <a:ext uri="{FF2B5EF4-FFF2-40B4-BE49-F238E27FC236}">
              <a16:creationId xmlns:a16="http://schemas.microsoft.com/office/drawing/2014/main" id="{F861CA9B-1663-99A4-6B79-4D8E65A4F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7110039" y="3758950"/>
          <a:ext cx="314325" cy="318606"/>
        </a:xfrm>
        <a:prstGeom prst="rect">
          <a:avLst/>
        </a:prstGeom>
      </xdr:spPr>
    </xdr:pic>
    <xdr:clientData/>
  </xdr:twoCellAnchor>
  <xdr:twoCellAnchor>
    <xdr:from>
      <xdr:col>9</xdr:col>
      <xdr:colOff>34673</xdr:colOff>
      <xdr:row>23</xdr:row>
      <xdr:rowOff>141697</xdr:rowOff>
    </xdr:from>
    <xdr:to>
      <xdr:col>11</xdr:col>
      <xdr:colOff>109589</xdr:colOff>
      <xdr:row>26</xdr:row>
      <xdr:rowOff>152399</xdr:rowOff>
    </xdr:to>
    <xdr:sp macro="[0]!LIMPIAR_FROM" textlink="">
      <xdr:nvSpPr>
        <xdr:cNvPr id="66" name="Rectángulo: biselado 65">
          <a:extLst>
            <a:ext uri="{FF2B5EF4-FFF2-40B4-BE49-F238E27FC236}">
              <a16:creationId xmlns:a16="http://schemas.microsoft.com/office/drawing/2014/main" id="{5F478F70-EF4D-45BF-A2CF-38E54E4F0F47}"/>
            </a:ext>
          </a:extLst>
        </xdr:cNvPr>
        <xdr:cNvSpPr/>
      </xdr:nvSpPr>
      <xdr:spPr>
        <a:xfrm>
          <a:off x="7012538" y="4379787"/>
          <a:ext cx="1594635" cy="588623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      LIMPIAR</a:t>
          </a:r>
        </a:p>
      </xdr:txBody>
    </xdr:sp>
    <xdr:clientData/>
  </xdr:twoCellAnchor>
  <xdr:twoCellAnchor editAs="oneCell">
    <xdr:from>
      <xdr:col>9</xdr:col>
      <xdr:colOff>122649</xdr:colOff>
      <xdr:row>24</xdr:row>
      <xdr:rowOff>49980</xdr:rowOff>
    </xdr:from>
    <xdr:to>
      <xdr:col>9</xdr:col>
      <xdr:colOff>475074</xdr:colOff>
      <xdr:row>25</xdr:row>
      <xdr:rowOff>224906</xdr:rowOff>
    </xdr:to>
    <xdr:pic>
      <xdr:nvPicPr>
        <xdr:cNvPr id="56" name="Gráfico 55" descr="Borrador contorno">
          <a:extLst>
            <a:ext uri="{FF2B5EF4-FFF2-40B4-BE49-F238E27FC236}">
              <a16:creationId xmlns:a16="http://schemas.microsoft.com/office/drawing/2014/main" id="{A51EDBCF-DCCA-C378-78FF-9520001E3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100514" y="4480710"/>
          <a:ext cx="352425" cy="356706"/>
        </a:xfrm>
        <a:prstGeom prst="rect">
          <a:avLst/>
        </a:prstGeom>
      </xdr:spPr>
    </xdr:pic>
    <xdr:clientData/>
  </xdr:twoCellAnchor>
  <xdr:twoCellAnchor>
    <xdr:from>
      <xdr:col>6</xdr:col>
      <xdr:colOff>219854</xdr:colOff>
      <xdr:row>8</xdr:row>
      <xdr:rowOff>155640</xdr:rowOff>
    </xdr:from>
    <xdr:to>
      <xdr:col>7</xdr:col>
      <xdr:colOff>594433</xdr:colOff>
      <xdr:row>10</xdr:row>
      <xdr:rowOff>156559</xdr:rowOff>
    </xdr:to>
    <xdr:sp macro="[0]!GENERAR_ID" textlink="">
      <xdr:nvSpPr>
        <xdr:cNvPr id="67" name="Rectángulo: biselado 66">
          <a:extLst>
            <a:ext uri="{FF2B5EF4-FFF2-40B4-BE49-F238E27FC236}">
              <a16:creationId xmlns:a16="http://schemas.microsoft.com/office/drawing/2014/main" id="{2A648F68-FA56-41BC-2624-7A22D2A17BDB}"/>
            </a:ext>
          </a:extLst>
        </xdr:cNvPr>
        <xdr:cNvSpPr/>
      </xdr:nvSpPr>
      <xdr:spPr>
        <a:xfrm>
          <a:off x="4927925" y="1679640"/>
          <a:ext cx="1136579" cy="395526"/>
        </a:xfrm>
        <a:prstGeom prst="bevel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100" b="1"/>
            <a:t>       GENERAR ID</a:t>
          </a:r>
        </a:p>
      </xdr:txBody>
    </xdr:sp>
    <xdr:clientData/>
  </xdr:twoCellAnchor>
  <xdr:twoCellAnchor editAs="oneCell">
    <xdr:from>
      <xdr:col>6</xdr:col>
      <xdr:colOff>323972</xdr:colOff>
      <xdr:row>9</xdr:row>
      <xdr:rowOff>62379</xdr:rowOff>
    </xdr:from>
    <xdr:to>
      <xdr:col>6</xdr:col>
      <xdr:colOff>570123</xdr:colOff>
      <xdr:row>10</xdr:row>
      <xdr:rowOff>62957</xdr:rowOff>
    </xdr:to>
    <xdr:pic>
      <xdr:nvPicPr>
        <xdr:cNvPr id="69" name="Gráfico 68" descr="Repetir contorno">
          <a:extLst>
            <a:ext uri="{FF2B5EF4-FFF2-40B4-BE49-F238E27FC236}">
              <a16:creationId xmlns:a16="http://schemas.microsoft.com/office/drawing/2014/main" id="{54B59FCF-C7AD-6082-62A1-257ADD46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032043" y="1776879"/>
          <a:ext cx="246151" cy="245507"/>
        </a:xfrm>
        <a:prstGeom prst="rect">
          <a:avLst/>
        </a:prstGeom>
      </xdr:spPr>
    </xdr:pic>
    <xdr:clientData/>
  </xdr:twoCellAnchor>
  <xdr:twoCellAnchor editAs="oneCell">
    <xdr:from>
      <xdr:col>1</xdr:col>
      <xdr:colOff>312964</xdr:colOff>
      <xdr:row>26</xdr:row>
      <xdr:rowOff>149678</xdr:rowOff>
    </xdr:from>
    <xdr:to>
      <xdr:col>1</xdr:col>
      <xdr:colOff>748393</xdr:colOff>
      <xdr:row>28</xdr:row>
      <xdr:rowOff>159773</xdr:rowOff>
    </xdr:to>
    <xdr:pic>
      <xdr:nvPicPr>
        <xdr:cNvPr id="72" name="Gráfico 71" descr="Sellos discográfico contorno">
          <a:extLst>
            <a:ext uri="{FF2B5EF4-FFF2-40B4-BE49-F238E27FC236}">
              <a16:creationId xmlns:a16="http://schemas.microsoft.com/office/drawing/2014/main" id="{4F717C1D-0565-60C9-543E-23A667617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074964" y="6027964"/>
          <a:ext cx="435429" cy="445524"/>
        </a:xfrm>
        <a:prstGeom prst="rect">
          <a:avLst/>
        </a:prstGeom>
      </xdr:spPr>
    </xdr:pic>
    <xdr:clientData/>
  </xdr:twoCellAnchor>
  <xdr:oneCellAnchor>
    <xdr:from>
      <xdr:col>1</xdr:col>
      <xdr:colOff>331129</xdr:colOff>
      <xdr:row>29</xdr:row>
      <xdr:rowOff>78662</xdr:rowOff>
    </xdr:from>
    <xdr:ext cx="462979" cy="466889"/>
    <xdr:pic>
      <xdr:nvPicPr>
        <xdr:cNvPr id="73" name="Gráfico 72" descr="Puntos cardinales contorno">
          <a:extLst>
            <a:ext uri="{FF2B5EF4-FFF2-40B4-BE49-F238E27FC236}">
              <a16:creationId xmlns:a16="http://schemas.microsoft.com/office/drawing/2014/main" id="{03ECB1DF-4D80-4684-8D09-C075C5B58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093129" y="5344626"/>
          <a:ext cx="462979" cy="466889"/>
        </a:xfrm>
        <a:prstGeom prst="rect">
          <a:avLst/>
        </a:prstGeom>
      </xdr:spPr>
    </xdr:pic>
    <xdr:clientData/>
  </xdr:oneCellAnchor>
  <xdr:twoCellAnchor>
    <xdr:from>
      <xdr:col>3</xdr:col>
      <xdr:colOff>544287</xdr:colOff>
      <xdr:row>8</xdr:row>
      <xdr:rowOff>163286</xdr:rowOff>
    </xdr:from>
    <xdr:to>
      <xdr:col>6</xdr:col>
      <xdr:colOff>108858</xdr:colOff>
      <xdr:row>10</xdr:row>
      <xdr:rowOff>190501</xdr:rowOff>
    </xdr:to>
    <xdr:sp macro="" textlink="">
      <xdr:nvSpPr>
        <xdr:cNvPr id="74" name="Rectángulo: esquinas redondeadas 73">
          <a:extLst>
            <a:ext uri="{FF2B5EF4-FFF2-40B4-BE49-F238E27FC236}">
              <a16:creationId xmlns:a16="http://schemas.microsoft.com/office/drawing/2014/main" id="{97F5C02A-9052-4C8B-FE5F-560778B56873}"/>
            </a:ext>
          </a:extLst>
        </xdr:cNvPr>
        <xdr:cNvSpPr/>
      </xdr:nvSpPr>
      <xdr:spPr>
        <a:xfrm>
          <a:off x="2830287" y="1687286"/>
          <a:ext cx="19866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574222</xdr:colOff>
      <xdr:row>12</xdr:row>
      <xdr:rowOff>125186</xdr:rowOff>
    </xdr:from>
    <xdr:to>
      <xdr:col>6</xdr:col>
      <xdr:colOff>138793</xdr:colOff>
      <xdr:row>14</xdr:row>
      <xdr:rowOff>111580</xdr:rowOff>
    </xdr:to>
    <xdr:sp macro="" textlink="">
      <xdr:nvSpPr>
        <xdr:cNvPr id="75" name="Rectángulo: esquinas redondeadas 74">
          <a:extLst>
            <a:ext uri="{FF2B5EF4-FFF2-40B4-BE49-F238E27FC236}">
              <a16:creationId xmlns:a16="http://schemas.microsoft.com/office/drawing/2014/main" id="{7DBCC8D2-BF69-4614-B92A-9E19EC4DAE1F}"/>
            </a:ext>
          </a:extLst>
        </xdr:cNvPr>
        <xdr:cNvSpPr/>
      </xdr:nvSpPr>
      <xdr:spPr>
        <a:xfrm>
          <a:off x="2860222" y="2288722"/>
          <a:ext cx="19866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585107</xdr:colOff>
      <xdr:row>15</xdr:row>
      <xdr:rowOff>141515</xdr:rowOff>
    </xdr:from>
    <xdr:to>
      <xdr:col>6</xdr:col>
      <xdr:colOff>263978</xdr:colOff>
      <xdr:row>17</xdr:row>
      <xdr:rowOff>127908</xdr:rowOff>
    </xdr:to>
    <xdr:sp macro="" textlink="">
      <xdr:nvSpPr>
        <xdr:cNvPr id="76" name="Rectángulo: esquinas redondeadas 75">
          <a:extLst>
            <a:ext uri="{FF2B5EF4-FFF2-40B4-BE49-F238E27FC236}">
              <a16:creationId xmlns:a16="http://schemas.microsoft.com/office/drawing/2014/main" id="{B7CD299A-99E0-442A-83D9-8FFCDF2E80C6}"/>
            </a:ext>
          </a:extLst>
        </xdr:cNvPr>
        <xdr:cNvSpPr/>
      </xdr:nvSpPr>
      <xdr:spPr>
        <a:xfrm>
          <a:off x="2871107" y="2930979"/>
          <a:ext cx="21009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612322</xdr:colOff>
      <xdr:row>18</xdr:row>
      <xdr:rowOff>73479</xdr:rowOff>
    </xdr:from>
    <xdr:to>
      <xdr:col>6</xdr:col>
      <xdr:colOff>291193</xdr:colOff>
      <xdr:row>20</xdr:row>
      <xdr:rowOff>59873</xdr:rowOff>
    </xdr:to>
    <xdr:sp macro="" textlink="">
      <xdr:nvSpPr>
        <xdr:cNvPr id="77" name="Rectángulo: esquinas redondeadas 76">
          <a:extLst>
            <a:ext uri="{FF2B5EF4-FFF2-40B4-BE49-F238E27FC236}">
              <a16:creationId xmlns:a16="http://schemas.microsoft.com/office/drawing/2014/main" id="{E8F21861-AD3E-47CF-95CC-EB764477EACD}"/>
            </a:ext>
          </a:extLst>
        </xdr:cNvPr>
        <xdr:cNvSpPr/>
      </xdr:nvSpPr>
      <xdr:spPr>
        <a:xfrm>
          <a:off x="2898322" y="4250872"/>
          <a:ext cx="21009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628650</xdr:colOff>
      <xdr:row>21</xdr:row>
      <xdr:rowOff>103415</xdr:rowOff>
    </xdr:from>
    <xdr:to>
      <xdr:col>6</xdr:col>
      <xdr:colOff>307521</xdr:colOff>
      <xdr:row>23</xdr:row>
      <xdr:rowOff>89808</xdr:rowOff>
    </xdr:to>
    <xdr:sp macro="" textlink="">
      <xdr:nvSpPr>
        <xdr:cNvPr id="78" name="Rectángulo: esquinas redondeadas 77">
          <a:extLst>
            <a:ext uri="{FF2B5EF4-FFF2-40B4-BE49-F238E27FC236}">
              <a16:creationId xmlns:a16="http://schemas.microsoft.com/office/drawing/2014/main" id="{913A0BC2-C00A-4F48-8520-B82F7AFCE835}"/>
            </a:ext>
          </a:extLst>
        </xdr:cNvPr>
        <xdr:cNvSpPr/>
      </xdr:nvSpPr>
      <xdr:spPr>
        <a:xfrm>
          <a:off x="2914650" y="4906736"/>
          <a:ext cx="21009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631371</xdr:colOff>
      <xdr:row>23</xdr:row>
      <xdr:rowOff>160565</xdr:rowOff>
    </xdr:from>
    <xdr:to>
      <xdr:col>6</xdr:col>
      <xdr:colOff>310242</xdr:colOff>
      <xdr:row>25</xdr:row>
      <xdr:rowOff>149679</xdr:rowOff>
    </xdr:to>
    <xdr:sp macro="" textlink="">
      <xdr:nvSpPr>
        <xdr:cNvPr id="79" name="Rectángulo: esquinas redondeadas 78">
          <a:extLst>
            <a:ext uri="{FF2B5EF4-FFF2-40B4-BE49-F238E27FC236}">
              <a16:creationId xmlns:a16="http://schemas.microsoft.com/office/drawing/2014/main" id="{066491EF-F50C-48A0-883C-47A867B84EEC}"/>
            </a:ext>
          </a:extLst>
        </xdr:cNvPr>
        <xdr:cNvSpPr/>
      </xdr:nvSpPr>
      <xdr:spPr>
        <a:xfrm>
          <a:off x="2917371" y="5399315"/>
          <a:ext cx="2100942" cy="370114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606878</xdr:colOff>
      <xdr:row>26</xdr:row>
      <xdr:rowOff>81643</xdr:rowOff>
    </xdr:from>
    <xdr:to>
      <xdr:col>6</xdr:col>
      <xdr:colOff>285749</xdr:colOff>
      <xdr:row>28</xdr:row>
      <xdr:rowOff>16329</xdr:rowOff>
    </xdr:to>
    <xdr:sp macro="" textlink="">
      <xdr:nvSpPr>
        <xdr:cNvPr id="80" name="Rectángulo: esquinas redondeadas 79">
          <a:extLst>
            <a:ext uri="{FF2B5EF4-FFF2-40B4-BE49-F238E27FC236}">
              <a16:creationId xmlns:a16="http://schemas.microsoft.com/office/drawing/2014/main" id="{D46EA7DC-54B5-409B-9102-FF9E06A44F28}"/>
            </a:ext>
          </a:extLst>
        </xdr:cNvPr>
        <xdr:cNvSpPr/>
      </xdr:nvSpPr>
      <xdr:spPr>
        <a:xfrm>
          <a:off x="2892878" y="5946322"/>
          <a:ext cx="2100942" cy="370114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636814</xdr:colOff>
      <xdr:row>29</xdr:row>
      <xdr:rowOff>84365</xdr:rowOff>
    </xdr:from>
    <xdr:to>
      <xdr:col>6</xdr:col>
      <xdr:colOff>315685</xdr:colOff>
      <xdr:row>31</xdr:row>
      <xdr:rowOff>5443</xdr:rowOff>
    </xdr:to>
    <xdr:sp macro="" textlink="">
      <xdr:nvSpPr>
        <xdr:cNvPr id="81" name="Rectángulo: esquinas redondeadas 80">
          <a:extLst>
            <a:ext uri="{FF2B5EF4-FFF2-40B4-BE49-F238E27FC236}">
              <a16:creationId xmlns:a16="http://schemas.microsoft.com/office/drawing/2014/main" id="{F3172EE9-4060-4EB7-822A-6A95B8B540B1}"/>
            </a:ext>
          </a:extLst>
        </xdr:cNvPr>
        <xdr:cNvSpPr/>
      </xdr:nvSpPr>
      <xdr:spPr>
        <a:xfrm>
          <a:off x="2922814" y="6574972"/>
          <a:ext cx="2100942" cy="370114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456127</xdr:colOff>
      <xdr:row>0</xdr:row>
      <xdr:rowOff>174402</xdr:rowOff>
    </xdr:from>
    <xdr:to>
      <xdr:col>11</xdr:col>
      <xdr:colOff>326444</xdr:colOff>
      <xdr:row>3</xdr:row>
      <xdr:rowOff>52690</xdr:rowOff>
    </xdr:to>
    <xdr:sp macro="" textlink="">
      <xdr:nvSpPr>
        <xdr:cNvPr id="82" name="Rectángulo 81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3C8D3E91-3E60-4517-A6D6-D05F84EB8F6B}"/>
            </a:ext>
          </a:extLst>
        </xdr:cNvPr>
        <xdr:cNvSpPr/>
      </xdr:nvSpPr>
      <xdr:spPr>
        <a:xfrm>
          <a:off x="8237113" y="174402"/>
          <a:ext cx="635000" cy="441739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8</xdr:col>
      <xdr:colOff>201232</xdr:colOff>
      <xdr:row>28</xdr:row>
      <xdr:rowOff>26831</xdr:rowOff>
    </xdr:from>
    <xdr:to>
      <xdr:col>11</xdr:col>
      <xdr:colOff>523204</xdr:colOff>
      <xdr:row>31</xdr:row>
      <xdr:rowOff>67078</xdr:rowOff>
    </xdr:to>
    <xdr:sp macro="" textlink="">
      <xdr:nvSpPr>
        <xdr:cNvPr id="83" name="Rectángulo: biselado 82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B415E87-E454-0503-B4A2-C80030A6ACA4}"/>
            </a:ext>
          </a:extLst>
        </xdr:cNvPr>
        <xdr:cNvSpPr/>
      </xdr:nvSpPr>
      <xdr:spPr>
        <a:xfrm>
          <a:off x="6452852" y="5661338"/>
          <a:ext cx="2616021" cy="6707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          VERIFICAR REGISTRO</a:t>
          </a:r>
        </a:p>
      </xdr:txBody>
    </xdr:sp>
    <xdr:clientData/>
  </xdr:twoCellAnchor>
  <xdr:twoCellAnchor editAs="oneCell">
    <xdr:from>
      <xdr:col>8</xdr:col>
      <xdr:colOff>389049</xdr:colOff>
      <xdr:row>28</xdr:row>
      <xdr:rowOff>120741</xdr:rowOff>
    </xdr:from>
    <xdr:to>
      <xdr:col>9</xdr:col>
      <xdr:colOff>40246</xdr:colOff>
      <xdr:row>30</xdr:row>
      <xdr:rowOff>147572</xdr:rowOff>
    </xdr:to>
    <xdr:pic>
      <xdr:nvPicPr>
        <xdr:cNvPr id="85" name="Gráfico 84" descr="Marca de verificación con relleno sólido">
          <a:extLst>
            <a:ext uri="{FF2B5EF4-FFF2-40B4-BE49-F238E27FC236}">
              <a16:creationId xmlns:a16="http://schemas.microsoft.com/office/drawing/2014/main" id="{9FBFA90B-D765-FCA4-3126-C9317AF0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6640669" y="5755248"/>
          <a:ext cx="415880" cy="4158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1</xdr:row>
      <xdr:rowOff>-1</xdr:rowOff>
    </xdr:from>
    <xdr:to>
      <xdr:col>9</xdr:col>
      <xdr:colOff>0</xdr:colOff>
      <xdr:row>4</xdr:row>
      <xdr:rowOff>50131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66EF496B-2787-4111-8D5A-B3DDFC55F304}"/>
            </a:ext>
          </a:extLst>
        </xdr:cNvPr>
        <xdr:cNvSpPr/>
      </xdr:nvSpPr>
      <xdr:spPr>
        <a:xfrm>
          <a:off x="762000" y="190499"/>
          <a:ext cx="12887325" cy="621632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695324</xdr:colOff>
      <xdr:row>1</xdr:row>
      <xdr:rowOff>0</xdr:rowOff>
    </xdr:from>
    <xdr:to>
      <xdr:col>6</xdr:col>
      <xdr:colOff>406792</xdr:colOff>
      <xdr:row>3</xdr:row>
      <xdr:rowOff>63571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37EE0547-3077-4B9B-A9C8-930B1907E0E2}"/>
            </a:ext>
          </a:extLst>
        </xdr:cNvPr>
        <xdr:cNvSpPr txBox="1"/>
      </xdr:nvSpPr>
      <xdr:spPr>
        <a:xfrm>
          <a:off x="1457324" y="190500"/>
          <a:ext cx="8169668" cy="444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BASE DE DATOS - REGISTROS</a:t>
          </a:r>
        </a:p>
      </xdr:txBody>
    </xdr:sp>
    <xdr:clientData/>
  </xdr:twoCellAnchor>
  <xdr:twoCellAnchor>
    <xdr:from>
      <xdr:col>1</xdr:col>
      <xdr:colOff>726239</xdr:colOff>
      <xdr:row>2</xdr:row>
      <xdr:rowOff>121652</xdr:rowOff>
    </xdr:from>
    <xdr:to>
      <xdr:col>6</xdr:col>
      <xdr:colOff>437707</xdr:colOff>
      <xdr:row>4</xdr:row>
      <xdr:rowOff>183083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D521A84B-0B1F-4571-BC36-F6F6F1BB74A7}"/>
            </a:ext>
          </a:extLst>
        </xdr:cNvPr>
        <xdr:cNvSpPr txBox="1"/>
      </xdr:nvSpPr>
      <xdr:spPr>
        <a:xfrm>
          <a:off x="1488239" y="502652"/>
          <a:ext cx="8169668" cy="4424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1</xdr:row>
      <xdr:rowOff>0</xdr:rowOff>
    </xdr:from>
    <xdr:to>
      <xdr:col>1</xdr:col>
      <xdr:colOff>647700</xdr:colOff>
      <xdr:row>3</xdr:row>
      <xdr:rowOff>114300</xdr:rowOff>
    </xdr:to>
    <xdr:pic>
      <xdr:nvPicPr>
        <xdr:cNvPr id="5" name="Gráfico 4" descr="Base de datos con relleno sólido">
          <a:extLst>
            <a:ext uri="{FF2B5EF4-FFF2-40B4-BE49-F238E27FC236}">
              <a16:creationId xmlns:a16="http://schemas.microsoft.com/office/drawing/2014/main" id="{E09A08DC-9787-4FDD-91D1-7BB398A66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4400" y="190500"/>
          <a:ext cx="495300" cy="495300"/>
        </a:xfrm>
        <a:prstGeom prst="rect">
          <a:avLst/>
        </a:prstGeom>
      </xdr:spPr>
    </xdr:pic>
    <xdr:clientData/>
  </xdr:twoCellAnchor>
  <xdr:twoCellAnchor>
    <xdr:from>
      <xdr:col>8</xdr:col>
      <xdr:colOff>869674</xdr:colOff>
      <xdr:row>1</xdr:row>
      <xdr:rowOff>82826</xdr:rowOff>
    </xdr:from>
    <xdr:to>
      <xdr:col>8</xdr:col>
      <xdr:colOff>1504674</xdr:colOff>
      <xdr:row>3</xdr:row>
      <xdr:rowOff>138043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6A6A5D-9811-4FD6-8940-C9C552806467}"/>
            </a:ext>
          </a:extLst>
        </xdr:cNvPr>
        <xdr:cNvSpPr/>
      </xdr:nvSpPr>
      <xdr:spPr>
        <a:xfrm>
          <a:off x="12747349" y="273326"/>
          <a:ext cx="635000" cy="436217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9</xdr:col>
      <xdr:colOff>662608</xdr:colOff>
      <xdr:row>15</xdr:row>
      <xdr:rowOff>82826</xdr:rowOff>
    </xdr:from>
    <xdr:to>
      <xdr:col>14</xdr:col>
      <xdr:colOff>469348</xdr:colOff>
      <xdr:row>18</xdr:row>
      <xdr:rowOff>27608</xdr:rowOff>
    </xdr:to>
    <xdr:sp macro="[0]!GenerarClientes" textlink="">
      <xdr:nvSpPr>
        <xdr:cNvPr id="7" name="Rectángulo 6">
          <a:extLst>
            <a:ext uri="{FF2B5EF4-FFF2-40B4-BE49-F238E27FC236}">
              <a16:creationId xmlns:a16="http://schemas.microsoft.com/office/drawing/2014/main" id="{7C17104C-BEED-1A18-A840-B85CA88991D5}"/>
            </a:ext>
          </a:extLst>
        </xdr:cNvPr>
        <xdr:cNvSpPr/>
      </xdr:nvSpPr>
      <xdr:spPr>
        <a:xfrm>
          <a:off x="14301304" y="3064565"/>
          <a:ext cx="3602935" cy="52456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INTRODUCCIR</a:t>
          </a:r>
          <a:r>
            <a:rPr lang="es-EC" sz="1100" baseline="0"/>
            <a:t> DATOS (100)</a:t>
          </a:r>
        </a:p>
        <a:p>
          <a:pPr algn="l"/>
          <a:endParaRPr lang="es-EC" sz="1100"/>
        </a:p>
      </xdr:txBody>
    </xdr:sp>
    <xdr:clientData/>
  </xdr:twoCellAnchor>
  <xdr:twoCellAnchor>
    <xdr:from>
      <xdr:col>10</xdr:col>
      <xdr:colOff>234674</xdr:colOff>
      <xdr:row>20</xdr:row>
      <xdr:rowOff>0</xdr:rowOff>
    </xdr:from>
    <xdr:to>
      <xdr:col>13</xdr:col>
      <xdr:colOff>510761</xdr:colOff>
      <xdr:row>23</xdr:row>
      <xdr:rowOff>13804</xdr:rowOff>
    </xdr:to>
    <xdr:sp macro="[0]!GenerarMOREClientes" textlink="">
      <xdr:nvSpPr>
        <xdr:cNvPr id="8" name="Elipse 7">
          <a:extLst>
            <a:ext uri="{FF2B5EF4-FFF2-40B4-BE49-F238E27FC236}">
              <a16:creationId xmlns:a16="http://schemas.microsoft.com/office/drawing/2014/main" id="{69A950DD-A549-593B-C127-6EEE60A9F9B8}"/>
            </a:ext>
          </a:extLst>
        </xdr:cNvPr>
        <xdr:cNvSpPr/>
      </xdr:nvSpPr>
      <xdr:spPr>
        <a:xfrm>
          <a:off x="14632609" y="3906630"/>
          <a:ext cx="2553804" cy="593587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INTRODUCIR MAS DATOS</a:t>
          </a:r>
        </a:p>
        <a:p>
          <a:pPr algn="l"/>
          <a:endParaRPr lang="es-EC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1</xdr:row>
      <xdr:rowOff>-1</xdr:rowOff>
    </xdr:from>
    <xdr:to>
      <xdr:col>9</xdr:col>
      <xdr:colOff>0</xdr:colOff>
      <xdr:row>4</xdr:row>
      <xdr:rowOff>50131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5E409523-0B4E-4C92-8ED1-F8BB0625E570}"/>
            </a:ext>
          </a:extLst>
        </xdr:cNvPr>
        <xdr:cNvSpPr/>
      </xdr:nvSpPr>
      <xdr:spPr>
        <a:xfrm>
          <a:off x="762000" y="183815"/>
          <a:ext cx="13224712" cy="601579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695324</xdr:colOff>
      <xdr:row>1</xdr:row>
      <xdr:rowOff>0</xdr:rowOff>
    </xdr:from>
    <xdr:to>
      <xdr:col>6</xdr:col>
      <xdr:colOff>406792</xdr:colOff>
      <xdr:row>3</xdr:row>
      <xdr:rowOff>63571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06F61F6-F2E8-464F-BA7E-7910AC05073D}"/>
            </a:ext>
          </a:extLst>
        </xdr:cNvPr>
        <xdr:cNvSpPr txBox="1"/>
      </xdr:nvSpPr>
      <xdr:spPr>
        <a:xfrm>
          <a:off x="1457324" y="190500"/>
          <a:ext cx="3521468" cy="444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BASE DE DATOS - REGISTROS</a:t>
          </a:r>
        </a:p>
      </xdr:txBody>
    </xdr:sp>
    <xdr:clientData/>
  </xdr:twoCellAnchor>
  <xdr:twoCellAnchor>
    <xdr:from>
      <xdr:col>1</xdr:col>
      <xdr:colOff>726239</xdr:colOff>
      <xdr:row>2</xdr:row>
      <xdr:rowOff>121652</xdr:rowOff>
    </xdr:from>
    <xdr:to>
      <xdr:col>6</xdr:col>
      <xdr:colOff>437707</xdr:colOff>
      <xdr:row>4</xdr:row>
      <xdr:rowOff>183083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4BBF6D2-E444-465A-A983-AB888A2BDDB7}"/>
            </a:ext>
          </a:extLst>
        </xdr:cNvPr>
        <xdr:cNvSpPr txBox="1"/>
      </xdr:nvSpPr>
      <xdr:spPr>
        <a:xfrm>
          <a:off x="1494923" y="489284"/>
          <a:ext cx="8033310" cy="429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1</xdr:row>
      <xdr:rowOff>0</xdr:rowOff>
    </xdr:from>
    <xdr:to>
      <xdr:col>1</xdr:col>
      <xdr:colOff>647700</xdr:colOff>
      <xdr:row>3</xdr:row>
      <xdr:rowOff>114300</xdr:rowOff>
    </xdr:to>
    <xdr:pic>
      <xdr:nvPicPr>
        <xdr:cNvPr id="7" name="Gráfico 6" descr="Base de datos con relleno sólido">
          <a:extLst>
            <a:ext uri="{FF2B5EF4-FFF2-40B4-BE49-F238E27FC236}">
              <a16:creationId xmlns:a16="http://schemas.microsoft.com/office/drawing/2014/main" id="{A5BFBC5C-40D5-5B99-24F6-0DA88BC40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4400" y="190500"/>
          <a:ext cx="495300" cy="495300"/>
        </a:xfrm>
        <a:prstGeom prst="rect">
          <a:avLst/>
        </a:prstGeom>
      </xdr:spPr>
    </xdr:pic>
    <xdr:clientData/>
  </xdr:twoCellAnchor>
  <xdr:twoCellAnchor>
    <xdr:from>
      <xdr:col>8</xdr:col>
      <xdr:colOff>869674</xdr:colOff>
      <xdr:row>1</xdr:row>
      <xdr:rowOff>82826</xdr:rowOff>
    </xdr:from>
    <xdr:to>
      <xdr:col>8</xdr:col>
      <xdr:colOff>1504674</xdr:colOff>
      <xdr:row>3</xdr:row>
      <xdr:rowOff>138043</xdr:rowOff>
    </xdr:to>
    <xdr:sp macro="" textlink="">
      <xdr:nvSpPr>
        <xdr:cNvPr id="8" name="Rectá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91AC69-EBC4-532E-ED59-E6E031F87509}"/>
            </a:ext>
          </a:extLst>
        </xdr:cNvPr>
        <xdr:cNvSpPr/>
      </xdr:nvSpPr>
      <xdr:spPr>
        <a:xfrm>
          <a:off x="12741413" y="276087"/>
          <a:ext cx="635000" cy="441739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40247</xdr:colOff>
      <xdr:row>3</xdr:row>
      <xdr:rowOff>58414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BDD31FF0-9763-4558-944C-2A02F5C86128}"/>
            </a:ext>
          </a:extLst>
        </xdr:cNvPr>
        <xdr:cNvSpPr/>
      </xdr:nvSpPr>
      <xdr:spPr>
        <a:xfrm>
          <a:off x="764683" y="0"/>
          <a:ext cx="8129789" cy="621865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617113</xdr:colOff>
      <xdr:row>0</xdr:row>
      <xdr:rowOff>40247</xdr:rowOff>
    </xdr:from>
    <xdr:to>
      <xdr:col>4</xdr:col>
      <xdr:colOff>701104</xdr:colOff>
      <xdr:row>2</xdr:row>
      <xdr:rowOff>114706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CBD897E2-9A44-4B4B-8BB9-48C57527B95C}"/>
            </a:ext>
          </a:extLst>
        </xdr:cNvPr>
        <xdr:cNvSpPr txBox="1"/>
      </xdr:nvSpPr>
      <xdr:spPr>
        <a:xfrm>
          <a:off x="1381796" y="40247"/>
          <a:ext cx="8173533" cy="4500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OBSERVACIONES</a:t>
          </a:r>
        </a:p>
      </xdr:txBody>
    </xdr:sp>
    <xdr:clientData/>
  </xdr:twoCellAnchor>
  <xdr:twoCellAnchor>
    <xdr:from>
      <xdr:col>1</xdr:col>
      <xdr:colOff>643944</xdr:colOff>
      <xdr:row>1</xdr:row>
      <xdr:rowOff>134155</xdr:rowOff>
    </xdr:from>
    <xdr:to>
      <xdr:col>4</xdr:col>
      <xdr:colOff>727935</xdr:colOff>
      <xdr:row>4</xdr:row>
      <xdr:rowOff>18656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CF516BD-D4E0-43DE-9376-A066DC25EACE}"/>
            </a:ext>
          </a:extLst>
        </xdr:cNvPr>
        <xdr:cNvSpPr txBox="1"/>
      </xdr:nvSpPr>
      <xdr:spPr>
        <a:xfrm>
          <a:off x="1408627" y="321972"/>
          <a:ext cx="8173533" cy="447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120739</xdr:colOff>
      <xdr:row>0</xdr:row>
      <xdr:rowOff>0</xdr:rowOff>
    </xdr:from>
    <xdr:to>
      <xdr:col>1</xdr:col>
      <xdr:colOff>711021</xdr:colOff>
      <xdr:row>3</xdr:row>
      <xdr:rowOff>26831</xdr:rowOff>
    </xdr:to>
    <xdr:pic>
      <xdr:nvPicPr>
        <xdr:cNvPr id="7" name="Gráfico 6" descr="Notas adhesivas  con relleno sólido">
          <a:extLst>
            <a:ext uri="{FF2B5EF4-FFF2-40B4-BE49-F238E27FC236}">
              <a16:creationId xmlns:a16="http://schemas.microsoft.com/office/drawing/2014/main" id="{ADAC0BFE-AAE0-3BE5-17DD-63887E7BA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5422" y="0"/>
          <a:ext cx="590282" cy="590282"/>
        </a:xfrm>
        <a:prstGeom prst="rect">
          <a:avLst/>
        </a:prstGeom>
      </xdr:spPr>
    </xdr:pic>
    <xdr:clientData/>
  </xdr:twoCellAnchor>
  <xdr:twoCellAnchor>
    <xdr:from>
      <xdr:col>3</xdr:col>
      <xdr:colOff>3461198</xdr:colOff>
      <xdr:row>0</xdr:row>
      <xdr:rowOff>93909</xdr:rowOff>
    </xdr:from>
    <xdr:to>
      <xdr:col>3</xdr:col>
      <xdr:colOff>4096198</xdr:colOff>
      <xdr:row>2</xdr:row>
      <xdr:rowOff>160014</xdr:rowOff>
    </xdr:to>
    <xdr:sp macro="" textlink="">
      <xdr:nvSpPr>
        <xdr:cNvPr id="8" name="Rectá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726857-C527-496B-A8D6-0C8C436DE9EB}"/>
            </a:ext>
          </a:extLst>
        </xdr:cNvPr>
        <xdr:cNvSpPr/>
      </xdr:nvSpPr>
      <xdr:spPr>
        <a:xfrm>
          <a:off x="8062712" y="93909"/>
          <a:ext cx="635000" cy="441739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40247</xdr:colOff>
      <xdr:row>3</xdr:row>
      <xdr:rowOff>58414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886F4A7E-2031-41DE-A5AE-E96E41656E33}"/>
            </a:ext>
          </a:extLst>
        </xdr:cNvPr>
        <xdr:cNvSpPr/>
      </xdr:nvSpPr>
      <xdr:spPr>
        <a:xfrm>
          <a:off x="762000" y="0"/>
          <a:ext cx="8146022" cy="629914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617113</xdr:colOff>
      <xdr:row>0</xdr:row>
      <xdr:rowOff>40247</xdr:rowOff>
    </xdr:from>
    <xdr:to>
      <xdr:col>4</xdr:col>
      <xdr:colOff>701104</xdr:colOff>
      <xdr:row>2</xdr:row>
      <xdr:rowOff>114706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B0FBA551-046A-4E71-A956-17B1EA3ED2B2}"/>
            </a:ext>
          </a:extLst>
        </xdr:cNvPr>
        <xdr:cNvSpPr txBox="1"/>
      </xdr:nvSpPr>
      <xdr:spPr>
        <a:xfrm>
          <a:off x="1379113" y="40247"/>
          <a:ext cx="8189766" cy="455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OBSERVACIONES</a:t>
          </a:r>
        </a:p>
      </xdr:txBody>
    </xdr:sp>
    <xdr:clientData/>
  </xdr:twoCellAnchor>
  <xdr:twoCellAnchor>
    <xdr:from>
      <xdr:col>1</xdr:col>
      <xdr:colOff>643944</xdr:colOff>
      <xdr:row>1</xdr:row>
      <xdr:rowOff>134155</xdr:rowOff>
    </xdr:from>
    <xdr:to>
      <xdr:col>4</xdr:col>
      <xdr:colOff>727935</xdr:colOff>
      <xdr:row>4</xdr:row>
      <xdr:rowOff>18656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424B72A0-35FD-429A-98FE-C2FF012038D6}"/>
            </a:ext>
          </a:extLst>
        </xdr:cNvPr>
        <xdr:cNvSpPr txBox="1"/>
      </xdr:nvSpPr>
      <xdr:spPr>
        <a:xfrm>
          <a:off x="1405944" y="324655"/>
          <a:ext cx="8189766" cy="456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120739</xdr:colOff>
      <xdr:row>0</xdr:row>
      <xdr:rowOff>0</xdr:rowOff>
    </xdr:from>
    <xdr:to>
      <xdr:col>1</xdr:col>
      <xdr:colOff>711021</xdr:colOff>
      <xdr:row>3</xdr:row>
      <xdr:rowOff>26831</xdr:rowOff>
    </xdr:to>
    <xdr:pic>
      <xdr:nvPicPr>
        <xdr:cNvPr id="5" name="Gráfico 4" descr="Notas adhesivas  con relleno sólido">
          <a:extLst>
            <a:ext uri="{FF2B5EF4-FFF2-40B4-BE49-F238E27FC236}">
              <a16:creationId xmlns:a16="http://schemas.microsoft.com/office/drawing/2014/main" id="{F291B1E3-AE7B-48A5-947E-6AFE73CD8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2739" y="0"/>
          <a:ext cx="590282" cy="598331"/>
        </a:xfrm>
        <a:prstGeom prst="rect">
          <a:avLst/>
        </a:prstGeom>
      </xdr:spPr>
    </xdr:pic>
    <xdr:clientData/>
  </xdr:twoCellAnchor>
  <xdr:twoCellAnchor>
    <xdr:from>
      <xdr:col>3</xdr:col>
      <xdr:colOff>3461198</xdr:colOff>
      <xdr:row>0</xdr:row>
      <xdr:rowOff>93909</xdr:rowOff>
    </xdr:from>
    <xdr:to>
      <xdr:col>3</xdr:col>
      <xdr:colOff>4096198</xdr:colOff>
      <xdr:row>2</xdr:row>
      <xdr:rowOff>160014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D7E1EC-716C-4C4B-A324-34A8F42712DD}"/>
            </a:ext>
          </a:extLst>
        </xdr:cNvPr>
        <xdr:cNvSpPr/>
      </xdr:nvSpPr>
      <xdr:spPr>
        <a:xfrm>
          <a:off x="8071298" y="93909"/>
          <a:ext cx="635000" cy="44710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6</xdr:col>
      <xdr:colOff>590281</xdr:colOff>
      <xdr:row>7</xdr:row>
      <xdr:rowOff>93909</xdr:rowOff>
    </xdr:from>
    <xdr:to>
      <xdr:col>9</xdr:col>
      <xdr:colOff>160986</xdr:colOff>
      <xdr:row>11</xdr:row>
      <xdr:rowOff>40246</xdr:rowOff>
    </xdr:to>
    <xdr:sp macro="[0]!GenerarObservaciones" textlink="">
      <xdr:nvSpPr>
        <xdr:cNvPr id="7" name="Rectángulo 6">
          <a:extLst>
            <a:ext uri="{FF2B5EF4-FFF2-40B4-BE49-F238E27FC236}">
              <a16:creationId xmlns:a16="http://schemas.microsoft.com/office/drawing/2014/main" id="{E5A25251-BB61-6484-6B48-FC402CF9A09E}"/>
            </a:ext>
          </a:extLst>
        </xdr:cNvPr>
        <xdr:cNvSpPr/>
      </xdr:nvSpPr>
      <xdr:spPr>
        <a:xfrm>
          <a:off x="10973873" y="1515951"/>
          <a:ext cx="1864754" cy="69760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38100</xdr:rowOff>
    </xdr:from>
    <xdr:to>
      <xdr:col>10</xdr:col>
      <xdr:colOff>32288</xdr:colOff>
      <xdr:row>4</xdr:row>
      <xdr:rowOff>96514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7EDF0324-E668-4FC3-8E00-D85B634B156E}"/>
            </a:ext>
          </a:extLst>
        </xdr:cNvPr>
        <xdr:cNvSpPr/>
      </xdr:nvSpPr>
      <xdr:spPr>
        <a:xfrm>
          <a:off x="1019982" y="231829"/>
          <a:ext cx="11798408" cy="639600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711613</xdr:colOff>
      <xdr:row>1</xdr:row>
      <xdr:rowOff>38101</xdr:rowOff>
    </xdr:from>
    <xdr:to>
      <xdr:col>9</xdr:col>
      <xdr:colOff>0</xdr:colOff>
      <xdr:row>3</xdr:row>
      <xdr:rowOff>107194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56788079-7687-4F7D-B0FD-8E0EFEAC3CC9}"/>
            </a:ext>
          </a:extLst>
        </xdr:cNvPr>
        <xdr:cNvSpPr txBox="1"/>
      </xdr:nvSpPr>
      <xdr:spPr>
        <a:xfrm>
          <a:off x="1473613" y="38101"/>
          <a:ext cx="8173533" cy="4500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BASE DE DATOS - REGISTROS LIMPIOS</a:t>
          </a:r>
        </a:p>
      </xdr:txBody>
    </xdr:sp>
    <xdr:clientData/>
  </xdr:twoCellAnchor>
  <xdr:twoCellAnchor>
    <xdr:from>
      <xdr:col>1</xdr:col>
      <xdr:colOff>742528</xdr:colOff>
      <xdr:row>2</xdr:row>
      <xdr:rowOff>162514</xdr:rowOff>
    </xdr:from>
    <xdr:to>
      <xdr:col>9</xdr:col>
      <xdr:colOff>0</xdr:colOff>
      <xdr:row>5</xdr:row>
      <xdr:rowOff>38966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A3172A1-B449-4C5D-B3F1-47880A0D7A82}"/>
            </a:ext>
          </a:extLst>
        </xdr:cNvPr>
        <xdr:cNvSpPr txBox="1"/>
      </xdr:nvSpPr>
      <xdr:spPr>
        <a:xfrm>
          <a:off x="1504528" y="353014"/>
          <a:ext cx="8173533" cy="447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168689</xdr:colOff>
      <xdr:row>1</xdr:row>
      <xdr:rowOff>38101</xdr:rowOff>
    </xdr:from>
    <xdr:to>
      <xdr:col>1</xdr:col>
      <xdr:colOff>663989</xdr:colOff>
      <xdr:row>3</xdr:row>
      <xdr:rowOff>157924</xdr:rowOff>
    </xdr:to>
    <xdr:pic>
      <xdr:nvPicPr>
        <xdr:cNvPr id="5" name="Gráfico 4" descr="Base de datos con relleno sólido">
          <a:extLst>
            <a:ext uri="{FF2B5EF4-FFF2-40B4-BE49-F238E27FC236}">
              <a16:creationId xmlns:a16="http://schemas.microsoft.com/office/drawing/2014/main" id="{2FBA9388-B0A4-4B51-9622-26377FE4F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0689" y="38101"/>
          <a:ext cx="495300" cy="500822"/>
        </a:xfrm>
        <a:prstGeom prst="rect">
          <a:avLst/>
        </a:prstGeom>
      </xdr:spPr>
    </xdr:pic>
    <xdr:clientData/>
  </xdr:twoCellAnchor>
  <xdr:twoCellAnchor>
    <xdr:from>
      <xdr:col>9</xdr:col>
      <xdr:colOff>758771</xdr:colOff>
      <xdr:row>1</xdr:row>
      <xdr:rowOff>137071</xdr:rowOff>
    </xdr:from>
    <xdr:to>
      <xdr:col>9</xdr:col>
      <xdr:colOff>1200234</xdr:colOff>
      <xdr:row>4</xdr:row>
      <xdr:rowOff>4081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580A4B-3FA8-4738-8954-8A59E95623FC}"/>
            </a:ext>
          </a:extLst>
        </xdr:cNvPr>
        <xdr:cNvSpPr/>
      </xdr:nvSpPr>
      <xdr:spPr>
        <a:xfrm>
          <a:off x="12204915" y="330800"/>
          <a:ext cx="441463" cy="448196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123825</xdr:rowOff>
    </xdr:from>
    <xdr:to>
      <xdr:col>10</xdr:col>
      <xdr:colOff>709235</xdr:colOff>
      <xdr:row>4</xdr:row>
      <xdr:rowOff>1425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5D71BE4E-EDAB-4639-A806-E40F04CEAB22}"/>
            </a:ext>
          </a:extLst>
        </xdr:cNvPr>
        <xdr:cNvSpPr/>
      </xdr:nvSpPr>
      <xdr:spPr>
        <a:xfrm>
          <a:off x="838200" y="123825"/>
          <a:ext cx="12825035" cy="639600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6763</xdr:colOff>
      <xdr:row>0</xdr:row>
      <xdr:rowOff>123826</xdr:rowOff>
    </xdr:from>
    <xdr:to>
      <xdr:col>9</xdr:col>
      <xdr:colOff>0</xdr:colOff>
      <xdr:row>3</xdr:row>
      <xdr:rowOff>8876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BB176079-457F-475A-8EC5-4001B939E31A}"/>
            </a:ext>
          </a:extLst>
        </xdr:cNvPr>
        <xdr:cNvSpPr txBox="1"/>
      </xdr:nvSpPr>
      <xdr:spPr>
        <a:xfrm>
          <a:off x="1530763" y="123826"/>
          <a:ext cx="8138016" cy="45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CONSULTAS  INTERNAS</a:t>
          </a:r>
        </a:p>
      </xdr:txBody>
    </xdr:sp>
    <xdr:clientData/>
  </xdr:twoCellAnchor>
  <xdr:twoCellAnchor>
    <xdr:from>
      <xdr:col>9</xdr:col>
      <xdr:colOff>577181</xdr:colOff>
      <xdr:row>1</xdr:row>
      <xdr:rowOff>16152</xdr:rowOff>
    </xdr:from>
    <xdr:to>
      <xdr:col>10</xdr:col>
      <xdr:colOff>446952</xdr:colOff>
      <xdr:row>3</xdr:row>
      <xdr:rowOff>83348</xdr:rowOff>
    </xdr:to>
    <xdr:sp macro="" textlink="">
      <xdr:nvSpPr>
        <xdr:cNvPr id="5" name="Rectá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D70D5A-8689-415B-9B41-855FEEFA37E3}"/>
            </a:ext>
          </a:extLst>
        </xdr:cNvPr>
        <xdr:cNvSpPr/>
      </xdr:nvSpPr>
      <xdr:spPr>
        <a:xfrm>
          <a:off x="12769181" y="206652"/>
          <a:ext cx="631771" cy="448196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2</xdr:col>
      <xdr:colOff>19463</xdr:colOff>
      <xdr:row>2</xdr:row>
      <xdr:rowOff>60326</xdr:rowOff>
    </xdr:from>
    <xdr:to>
      <xdr:col>9</xdr:col>
      <xdr:colOff>0</xdr:colOff>
      <xdr:row>4</xdr:row>
      <xdr:rowOff>136964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AC27ACB2-A4A3-4EBF-B965-B26A8CD982DA}"/>
            </a:ext>
          </a:extLst>
        </xdr:cNvPr>
        <xdr:cNvSpPr txBox="1"/>
      </xdr:nvSpPr>
      <xdr:spPr>
        <a:xfrm>
          <a:off x="1543463" y="441326"/>
          <a:ext cx="8138016" cy="457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6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6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165100</xdr:colOff>
      <xdr:row>0</xdr:row>
      <xdr:rowOff>101600</xdr:rowOff>
    </xdr:from>
    <xdr:to>
      <xdr:col>2</xdr:col>
      <xdr:colOff>5416</xdr:colOff>
      <xdr:row>3</xdr:row>
      <xdr:rowOff>132416</xdr:rowOff>
    </xdr:to>
    <xdr:pic>
      <xdr:nvPicPr>
        <xdr:cNvPr id="7" name="Gráfico 6" descr="Lupa con relleno sólido">
          <a:extLst>
            <a:ext uri="{FF2B5EF4-FFF2-40B4-BE49-F238E27FC236}">
              <a16:creationId xmlns:a16="http://schemas.microsoft.com/office/drawing/2014/main" id="{1DE54046-74D9-48DF-855C-F7653BA3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7100" y="101600"/>
          <a:ext cx="602316" cy="602316"/>
        </a:xfrm>
        <a:prstGeom prst="rect">
          <a:avLst/>
        </a:prstGeom>
      </xdr:spPr>
    </xdr:pic>
    <xdr:clientData/>
  </xdr:twoCellAnchor>
  <xdr:twoCellAnchor>
    <xdr:from>
      <xdr:col>3</xdr:col>
      <xdr:colOff>694194</xdr:colOff>
      <xdr:row>6</xdr:row>
      <xdr:rowOff>32288</xdr:rowOff>
    </xdr:from>
    <xdr:to>
      <xdr:col>7</xdr:col>
      <xdr:colOff>2034152</xdr:colOff>
      <xdr:row>10</xdr:row>
      <xdr:rowOff>16144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7EBBEB75-D87F-4991-8356-9D9A0D398959}"/>
            </a:ext>
          </a:extLst>
        </xdr:cNvPr>
        <xdr:cNvSpPr txBox="1"/>
      </xdr:nvSpPr>
      <xdr:spPr>
        <a:xfrm>
          <a:off x="4972372" y="1194661"/>
          <a:ext cx="4375043" cy="7587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C" sz="2000" b="1">
              <a:solidFill>
                <a:schemeClr val="accent1">
                  <a:lumMod val="50000"/>
                </a:schemeClr>
              </a:solidFill>
            </a:rPr>
            <a:t>FILTRO DE CONSULTAS</a:t>
          </a:r>
          <a:endParaRPr lang="es-EC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r>
            <a:rPr lang="es-EC" sz="1400" baseline="0">
              <a:solidFill>
                <a:schemeClr val="accent1">
                  <a:lumMod val="50000"/>
                </a:schemeClr>
              </a:solidFill>
            </a:rPr>
            <a:t>Seleccione una ID</a:t>
          </a:r>
          <a:endParaRPr lang="es-EC" sz="14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452034</xdr:colOff>
      <xdr:row>8</xdr:row>
      <xdr:rowOff>48432</xdr:rowOff>
    </xdr:from>
    <xdr:to>
      <xdr:col>3</xdr:col>
      <xdr:colOff>339025</xdr:colOff>
      <xdr:row>8</xdr:row>
      <xdr:rowOff>48432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E0CDDCE9-7B16-4861-BBF0-17031D7FCC3A}"/>
            </a:ext>
          </a:extLst>
        </xdr:cNvPr>
        <xdr:cNvCxnSpPr/>
      </xdr:nvCxnSpPr>
      <xdr:spPr>
        <a:xfrm>
          <a:off x="1210805" y="1598263"/>
          <a:ext cx="3406398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2267272</xdr:colOff>
      <xdr:row>8</xdr:row>
      <xdr:rowOff>7103</xdr:rowOff>
    </xdr:from>
    <xdr:to>
      <xdr:col>10</xdr:col>
      <xdr:colOff>435395</xdr:colOff>
      <xdr:row>8</xdr:row>
      <xdr:rowOff>7103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C96ADCEF-05AF-4968-830B-0C216CCA8D0A}"/>
            </a:ext>
          </a:extLst>
        </xdr:cNvPr>
        <xdr:cNvCxnSpPr/>
      </xdr:nvCxnSpPr>
      <xdr:spPr>
        <a:xfrm>
          <a:off x="9580535" y="1556934"/>
          <a:ext cx="3124352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726483</xdr:colOff>
      <xdr:row>15</xdr:row>
      <xdr:rowOff>16144</xdr:rowOff>
    </xdr:from>
    <xdr:to>
      <xdr:col>3</xdr:col>
      <xdr:colOff>48432</xdr:colOff>
      <xdr:row>17</xdr:row>
      <xdr:rowOff>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81B3C663-C0F4-BFC5-BB3C-77C7037A5ECC}"/>
            </a:ext>
          </a:extLst>
        </xdr:cNvPr>
        <xdr:cNvSpPr/>
      </xdr:nvSpPr>
      <xdr:spPr>
        <a:xfrm>
          <a:off x="1485254" y="3067373"/>
          <a:ext cx="2841356" cy="855635"/>
        </a:xfrm>
        <a:prstGeom prst="roundRect">
          <a:avLst>
            <a:gd name="adj" fmla="val 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6</xdr:col>
      <xdr:colOff>742628</xdr:colOff>
      <xdr:row>13</xdr:row>
      <xdr:rowOff>113008</xdr:rowOff>
    </xdr:from>
    <xdr:to>
      <xdr:col>9</xdr:col>
      <xdr:colOff>0</xdr:colOff>
      <xdr:row>15</xdr:row>
      <xdr:rowOff>16144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8F4F5333-F817-957D-B53B-23A8D6CEFBA4}"/>
            </a:ext>
          </a:extLst>
        </xdr:cNvPr>
        <xdr:cNvSpPr/>
      </xdr:nvSpPr>
      <xdr:spPr>
        <a:xfrm>
          <a:off x="7297120" y="2631483"/>
          <a:ext cx="4262034" cy="43589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800" b="1"/>
            <a:t>INFORMACIÓN DETALLADA  REGISTRO</a:t>
          </a:r>
        </a:p>
      </xdr:txBody>
    </xdr:sp>
    <xdr:clientData/>
  </xdr:twoCellAnchor>
  <xdr:twoCellAnchor>
    <xdr:from>
      <xdr:col>3</xdr:col>
      <xdr:colOff>581186</xdr:colOff>
      <xdr:row>14</xdr:row>
      <xdr:rowOff>258305</xdr:rowOff>
    </xdr:from>
    <xdr:to>
      <xdr:col>6</xdr:col>
      <xdr:colOff>339025</xdr:colOff>
      <xdr:row>17</xdr:row>
      <xdr:rowOff>16144</xdr:rowOff>
    </xdr:to>
    <xdr:sp macro="[0]!eliminarid" textlink="">
      <xdr:nvSpPr>
        <xdr:cNvPr id="19" name="Rectángulo: biselado 18">
          <a:extLst>
            <a:ext uri="{FF2B5EF4-FFF2-40B4-BE49-F238E27FC236}">
              <a16:creationId xmlns:a16="http://schemas.microsoft.com/office/drawing/2014/main" id="{DCA7C429-1412-A068-94AC-791F633BA057}"/>
            </a:ext>
          </a:extLst>
        </xdr:cNvPr>
        <xdr:cNvSpPr/>
      </xdr:nvSpPr>
      <xdr:spPr>
        <a:xfrm>
          <a:off x="4859364" y="2970508"/>
          <a:ext cx="2034153" cy="71033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     NUEVO</a:t>
          </a:r>
        </a:p>
      </xdr:txBody>
    </xdr:sp>
    <xdr:clientData/>
  </xdr:twoCellAnchor>
  <xdr:twoCellAnchor editAs="oneCell">
    <xdr:from>
      <xdr:col>3</xdr:col>
      <xdr:colOff>726484</xdr:colOff>
      <xdr:row>15</xdr:row>
      <xdr:rowOff>129152</xdr:rowOff>
    </xdr:from>
    <xdr:to>
      <xdr:col>3</xdr:col>
      <xdr:colOff>1250969</xdr:colOff>
      <xdr:row>16</xdr:row>
      <xdr:rowOff>177585</xdr:rowOff>
    </xdr:to>
    <xdr:pic>
      <xdr:nvPicPr>
        <xdr:cNvPr id="15" name="Gráfico 14" descr="Borrador con relleno sólido">
          <a:extLst>
            <a:ext uri="{FF2B5EF4-FFF2-40B4-BE49-F238E27FC236}">
              <a16:creationId xmlns:a16="http://schemas.microsoft.com/office/drawing/2014/main" id="{17BEF0B3-8B1B-9797-471E-D062656AE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04662" y="3180381"/>
          <a:ext cx="516610" cy="355170"/>
        </a:xfrm>
        <a:prstGeom prst="rect">
          <a:avLst/>
        </a:prstGeom>
      </xdr:spPr>
    </xdr:pic>
    <xdr:clientData/>
  </xdr:twoCellAnchor>
  <xdr:twoCellAnchor>
    <xdr:from>
      <xdr:col>1</xdr:col>
      <xdr:colOff>371314</xdr:colOff>
      <xdr:row>12</xdr:row>
      <xdr:rowOff>48432</xdr:rowOff>
    </xdr:from>
    <xdr:to>
      <xdr:col>11</xdr:col>
      <xdr:colOff>32288</xdr:colOff>
      <xdr:row>24</xdr:row>
      <xdr:rowOff>48432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76B5139B-3394-6B7C-4D88-741131BE59CE}"/>
            </a:ext>
          </a:extLst>
        </xdr:cNvPr>
        <xdr:cNvSpPr/>
      </xdr:nvSpPr>
      <xdr:spPr>
        <a:xfrm>
          <a:off x="1130085" y="2373178"/>
          <a:ext cx="11930466" cy="3341822"/>
        </a:xfrm>
        <a:prstGeom prst="roundRect">
          <a:avLst/>
        </a:prstGeom>
        <a:noFill/>
        <a:ln>
          <a:solidFill>
            <a:schemeClr val="bg2">
              <a:lumMod val="9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565042</xdr:colOff>
      <xdr:row>25</xdr:row>
      <xdr:rowOff>113008</xdr:rowOff>
    </xdr:from>
    <xdr:to>
      <xdr:col>3</xdr:col>
      <xdr:colOff>193729</xdr:colOff>
      <xdr:row>30</xdr:row>
      <xdr:rowOff>160986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75D4C88C-A4CE-4FE8-31B5-76F0DF9C3DB9}"/>
            </a:ext>
          </a:extLst>
        </xdr:cNvPr>
        <xdr:cNvSpPr/>
      </xdr:nvSpPr>
      <xdr:spPr>
        <a:xfrm>
          <a:off x="1329725" y="5841423"/>
          <a:ext cx="3143546" cy="1241957"/>
        </a:xfrm>
        <a:prstGeom prst="round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TOTAL REGISTROS </a:t>
          </a:r>
        </a:p>
      </xdr:txBody>
    </xdr:sp>
    <xdr:clientData/>
  </xdr:twoCellAnchor>
  <xdr:twoCellAnchor editAs="oneCell">
    <xdr:from>
      <xdr:col>1</xdr:col>
      <xdr:colOff>712000</xdr:colOff>
      <xdr:row>26</xdr:row>
      <xdr:rowOff>156374</xdr:rowOff>
    </xdr:from>
    <xdr:to>
      <xdr:col>2</xdr:col>
      <xdr:colOff>645620</xdr:colOff>
      <xdr:row>29</xdr:row>
      <xdr:rowOff>178524</xdr:rowOff>
    </xdr:to>
    <xdr:pic>
      <xdr:nvPicPr>
        <xdr:cNvPr id="8" name="Gráfico 7" descr="Ábaco contorno">
          <a:extLst>
            <a:ext uri="{FF2B5EF4-FFF2-40B4-BE49-F238E27FC236}">
              <a16:creationId xmlns:a16="http://schemas.microsoft.com/office/drawing/2014/main" id="{2C45F0DC-38F1-C6B1-E0A1-A7FE6906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5984" y="6109499"/>
          <a:ext cx="697605" cy="698583"/>
        </a:xfrm>
        <a:prstGeom prst="rect">
          <a:avLst/>
        </a:prstGeom>
      </xdr:spPr>
    </xdr:pic>
    <xdr:clientData/>
  </xdr:twoCellAnchor>
  <xdr:twoCellAnchor>
    <xdr:from>
      <xdr:col>1</xdr:col>
      <xdr:colOff>646410</xdr:colOff>
      <xdr:row>31</xdr:row>
      <xdr:rowOff>85009</xdr:rowOff>
    </xdr:from>
    <xdr:to>
      <xdr:col>3</xdr:col>
      <xdr:colOff>275097</xdr:colOff>
      <xdr:row>51</xdr:row>
      <xdr:rowOff>103533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53A948B-45E7-4DFB-8E3B-A83BDA3686BD}"/>
            </a:ext>
          </a:extLst>
        </xdr:cNvPr>
        <xdr:cNvSpPr/>
      </xdr:nvSpPr>
      <xdr:spPr>
        <a:xfrm>
          <a:off x="1412551" y="7352998"/>
          <a:ext cx="3148796" cy="3745698"/>
        </a:xfrm>
        <a:prstGeom prst="round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PRODUCTOS</a:t>
          </a:r>
          <a:r>
            <a:rPr lang="es-EC" sz="1600" b="1" baseline="0">
              <a:solidFill>
                <a:schemeClr val="accent1">
                  <a:lumMod val="50000"/>
                </a:schemeClr>
              </a:solidFill>
            </a:rPr>
            <a:t> ÚNICOS</a:t>
          </a:r>
          <a:endParaRPr lang="es-EC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22151</xdr:colOff>
      <xdr:row>31</xdr:row>
      <xdr:rowOff>99680</xdr:rowOff>
    </xdr:from>
    <xdr:to>
      <xdr:col>2</xdr:col>
      <xdr:colOff>587005</xdr:colOff>
      <xdr:row>34</xdr:row>
      <xdr:rowOff>99680</xdr:rowOff>
    </xdr:to>
    <xdr:pic>
      <xdr:nvPicPr>
        <xdr:cNvPr id="14" name="Gráfico 13" descr="Mejora continua con relleno sólido">
          <a:extLst>
            <a:ext uri="{FF2B5EF4-FFF2-40B4-BE49-F238E27FC236}">
              <a16:creationId xmlns:a16="http://schemas.microsoft.com/office/drawing/2014/main" id="{C016BF3F-F2C6-3D53-BA0A-3CBCE5CB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50581" y="7387413"/>
          <a:ext cx="564854" cy="564854"/>
        </a:xfrm>
        <a:prstGeom prst="rect">
          <a:avLst/>
        </a:prstGeom>
      </xdr:spPr>
    </xdr:pic>
    <xdr:clientData/>
  </xdr:twoCellAnchor>
  <xdr:twoCellAnchor>
    <xdr:from>
      <xdr:col>4</xdr:col>
      <xdr:colOff>631433</xdr:colOff>
      <xdr:row>44</xdr:row>
      <xdr:rowOff>84108</xdr:rowOff>
    </xdr:from>
    <xdr:to>
      <xdr:col>6</xdr:col>
      <xdr:colOff>867018</xdr:colOff>
      <xdr:row>49</xdr:row>
      <xdr:rowOff>116214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696B8270-55CE-49E7-87C9-9BA013A69D86}"/>
            </a:ext>
          </a:extLst>
        </xdr:cNvPr>
        <xdr:cNvSpPr/>
      </xdr:nvSpPr>
      <xdr:spPr>
        <a:xfrm>
          <a:off x="5650375" y="9706800"/>
          <a:ext cx="3483855" cy="1082299"/>
        </a:xfrm>
        <a:prstGeom prst="round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TOTAL VENTAS</a:t>
          </a:r>
        </a:p>
        <a:p>
          <a:pPr algn="ctr"/>
          <a:endParaRPr lang="es-EC" sz="1600" b="1">
            <a:solidFill>
              <a:schemeClr val="accent1">
                <a:lumMod val="50000"/>
              </a:schemeClr>
            </a:solidFill>
          </a:endParaRPr>
        </a:p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 editAs="oneCell">
    <xdr:from>
      <xdr:col>4</xdr:col>
      <xdr:colOff>781264</xdr:colOff>
      <xdr:row>44</xdr:row>
      <xdr:rowOff>149832</xdr:rowOff>
    </xdr:from>
    <xdr:to>
      <xdr:col>4</xdr:col>
      <xdr:colOff>1695664</xdr:colOff>
      <xdr:row>49</xdr:row>
      <xdr:rowOff>26114</xdr:rowOff>
    </xdr:to>
    <xdr:pic>
      <xdr:nvPicPr>
        <xdr:cNvPr id="29" name="Gráfico 28" descr="Dólar con relleno sólido">
          <a:extLst>
            <a:ext uri="{FF2B5EF4-FFF2-40B4-BE49-F238E27FC236}">
              <a16:creationId xmlns:a16="http://schemas.microsoft.com/office/drawing/2014/main" id="{83BAD6B9-EB0C-6A70-A319-CE032F7A6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811320" y="9685534"/>
          <a:ext cx="914400" cy="914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6166.623007060189" createdVersion="8" refreshedVersion="8" minRefreshableVersion="3" recordCount="932" xr:uid="{5F81C4D9-8D77-4B3F-B076-D0C011F81EBA}">
  <cacheSource type="worksheet">
    <worksheetSource name="BASE_LIMPIA"/>
  </cacheSource>
  <cacheFields count="10">
    <cacheField name="ID Registro" numFmtId="0">
      <sharedItems/>
    </cacheField>
    <cacheField name="Cliente" numFmtId="0">
      <sharedItems/>
    </cacheField>
    <cacheField name="Producto" numFmtId="0">
      <sharedItems count="14">
        <s v="Monitor Samsung"/>
        <s v="Mouse Logitech"/>
        <s v="Teclado HyperX"/>
        <s v="Tablet Samsung"/>
        <s v="Impresora Epson"/>
        <s v="Memoria USB 64GB"/>
        <s v="Webcam Logitech C920"/>
        <s v="Monitor LG UltraWide"/>
        <s v="SSD Kingston 480GB"/>
        <s v="Teclado Mecánico Redragon"/>
        <s v="Parlante JBL Go 3"/>
        <s v="Memoria RAM 8GB"/>
        <s v="Smartphone iPhone 13"/>
        <s v="iPad 10th Gen"/>
      </sharedItems>
    </cacheField>
    <cacheField name="Fecha" numFmtId="14">
      <sharedItems containsSemiMixedTypes="0" containsNonDate="0" containsDate="1" containsString="0" minDate="2025-01-01T00:00:00" maxDate="2026-05-25T00:00:00"/>
    </cacheField>
    <cacheField name="Estado" numFmtId="0">
      <sharedItems/>
    </cacheField>
    <cacheField name="Cantidad" numFmtId="0">
      <sharedItems containsSemiMixedTypes="0" containsString="0" containsNumber="1" containsInteger="1" minValue="1" maxValue="10"/>
    </cacheField>
    <cacheField name="Precio" numFmtId="0">
      <sharedItems containsSemiMixedTypes="0" containsString="0" containsNumber="1" containsInteger="1" minValue="21" maxValue="4989"/>
    </cacheField>
    <cacheField name="Región" numFmtId="0">
      <sharedItems/>
    </cacheField>
    <cacheField name="Total_Final" numFmtId="0">
      <sharedItems containsSemiMixedTypes="0" containsString="0" containsNumber="1" containsInteger="1" minValue="37" maxValue="49070" count="900">
        <n v="8248"/>
        <n v="4291"/>
        <n v="3220"/>
        <n v="11080"/>
        <n v="1035"/>
        <n v="9800"/>
        <n v="4518"/>
        <n v="2720"/>
        <n v="4684"/>
        <n v="15960"/>
        <n v="2619"/>
        <n v="31682"/>
        <n v="27252"/>
        <n v="298"/>
        <n v="13030"/>
        <n v="31983"/>
        <n v="7533"/>
        <n v="8372"/>
        <n v="4964"/>
        <n v="11116"/>
        <n v="14056"/>
        <n v="4249"/>
        <n v="4286"/>
        <n v="12078"/>
        <n v="38120"/>
        <n v="153"/>
        <n v="22986"/>
        <n v="27654"/>
        <n v="22326"/>
        <n v="25200"/>
        <n v="18070"/>
        <n v="2205"/>
        <n v="15072"/>
        <n v="12362"/>
        <n v="22568"/>
        <n v="34097"/>
        <n v="3852"/>
        <n v="2050"/>
        <n v="6975"/>
        <n v="20544"/>
        <n v="14505"/>
        <n v="622"/>
        <n v="9861"/>
        <n v="7242"/>
        <n v="24715"/>
        <n v="4490"/>
        <n v="30072"/>
        <n v="8827"/>
        <n v="6195"/>
        <n v="16096"/>
        <n v="1736"/>
        <n v="8412"/>
        <n v="19620"/>
        <n v="776"/>
        <n v="16128"/>
        <n v="11670"/>
        <n v="3432"/>
        <n v="21938"/>
        <n v="19272"/>
        <n v="9378"/>
        <n v="6454"/>
        <n v="6396"/>
        <n v="444"/>
        <n v="10428"/>
        <n v="3516"/>
        <n v="14769"/>
        <n v="10176"/>
        <n v="29214"/>
        <n v="88"/>
        <n v="4869"/>
        <n v="1988"/>
        <n v="15088"/>
        <n v="4456"/>
        <n v="25494"/>
        <n v="21660"/>
        <n v="23919"/>
        <n v="28432"/>
        <n v="61"/>
        <n v="12588"/>
        <n v="25445"/>
        <n v="33677"/>
        <n v="1614"/>
        <n v="11920"/>
        <n v="3319"/>
        <n v="875"/>
        <n v="5220"/>
        <n v="2490"/>
        <n v="9744"/>
        <n v="237"/>
        <n v="3670"/>
        <n v="21000"/>
        <n v="2829"/>
        <n v="21060"/>
        <n v="3214"/>
        <n v="19710"/>
        <n v="12088"/>
        <n v="30392"/>
        <n v="6522"/>
        <n v="23220"/>
        <n v="11685"/>
        <n v="27580"/>
        <n v="15796"/>
        <n v="26159"/>
        <n v="24577"/>
        <n v="9602"/>
        <n v="26892"/>
        <n v="18956"/>
        <n v="5490"/>
        <n v="14424"/>
        <n v="5824"/>
        <n v="20111"/>
        <n v="17500"/>
        <n v="7527"/>
        <n v="25928"/>
        <n v="35082"/>
        <n v="3840"/>
        <n v="5472"/>
        <n v="7203"/>
        <n v="7220"/>
        <n v="730"/>
        <n v="20238"/>
        <n v="29628"/>
        <n v="27890"/>
        <n v="25697"/>
        <n v="5672"/>
        <n v="6416"/>
        <n v="13272"/>
        <n v="4062"/>
        <n v="10977"/>
        <n v="21715"/>
        <n v="2657"/>
        <n v="4930"/>
        <n v="15200"/>
        <n v="1397"/>
        <n v="49040"/>
        <n v="10512"/>
        <n v="27666"/>
        <n v="24336"/>
        <n v="18996"/>
        <n v="11382"/>
        <n v="37530"/>
        <n v="40600"/>
        <n v="20790"/>
        <n v="16884"/>
        <n v="19952"/>
        <n v="11367"/>
        <n v="694"/>
        <n v="10128"/>
        <n v="1448"/>
        <n v="511"/>
        <n v="26370"/>
        <n v="6105"/>
        <n v="3533"/>
        <n v="10136"/>
        <n v="3948"/>
        <n v="7824"/>
        <n v="2824"/>
        <n v="2576"/>
        <n v="168"/>
        <n v="8847"/>
        <n v="27958"/>
        <n v="31688"/>
        <n v="19470"/>
        <n v="28270"/>
        <n v="8520"/>
        <n v="8148"/>
        <n v="5373"/>
        <n v="6927"/>
        <n v="1410"/>
        <n v="1887"/>
        <n v="2390"/>
        <n v="206"/>
        <n v="3310"/>
        <n v="4128"/>
        <n v="30144"/>
        <n v="18224"/>
        <n v="3179"/>
        <n v="9904"/>
        <n v="12385"/>
        <n v="21610"/>
        <n v="513"/>
        <n v="2308"/>
        <n v="18912"/>
        <n v="12810"/>
        <n v="17576"/>
        <n v="3152"/>
        <n v="4209"/>
        <n v="4431"/>
        <n v="1980"/>
        <n v="14704"/>
        <n v="26649"/>
        <n v="31250"/>
        <n v="49"/>
        <n v="8945"/>
        <n v="13559"/>
        <n v="25902"/>
        <n v="33410"/>
        <n v="8860"/>
        <n v="26154"/>
        <n v="4539"/>
        <n v="4056"/>
        <n v="1745"/>
        <n v="9440"/>
        <n v="19160"/>
        <n v="19284"/>
        <n v="163"/>
        <n v="2280"/>
        <n v="21150"/>
        <n v="22830"/>
        <n v="5700"/>
        <n v="2289"/>
        <n v="3478"/>
        <n v="10912"/>
        <n v="27530"/>
        <n v="13960"/>
        <n v="1332"/>
        <n v="6818"/>
        <n v="17495"/>
        <n v="20874"/>
        <n v="555"/>
        <n v="20880"/>
        <n v="44271"/>
        <n v="3164"/>
        <n v="20868"/>
        <n v="7140"/>
        <n v="19656"/>
        <n v="10508"/>
        <n v="2278"/>
        <n v="31794"/>
        <n v="2926"/>
        <n v="21168"/>
        <n v="27363"/>
        <n v="19578"/>
        <n v="4284"/>
        <n v="15996"/>
        <n v="2604"/>
        <n v="22242"/>
        <n v="27009"/>
        <n v="17381"/>
        <n v="26847"/>
        <n v="13368"/>
        <n v="31598"/>
        <n v="34722"/>
        <n v="1686"/>
        <n v="14575"/>
        <n v="5628"/>
        <n v="7842"/>
        <n v="7780"/>
        <n v="32360"/>
        <n v="44210"/>
        <n v="34490"/>
        <n v="16672"/>
        <n v="20472"/>
        <n v="39339"/>
        <n v="16115"/>
        <n v="12240"/>
        <n v="25332"/>
        <n v="4018"/>
        <n v="2591"/>
        <n v="4389"/>
        <n v="22239"/>
        <n v="14706"/>
        <n v="27084"/>
        <n v="8046"/>
        <n v="7176"/>
        <n v="5487"/>
        <n v="10824"/>
        <n v="23051"/>
        <n v="40490"/>
        <n v="2406"/>
        <n v="3900"/>
        <n v="44580"/>
        <n v="2142"/>
        <n v="31090"/>
        <n v="11200"/>
        <n v="186"/>
        <n v="6506"/>
        <n v="6912"/>
        <n v="16550"/>
        <n v="2434"/>
        <n v="35530"/>
        <n v="16480"/>
        <n v="15358"/>
        <n v="23443"/>
        <n v="6102"/>
        <n v="35829"/>
        <n v="3794"/>
        <n v="19024"/>
        <n v="22285"/>
        <n v="7903"/>
        <n v="9008"/>
        <n v="36585"/>
        <n v="11459"/>
        <n v="13230"/>
        <n v="29970"/>
        <n v="4206"/>
        <n v="17260"/>
        <n v="720"/>
        <n v="28220"/>
        <n v="28640"/>
        <n v="23149"/>
        <n v="20000"/>
        <n v="12064"/>
        <n v="5928"/>
        <n v="39357"/>
        <n v="3060"/>
        <n v="1336"/>
        <n v="18828"/>
        <n v="13236"/>
        <n v="13192"/>
        <n v="4556"/>
        <n v="19520"/>
        <n v="3576"/>
        <n v="3577"/>
        <n v="31888"/>
        <n v="5774"/>
        <n v="918"/>
        <n v="37570"/>
        <n v="12350"/>
        <n v="1050"/>
        <n v="11763"/>
        <n v="124"/>
        <n v="9548"/>
        <n v="6576"/>
        <n v="1712"/>
        <n v="2485"/>
        <n v="6476"/>
        <n v="32520"/>
        <n v="45720"/>
        <n v="246"/>
        <n v="36536"/>
        <n v="6200"/>
        <n v="9957"/>
        <n v="2885"/>
        <n v="6513"/>
        <n v="11319"/>
        <n v="7422"/>
        <n v="4248"/>
        <n v="1810"/>
        <n v="1574"/>
        <n v="15460"/>
        <n v="4122"/>
        <n v="21310"/>
        <n v="4278"/>
        <n v="25830"/>
        <n v="18207"/>
        <n v="2736"/>
        <n v="9755"/>
        <n v="13095"/>
        <n v="7720"/>
        <n v="792"/>
        <n v="39260"/>
        <n v="19456"/>
        <n v="3561"/>
        <n v="12681"/>
        <n v="3149"/>
        <n v="2801"/>
        <n v="5139"/>
        <n v="8910"/>
        <n v="399"/>
        <n v="31528"/>
        <n v="5166"/>
        <n v="10192"/>
        <n v="4302"/>
        <n v="33380"/>
        <n v="17016"/>
        <n v="8316"/>
        <n v="18468"/>
        <n v="164"/>
        <n v="4584"/>
        <n v="7092"/>
        <n v="9093"/>
        <n v="2475"/>
        <n v="29934"/>
        <n v="26064"/>
        <n v="1014"/>
        <n v="748"/>
        <n v="3486"/>
        <n v="16660"/>
        <n v="12615"/>
        <n v="6588"/>
        <n v="2100"/>
        <n v="4880"/>
        <n v="4932"/>
        <n v="4131"/>
        <n v="3393"/>
        <n v="6100"/>
        <n v="4591"/>
        <n v="23868"/>
        <n v="13612"/>
        <n v="5159"/>
        <n v="775"/>
        <n v="28002"/>
        <n v="25634"/>
        <n v="909"/>
        <n v="28406"/>
        <n v="3305"/>
        <n v="13435"/>
        <n v="4182"/>
        <n v="2135"/>
        <n v="3350"/>
        <n v="12550"/>
        <n v="24282"/>
        <n v="1305"/>
        <n v="1022"/>
        <n v="8408"/>
        <n v="15388"/>
        <n v="41886"/>
        <n v="828"/>
        <n v="23345"/>
        <n v="36522"/>
        <n v="14340"/>
        <n v="4016"/>
        <n v="4864"/>
        <n v="10892"/>
        <n v="29230"/>
        <n v="10878"/>
        <n v="9928"/>
        <n v="4912"/>
        <n v="18144"/>
        <n v="29855"/>
        <n v="1488"/>
        <n v="1702"/>
        <n v="10614"/>
        <n v="18896"/>
        <n v="3968"/>
        <n v="19975"/>
        <n v="17731"/>
        <n v="48880"/>
        <n v="6714"/>
        <n v="8112"/>
        <n v="5740"/>
        <n v="1485"/>
        <n v="29178"/>
        <n v="9780"/>
        <n v="15715"/>
        <n v="18234"/>
        <n v="794"/>
        <n v="17880"/>
        <n v="6688"/>
        <n v="3338"/>
        <n v="1306"/>
        <n v="7332"/>
        <n v="32536"/>
        <n v="2169"/>
        <n v="17980"/>
        <n v="2678"/>
        <n v="13678"/>
        <n v="2790"/>
        <n v="1764"/>
        <n v="5556"/>
        <n v="2046"/>
        <n v="24647"/>
        <n v="19280"/>
        <n v="18424"/>
        <n v="26180"/>
        <n v="23124"/>
        <n v="4092"/>
        <n v="7737"/>
        <n v="30240"/>
        <n v="12102"/>
        <n v="24514"/>
        <n v="8210"/>
        <n v="10815"/>
        <n v="4348"/>
        <n v="22878"/>
        <n v="2396"/>
        <n v="20524"/>
        <n v="8205"/>
        <n v="684"/>
        <n v="3318"/>
        <n v="6512"/>
        <n v="1044"/>
        <n v="6540"/>
        <n v="13928"/>
        <n v="12400"/>
        <n v="18008"/>
        <n v="29407"/>
        <n v="13840"/>
        <n v="11769"/>
        <n v="972"/>
        <n v="3819"/>
        <n v="1092"/>
        <n v="172"/>
        <n v="11120"/>
        <n v="2748"/>
        <n v="19670"/>
        <n v="11196"/>
        <n v="3340"/>
        <n v="14958"/>
        <n v="6950"/>
        <n v="3676"/>
        <n v="32960"/>
        <n v="42970"/>
        <n v="8585"/>
        <n v="10715"/>
        <n v="24675"/>
        <n v="21176"/>
        <n v="2593"/>
        <n v="2727"/>
        <n v="7998"/>
        <n v="8130"/>
        <n v="41040"/>
        <n v="9272"/>
        <n v="3598"/>
        <n v="45540"/>
        <n v="12270"/>
        <n v="3054"/>
        <n v="19060"/>
        <n v="42192"/>
        <n v="4352"/>
        <n v="20555"/>
        <n v="37656"/>
        <n v="1991"/>
        <n v="2655"/>
        <n v="22264"/>
        <n v="3979"/>
        <n v="20016"/>
        <n v="4320"/>
        <n v="20538"/>
        <n v="9624"/>
        <n v="5920"/>
        <n v="30483"/>
        <n v="1532"/>
        <n v="9260"/>
        <n v="960"/>
        <n v="1897"/>
        <n v="33733"/>
        <n v="10137"/>
        <n v="25224"/>
        <n v="32121"/>
        <n v="798"/>
        <n v="3189"/>
        <n v="25947"/>
        <n v="21010"/>
        <n v="29052"/>
        <n v="43542"/>
        <n v="2312"/>
        <n v="9146"/>
        <n v="8246"/>
        <n v="37125"/>
        <n v="11300"/>
        <n v="1440"/>
        <n v="11583"/>
        <n v="7312"/>
        <n v="7224"/>
        <n v="2663"/>
        <n v="16100"/>
        <n v="25935"/>
        <n v="12890"/>
        <n v="15512"/>
        <n v="5960"/>
        <n v="574"/>
        <n v="8656"/>
        <n v="28462"/>
        <n v="15672"/>
        <n v="28557"/>
        <n v="4606"/>
        <n v="9684"/>
        <n v="12824"/>
        <n v="6960"/>
        <n v="22060"/>
        <n v="256"/>
        <n v="2481"/>
        <n v="26418"/>
        <n v="14172"/>
        <n v="3311"/>
        <n v="1662"/>
        <n v="6666"/>
        <n v="42140"/>
        <n v="5598"/>
        <n v="1377"/>
        <n v="5319"/>
        <n v="6280"/>
        <n v="240"/>
        <n v="29712"/>
        <n v="4856"/>
        <n v="8442"/>
        <n v="6032"/>
        <n v="31620"/>
        <n v="33960"/>
        <n v="8952"/>
        <n v="9572"/>
        <n v="34032"/>
        <n v="6308"/>
        <n v="7290"/>
        <n v="2954"/>
        <n v="16740"/>
        <n v="49070"/>
        <n v="41490"/>
        <n v="7112"/>
        <n v="27162"/>
        <n v="35624"/>
        <n v="1391"/>
        <n v="14193"/>
        <n v="2820"/>
        <n v="17990"/>
        <n v="10168"/>
        <n v="14748"/>
        <n v="2388"/>
        <n v="37"/>
        <n v="3859"/>
        <n v="9325"/>
        <n v="5224"/>
        <n v="5695"/>
        <n v="11160"/>
        <n v="4269"/>
        <n v="3339"/>
        <n v="1287"/>
        <n v="20350"/>
        <n v="11412"/>
        <n v="9079"/>
        <n v="8245"/>
        <n v="863"/>
        <n v="4992"/>
        <n v="31552"/>
        <n v="8718"/>
        <n v="468"/>
        <n v="16527"/>
        <n v="29106"/>
        <n v="2004"/>
        <n v="2667"/>
        <n v="11764"/>
        <n v="33572"/>
        <n v="28364"/>
        <n v="18389"/>
        <n v="33885"/>
        <n v="4557"/>
        <n v="3422"/>
        <n v="10356"/>
        <n v="2520"/>
        <n v="14739"/>
        <n v="9387"/>
        <n v="8305"/>
        <n v="4390"/>
        <n v="22506"/>
        <n v="2715"/>
        <n v="5040"/>
        <n v="12616"/>
        <n v="9162"/>
        <n v="1155"/>
        <n v="21501"/>
        <n v="5758"/>
        <n v="524"/>
        <n v="39230"/>
        <n v="20608"/>
        <n v="15036"/>
        <n v="342"/>
        <n v="21064"/>
        <n v="21035"/>
        <n v="2937"/>
        <n v="6165"/>
        <n v="33490"/>
        <n v="22284"/>
        <n v="20769"/>
        <n v="47540"/>
        <n v="147"/>
        <n v="31068"/>
        <n v="4660"/>
        <n v="30180"/>
        <n v="536"/>
        <n v="11712"/>
        <n v="16870"/>
        <n v="11703"/>
        <n v="31600"/>
        <n v="5842"/>
        <n v="19984"/>
        <n v="31990"/>
        <n v="16956"/>
        <n v="29463"/>
        <n v="22080"/>
        <n v="8455"/>
        <n v="38480"/>
        <n v="2590"/>
        <n v="13908"/>
        <n v="308"/>
        <n v="24808"/>
        <n v="30576"/>
        <n v="28848"/>
        <n v="8698"/>
        <n v="34614"/>
        <n v="33327"/>
        <n v="18700"/>
        <n v="888"/>
        <n v="10584"/>
        <n v="27099"/>
        <n v="14345"/>
        <n v="12644"/>
        <n v="6909"/>
        <n v="22725"/>
        <n v="9600"/>
        <n v="8628"/>
        <n v="4028"/>
        <n v="9069"/>
        <n v="2484"/>
        <n v="21755"/>
        <n v="5704"/>
        <n v="903"/>
        <n v="1720"/>
        <n v="20235"/>
        <n v="5260"/>
        <n v="9902"/>
        <n v="25098"/>
        <n v="9844"/>
        <n v="9774"/>
        <n v="14130"/>
        <n v="3954"/>
        <n v="4779"/>
        <n v="2384"/>
        <n v="3904"/>
        <n v="6684"/>
        <n v="8037"/>
        <n v="16702"/>
        <n v="65"/>
        <n v="1293"/>
        <n v="3108"/>
        <n v="6944"/>
        <n v="9516"/>
        <n v="19156"/>
        <n v="17344"/>
        <n v="30560"/>
        <n v="4461"/>
        <n v="9289"/>
        <n v="4650"/>
        <n v="6020"/>
        <n v="45820"/>
        <n v="6984"/>
        <n v="7056"/>
        <n v="15530"/>
        <n v="11568"/>
        <n v="13656"/>
        <n v="9772"/>
        <n v="7299"/>
        <n v="21370"/>
        <n v="6040"/>
        <n v="16588"/>
        <n v="17280"/>
        <n v="2155"/>
        <n v="18704"/>
        <n v="8345"/>
        <n v="1970"/>
        <n v="48450"/>
        <n v="14404"/>
        <n v="25672"/>
        <n v="8870"/>
        <n v="10944"/>
        <n v="38200"/>
        <n v="15940"/>
        <n v="564"/>
        <n v="5973"/>
        <n v="13824"/>
        <n v="26270"/>
        <n v="14115"/>
        <n v="10080"/>
        <n v="14583"/>
        <n v="17295"/>
        <n v="37080"/>
        <n v="10416"/>
        <n v="3740"/>
        <n v="9096"/>
        <n v="12885"/>
        <n v="7598"/>
        <n v="19376"/>
        <n v="15336"/>
        <n v="1936"/>
        <n v="7888"/>
        <n v="21132"/>
        <n v="4590"/>
        <n v="10496"/>
        <n v="17616"/>
        <n v="723"/>
        <n v="5370"/>
        <n v="45640"/>
        <n v="23648"/>
        <n v="615"/>
        <n v="8990"/>
        <n v="5168"/>
        <n v="23682"/>
        <n v="11944"/>
        <n v="20224"/>
        <n v="7768"/>
        <n v="44289"/>
        <n v="27315"/>
        <n v="4878"/>
        <n v="11900"/>
        <n v="6672"/>
        <n v="19050"/>
        <n v="10095"/>
        <n v="14640"/>
        <n v="5526"/>
        <n v="36760"/>
        <n v="31402"/>
        <n v="5800"/>
        <n v="4900"/>
        <n v="2378"/>
        <n v="4823"/>
        <n v="18156"/>
        <n v="12530"/>
        <n v="38979"/>
        <n v="38090"/>
        <n v="18918"/>
        <n v="24768"/>
        <n v="4838"/>
        <n v="13332"/>
        <n v="45030"/>
        <n v="15168"/>
        <n v="10467"/>
        <n v="3364"/>
        <n v="43840"/>
        <n v="6240"/>
        <n v="6360"/>
        <n v="2220"/>
        <n v="25032"/>
        <n v="28728"/>
        <n v="9936"/>
        <n v="3616"/>
        <n v="14285"/>
        <n v="8968"/>
        <n v="8488"/>
        <n v="21028"/>
        <n v="6175"/>
        <n v="132"/>
        <n v="20825"/>
        <n v="23985"/>
        <n v="8366"/>
        <n v="9954"/>
        <n v="43340"/>
        <n v="8066"/>
        <n v="20730"/>
        <n v="9918"/>
        <n v="606"/>
        <n v="2980"/>
        <n v="13314"/>
        <n v="9760"/>
        <n v="5062"/>
        <n v="17556"/>
        <n v="32110"/>
        <n v="25746"/>
        <n v="33128"/>
        <n v="30944"/>
        <n v="3981"/>
        <n v="10850"/>
        <n v="9290"/>
        <n v="18612"/>
        <n v="30030"/>
        <n v="1200"/>
        <n v="20165"/>
        <n v="13640"/>
        <n v="39940"/>
        <n v="18459"/>
        <n v="29883"/>
        <n v="42651"/>
        <n v="7314"/>
        <n v="9310"/>
        <n v="16898"/>
        <n v="1845"/>
        <n v="12068"/>
        <n v="8220"/>
        <n v="42270"/>
        <n v="32991"/>
        <n v="7830"/>
        <n v="4151"/>
        <n v="3156"/>
        <n v="5736"/>
        <n v="4452"/>
        <n v="2098"/>
        <n v="2051"/>
        <n v="839"/>
        <n v="12606"/>
        <n v="22990"/>
        <n v="32910"/>
        <n v="32578"/>
        <n v="27139"/>
        <n v="19300"/>
        <n v="1170"/>
        <n v="12255"/>
        <n v="4288"/>
        <n v="312"/>
        <n v="12924"/>
        <n v="1503"/>
        <n v="47500"/>
        <n v="3592"/>
        <n v="8106"/>
        <n v="10672"/>
        <n v="6348"/>
        <n v="6595"/>
        <n v="14707"/>
        <n v="16885"/>
        <n v="11877"/>
        <n v="23560"/>
        <n v="30856"/>
        <n v="38277"/>
        <n v="18640"/>
        <n v="20258"/>
        <n v="3118"/>
        <n v="8202"/>
        <n v="8764"/>
        <n v="44940"/>
        <n v="2800"/>
        <n v="12000"/>
      </sharedItems>
    </cacheField>
    <cacheField name="Campo1" numFmtId="0" formula="Total_Final" databaseField="0"/>
  </cacheFields>
  <extLst>
    <ext xmlns:x14="http://schemas.microsoft.com/office/spreadsheetml/2009/9/main" uri="{725AE2AE-9491-48be-B2B4-4EB974FC3084}">
      <x14:pivotCacheDefinition pivotCacheId="12494376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2">
  <r>
    <s v="ID-1"/>
    <s v="Samuel Ortiz"/>
    <x v="0"/>
    <d v="2025-01-28T00:00:00"/>
    <s v="Pendiente"/>
    <n v="4"/>
    <n v="2062"/>
    <s v="Amazonía"/>
    <x v="0"/>
  </r>
  <r>
    <s v="ID-2"/>
    <s v="Sofia Vega"/>
    <x v="1"/>
    <d v="2025-12-24T00:00:00"/>
    <s v="Pendiente"/>
    <n v="1"/>
    <n v="4291"/>
    <s v="Amazonía"/>
    <x v="1"/>
  </r>
  <r>
    <s v="ID-3"/>
    <s v="Jose Rivas"/>
    <x v="2"/>
    <d v="2025-03-21T00:00:00"/>
    <s v="Cancelado"/>
    <n v="7"/>
    <n v="460"/>
    <s v="Amazonía"/>
    <x v="2"/>
  </r>
  <r>
    <s v="ID-4"/>
    <s v="Oscar Mejia"/>
    <x v="2"/>
    <d v="2025-10-14T00:00:00"/>
    <s v="Pendiente"/>
    <n v="5"/>
    <n v="2216"/>
    <s v="Sierra"/>
    <x v="3"/>
  </r>
  <r>
    <s v="ID-5"/>
    <s v="Valeria Nuñez"/>
    <x v="3"/>
    <d v="2025-12-10T00:00:00"/>
    <s v="Pendiente"/>
    <n v="9"/>
    <n v="115"/>
    <s v="Sierra"/>
    <x v="4"/>
  </r>
  <r>
    <s v="ID-6"/>
    <s v="Fernanda Gil"/>
    <x v="4"/>
    <d v="2025-04-16T00:00:00"/>
    <s v="Cancelado"/>
    <n v="10"/>
    <n v="980"/>
    <s v="Insular"/>
    <x v="5"/>
  </r>
  <r>
    <s v="ID-7"/>
    <s v="Carlos Ramos"/>
    <x v="1"/>
    <d v="2025-08-23T00:00:00"/>
    <s v="Cancelado"/>
    <n v="9"/>
    <n v="502"/>
    <s v="Sierra"/>
    <x v="6"/>
  </r>
  <r>
    <s v="ID-8"/>
    <s v="Camila Reyes"/>
    <x v="1"/>
    <d v="2025-12-21T00:00:00"/>
    <s v="Cancelado"/>
    <n v="4"/>
    <n v="680"/>
    <s v="Amazonía"/>
    <x v="7"/>
  </r>
  <r>
    <s v="ID-9"/>
    <s v="Andrea Salas"/>
    <x v="2"/>
    <d v="2025-10-12T00:00:00"/>
    <s v="Cancelado"/>
    <n v="2"/>
    <n v="2342"/>
    <s v="Insular"/>
    <x v="8"/>
  </r>
  <r>
    <s v="ID-10"/>
    <s v="Jose Rivas"/>
    <x v="2"/>
    <d v="2025-07-25T00:00:00"/>
    <s v="Cancelado"/>
    <n v="6"/>
    <n v="2660"/>
    <s v="Sierra"/>
    <x v="9"/>
  </r>
  <r>
    <s v="ID-11"/>
    <s v="Camila Reyes"/>
    <x v="1"/>
    <d v="2025-03-18T00:00:00"/>
    <s v="Cancelado"/>
    <n v="1"/>
    <n v="2619"/>
    <s v="Sierra"/>
    <x v="10"/>
  </r>
  <r>
    <s v="ID-12"/>
    <s v="Sofia Vega"/>
    <x v="1"/>
    <d v="2025-11-03T00:00:00"/>
    <s v="Pendiente"/>
    <n v="7"/>
    <n v="4526"/>
    <s v="Insular"/>
    <x v="11"/>
  </r>
  <r>
    <s v="ID-13"/>
    <s v="Jose Rivas"/>
    <x v="3"/>
    <d v="2025-01-06T00:00:00"/>
    <s v="Pendiente"/>
    <n v="6"/>
    <n v="4542"/>
    <s v="Insular"/>
    <x v="12"/>
  </r>
  <r>
    <s v="ID-14"/>
    <s v="Marco Diaz"/>
    <x v="2"/>
    <d v="2025-04-22T00:00:00"/>
    <s v="Pendiente"/>
    <n v="2"/>
    <n v="149"/>
    <s v="Amazonía"/>
    <x v="13"/>
  </r>
  <r>
    <s v="ID-15"/>
    <s v="Samuel Ortiz"/>
    <x v="2"/>
    <d v="2025-08-05T00:00:00"/>
    <s v="Cancelado"/>
    <n v="5"/>
    <n v="2606"/>
    <s v="Amazonía"/>
    <x v="14"/>
  </r>
  <r>
    <s v="ID-16"/>
    <s v="Luis Medina"/>
    <x v="0"/>
    <d v="2025-03-16T00:00:00"/>
    <s v="Cancelado"/>
    <n v="7"/>
    <n v="4569"/>
    <s v="Amazonía"/>
    <x v="15"/>
  </r>
  <r>
    <s v="ID-17"/>
    <s v="Marco Diaz"/>
    <x v="3"/>
    <d v="2025-07-21T00:00:00"/>
    <s v="Pendiente"/>
    <n v="3"/>
    <n v="2511"/>
    <s v="Amazonía"/>
    <x v="16"/>
  </r>
  <r>
    <s v="ID-18"/>
    <s v="Camila Reyes"/>
    <x v="1"/>
    <d v="2025-04-10T00:00:00"/>
    <s v="Pendiente"/>
    <n v="2"/>
    <n v="4186"/>
    <s v="Sierra"/>
    <x v="17"/>
  </r>
  <r>
    <s v="ID-19"/>
    <s v="Oscar Mejia"/>
    <x v="3"/>
    <d v="2025-07-14T00:00:00"/>
    <s v="Pendiente"/>
    <n v="4"/>
    <n v="1241"/>
    <s v="Insular"/>
    <x v="18"/>
  </r>
  <r>
    <s v="ID-20"/>
    <s v="Sofia Vega"/>
    <x v="3"/>
    <d v="2025-07-07T00:00:00"/>
    <s v="Cancelado"/>
    <n v="7"/>
    <n v="1588"/>
    <s v="Amazonía"/>
    <x v="19"/>
  </r>
  <r>
    <s v="ID-21"/>
    <s v="Carlos Ramos"/>
    <x v="2"/>
    <d v="2025-10-03T00:00:00"/>
    <s v="Pendiente"/>
    <n v="7"/>
    <n v="2008"/>
    <s v="Amazonía"/>
    <x v="20"/>
  </r>
  <r>
    <s v="ID-22"/>
    <s v="Laura Campos"/>
    <x v="1"/>
    <d v="2025-02-17T00:00:00"/>
    <s v="Pendiente"/>
    <n v="7"/>
    <n v="607"/>
    <s v="Amazonía"/>
    <x v="21"/>
  </r>
  <r>
    <s v="ID-23"/>
    <s v="Samuel Ortiz"/>
    <x v="0"/>
    <d v="2025-08-17T00:00:00"/>
    <s v="Pendiente"/>
    <n v="1"/>
    <n v="4286"/>
    <s v="Insular"/>
    <x v="22"/>
  </r>
  <r>
    <s v="ID-24"/>
    <s v="Jose Rivas"/>
    <x v="2"/>
    <d v="2025-07-02T00:00:00"/>
    <s v="Cancelado"/>
    <n v="9"/>
    <n v="1342"/>
    <s v="Sierra"/>
    <x v="23"/>
  </r>
  <r>
    <s v="ID-25"/>
    <s v="Sofia Vega"/>
    <x v="4"/>
    <d v="2025-07-08T00:00:00"/>
    <s v="Cancelado"/>
    <n v="10"/>
    <n v="3812"/>
    <s v="Amazonía"/>
    <x v="24"/>
  </r>
  <r>
    <s v="ID-26"/>
    <s v="Sofia Vega"/>
    <x v="0"/>
    <d v="2025-06-15T00:00:00"/>
    <s v="Pendiente"/>
    <n v="1"/>
    <n v="153"/>
    <s v="Sierra"/>
    <x v="25"/>
  </r>
  <r>
    <s v="ID-27"/>
    <s v="Samuel Ortiz"/>
    <x v="1"/>
    <d v="2025-06-17T00:00:00"/>
    <s v="Cancelado"/>
    <n v="9"/>
    <n v="2554"/>
    <s v="Insular"/>
    <x v="26"/>
  </r>
  <r>
    <s v="ID-28"/>
    <s v="Maria Lopez"/>
    <x v="3"/>
    <d v="2025-11-04T00:00:00"/>
    <s v="Pendiente"/>
    <n v="6"/>
    <n v="4609"/>
    <s v="Insular"/>
    <x v="27"/>
  </r>
  <r>
    <s v="ID-29"/>
    <s v="Sofia Vega"/>
    <x v="2"/>
    <d v="2025-06-09T00:00:00"/>
    <s v="Cancelado"/>
    <n v="6"/>
    <n v="3721"/>
    <s v="Insular"/>
    <x v="28"/>
  </r>
  <r>
    <s v="ID-30"/>
    <s v="Samuel Ortiz"/>
    <x v="3"/>
    <d v="2025-12-06T00:00:00"/>
    <s v="Cancelado"/>
    <n v="7"/>
    <n v="3600"/>
    <s v="Sierra"/>
    <x v="29"/>
  </r>
  <r>
    <s v="ID-31"/>
    <s v="Marco Diaz"/>
    <x v="0"/>
    <d v="2025-10-12T00:00:00"/>
    <s v="Cancelado"/>
    <n v="10"/>
    <n v="1807"/>
    <s v="Insular"/>
    <x v="30"/>
  </r>
  <r>
    <s v="ID-32"/>
    <s v="Andrea Salas"/>
    <x v="3"/>
    <d v="2025-03-13T00:00:00"/>
    <s v="Pendiente"/>
    <n v="1"/>
    <n v="2205"/>
    <s v="Sierra"/>
    <x v="31"/>
  </r>
  <r>
    <s v="ID-33"/>
    <s v="Ricardo Luna"/>
    <x v="1"/>
    <d v="2025-02-06T00:00:00"/>
    <s v="Cancelado"/>
    <n v="6"/>
    <n v="2512"/>
    <s v="Insular"/>
    <x v="32"/>
  </r>
  <r>
    <s v="ID-34"/>
    <s v="Valeria Nuñez"/>
    <x v="2"/>
    <d v="2025-04-19T00:00:00"/>
    <s v="Cancelado"/>
    <n v="7"/>
    <n v="1766"/>
    <s v="Sierra"/>
    <x v="33"/>
  </r>
  <r>
    <s v="ID-35"/>
    <s v="Camila Reyes"/>
    <x v="4"/>
    <d v="2025-03-05T00:00:00"/>
    <s v="Pendiente"/>
    <n v="8"/>
    <n v="2821"/>
    <s v="Insular"/>
    <x v="34"/>
  </r>
  <r>
    <s v="ID-36"/>
    <s v="Camila Reyes"/>
    <x v="4"/>
    <d v="2025-03-02T00:00:00"/>
    <s v="Pendiente"/>
    <n v="7"/>
    <n v="4871"/>
    <s v="Amazonía"/>
    <x v="35"/>
  </r>
  <r>
    <s v="ID-37"/>
    <s v="Fernanda Gil"/>
    <x v="2"/>
    <d v="2025-03-02T00:00:00"/>
    <s v="Cancelado"/>
    <n v="4"/>
    <n v="963"/>
    <s v="Amazonía"/>
    <x v="36"/>
  </r>
  <r>
    <s v="ID-38"/>
    <s v="Laura Campos"/>
    <x v="0"/>
    <d v="2025-02-27T00:00:00"/>
    <s v="Cancelado"/>
    <n v="5"/>
    <n v="410"/>
    <s v="Sierra"/>
    <x v="37"/>
  </r>
  <r>
    <s v="ID-39"/>
    <s v="Valeria Nuñez"/>
    <x v="2"/>
    <d v="2025-06-24T00:00:00"/>
    <s v="Pendiente"/>
    <n v="5"/>
    <n v="1395"/>
    <s v="Amazonía"/>
    <x v="38"/>
  </r>
  <r>
    <s v="ID-40"/>
    <s v="Lucia Mena"/>
    <x v="0"/>
    <d v="2025-07-27T00:00:00"/>
    <s v="Pendiente"/>
    <n v="6"/>
    <n v="3424"/>
    <s v="Insular"/>
    <x v="39"/>
  </r>
  <r>
    <s v="ID-41"/>
    <s v="Marco Diaz"/>
    <x v="0"/>
    <d v="2025-06-24T00:00:00"/>
    <s v="Pendiente"/>
    <n v="3"/>
    <n v="4835"/>
    <s v="Sierra"/>
    <x v="40"/>
  </r>
  <r>
    <s v="ID-42"/>
    <s v="Camila Reyes"/>
    <x v="0"/>
    <d v="2025-02-01T00:00:00"/>
    <s v="Cancelado"/>
    <n v="2"/>
    <n v="311"/>
    <s v="Insular"/>
    <x v="41"/>
  </r>
  <r>
    <s v="ID-43"/>
    <s v="Ricardo Luna"/>
    <x v="3"/>
    <d v="2025-01-15T00:00:00"/>
    <s v="Cancelado"/>
    <n v="3"/>
    <n v="3287"/>
    <s v="Amazonía"/>
    <x v="42"/>
  </r>
  <r>
    <s v="ID-44"/>
    <s v="Sofia Vega"/>
    <x v="3"/>
    <d v="2025-10-07T00:00:00"/>
    <s v="Cancelado"/>
    <n v="2"/>
    <n v="3621"/>
    <s v="Amazonía"/>
    <x v="43"/>
  </r>
  <r>
    <s v="ID-45"/>
    <s v="Valeria Nuñez"/>
    <x v="4"/>
    <d v="2025-05-18T00:00:00"/>
    <s v="Cancelado"/>
    <n v="5"/>
    <n v="4943"/>
    <s v="Sierra"/>
    <x v="44"/>
  </r>
  <r>
    <s v="ID-46"/>
    <s v="Oscar Mejia"/>
    <x v="3"/>
    <d v="2025-11-28T00:00:00"/>
    <s v="Cancelado"/>
    <n v="2"/>
    <n v="2245"/>
    <s v="Amazonía"/>
    <x v="45"/>
  </r>
  <r>
    <s v="ID-47"/>
    <s v="Lucia Mena"/>
    <x v="4"/>
    <d v="2025-10-05T00:00:00"/>
    <s v="Pendiente"/>
    <n v="7"/>
    <n v="4296"/>
    <s v="Sierra"/>
    <x v="46"/>
  </r>
  <r>
    <s v="ID-48"/>
    <s v="Maria Lopez"/>
    <x v="1"/>
    <d v="2025-09-25T00:00:00"/>
    <s v="Cancelado"/>
    <n v="7"/>
    <n v="1261"/>
    <s v="Insular"/>
    <x v="47"/>
  </r>
  <r>
    <s v="ID-49"/>
    <s v="Luis Medina"/>
    <x v="4"/>
    <d v="2025-10-11T00:00:00"/>
    <s v="Cancelado"/>
    <n v="3"/>
    <n v="2065"/>
    <s v="Amazonía"/>
    <x v="48"/>
  </r>
  <r>
    <s v="ID-50"/>
    <s v="Oscar Mejia"/>
    <x v="3"/>
    <d v="2025-02-24T00:00:00"/>
    <s v="Cancelado"/>
    <n v="8"/>
    <n v="2012"/>
    <s v="Amazonía"/>
    <x v="49"/>
  </r>
  <r>
    <s v="ID-51"/>
    <s v="Laura Campos"/>
    <x v="4"/>
    <d v="2025-04-24T00:00:00"/>
    <s v="Pendiente"/>
    <n v="8"/>
    <n v="217"/>
    <s v="Sierra"/>
    <x v="50"/>
  </r>
  <r>
    <s v="ID-52"/>
    <s v="Ana Torres"/>
    <x v="1"/>
    <d v="2025-12-27T00:00:00"/>
    <s v="Cancelado"/>
    <n v="4"/>
    <n v="2103"/>
    <s v="Amazonía"/>
    <x v="51"/>
  </r>
  <r>
    <s v="ID-53"/>
    <s v="Samuel Ortiz"/>
    <x v="3"/>
    <d v="2025-03-07T00:00:00"/>
    <s v="Cancelado"/>
    <n v="10"/>
    <n v="1962"/>
    <s v="Sierra"/>
    <x v="52"/>
  </r>
  <r>
    <s v="ID-54"/>
    <s v="Fernanda Gil"/>
    <x v="0"/>
    <d v="2025-05-18T00:00:00"/>
    <s v="Pendiente"/>
    <n v="2"/>
    <n v="388"/>
    <s v="Insular"/>
    <x v="53"/>
  </r>
  <r>
    <s v="ID-55"/>
    <s v="Luis Medina"/>
    <x v="1"/>
    <d v="2025-02-16T00:00:00"/>
    <s v="Cancelado"/>
    <n v="9"/>
    <n v="1792"/>
    <s v="Sierra"/>
    <x v="54"/>
  </r>
  <r>
    <s v="ID-56"/>
    <s v="Camila Reyes"/>
    <x v="1"/>
    <d v="2025-01-13T00:00:00"/>
    <s v="Cancelado"/>
    <n v="6"/>
    <n v="1945"/>
    <s v="Insular"/>
    <x v="55"/>
  </r>
  <r>
    <s v="ID-57"/>
    <s v="Ana Torres"/>
    <x v="1"/>
    <d v="2025-06-04T00:00:00"/>
    <s v="Cancelado"/>
    <n v="8"/>
    <n v="429"/>
    <s v="Sierra"/>
    <x v="56"/>
  </r>
  <r>
    <s v="ID-58"/>
    <s v="Oscar Mejia"/>
    <x v="2"/>
    <d v="2025-07-10T00:00:00"/>
    <s v="Pendiente"/>
    <n v="7"/>
    <n v="3134"/>
    <s v="Insular"/>
    <x v="57"/>
  </r>
  <r>
    <s v="ID-59"/>
    <s v="Maria Lopez"/>
    <x v="0"/>
    <d v="2025-01-11T00:00:00"/>
    <s v="Cancelado"/>
    <n v="4"/>
    <n v="4818"/>
    <s v="Sierra"/>
    <x v="58"/>
  </r>
  <r>
    <s v="ID-60"/>
    <s v="Oscar Mejia"/>
    <x v="1"/>
    <d v="2025-10-13T00:00:00"/>
    <s v="Pendiente"/>
    <n v="6"/>
    <n v="1563"/>
    <s v="Insular"/>
    <x v="59"/>
  </r>
  <r>
    <s v="ID-61"/>
    <s v="Patricia Mora"/>
    <x v="2"/>
    <d v="2025-12-04T00:00:00"/>
    <s v="Cancelado"/>
    <n v="2"/>
    <n v="3227"/>
    <s v="Insular"/>
    <x v="60"/>
  </r>
  <r>
    <s v="ID-62"/>
    <s v="Jose Rivas"/>
    <x v="0"/>
    <d v="2025-01-03T00:00:00"/>
    <s v="Pendiente"/>
    <n v="6"/>
    <n v="1066"/>
    <s v="Insular"/>
    <x v="61"/>
  </r>
  <r>
    <s v="ID-63"/>
    <s v="Kevin Soto"/>
    <x v="3"/>
    <d v="2025-08-10T00:00:00"/>
    <s v="Pendiente"/>
    <n v="4"/>
    <n v="111"/>
    <s v="Amazonía"/>
    <x v="62"/>
  </r>
  <r>
    <s v="ID-64"/>
    <s v="Marco Diaz"/>
    <x v="2"/>
    <d v="2025-09-26T00:00:00"/>
    <s v="Cancelado"/>
    <n v="6"/>
    <n v="1738"/>
    <s v="Amazonía"/>
    <x v="63"/>
  </r>
  <r>
    <s v="ID-65"/>
    <s v="Fernanda Gil"/>
    <x v="1"/>
    <d v="2025-07-08T00:00:00"/>
    <s v="Pendiente"/>
    <n v="3"/>
    <n v="1172"/>
    <s v="Amazonía"/>
    <x v="64"/>
  </r>
  <r>
    <s v="ID-66"/>
    <s v="Sofia Vega"/>
    <x v="4"/>
    <d v="2025-08-24T00:00:00"/>
    <s v="Cancelado"/>
    <n v="3"/>
    <n v="4923"/>
    <s v="Amazonía"/>
    <x v="65"/>
  </r>
  <r>
    <s v="ID-67"/>
    <s v="Fernanda Gil"/>
    <x v="0"/>
    <d v="2025-08-13T00:00:00"/>
    <s v="Cancelado"/>
    <n v="3"/>
    <n v="3392"/>
    <s v="Sierra"/>
    <x v="66"/>
  </r>
  <r>
    <s v="ID-68"/>
    <s v="Laura Campos"/>
    <x v="4"/>
    <d v="2025-07-27T00:00:00"/>
    <s v="Cancelado"/>
    <n v="9"/>
    <n v="3246"/>
    <s v="Insular"/>
    <x v="67"/>
  </r>
  <r>
    <s v="ID-69"/>
    <s v="Pedro Ruiz"/>
    <x v="4"/>
    <d v="2025-11-17T00:00:00"/>
    <s v="Cancelado"/>
    <n v="4"/>
    <n v="22"/>
    <s v="Insular"/>
    <x v="68"/>
  </r>
  <r>
    <s v="ID-70"/>
    <s v="Valeria Nuñez"/>
    <x v="0"/>
    <d v="2025-11-18T00:00:00"/>
    <s v="Cancelado"/>
    <n v="9"/>
    <n v="541"/>
    <s v="Amazonía"/>
    <x v="69"/>
  </r>
  <r>
    <s v="ID-71"/>
    <s v="Valeria Nuñez"/>
    <x v="3"/>
    <d v="2025-08-21T00:00:00"/>
    <s v="Pendiente"/>
    <n v="4"/>
    <n v="497"/>
    <s v="Insular"/>
    <x v="70"/>
  </r>
  <r>
    <s v="ID-72"/>
    <s v="Ricardo Luna"/>
    <x v="1"/>
    <d v="2025-01-15T00:00:00"/>
    <s v="Cancelado"/>
    <n v="8"/>
    <n v="1886"/>
    <s v="Sierra"/>
    <x v="71"/>
  </r>
  <r>
    <s v="ID-73"/>
    <s v="Marco Diaz"/>
    <x v="1"/>
    <d v="2025-07-03T00:00:00"/>
    <s v="Pendiente"/>
    <n v="8"/>
    <n v="557"/>
    <s v="Amazonía"/>
    <x v="72"/>
  </r>
  <r>
    <s v="ID-74"/>
    <s v="Maria Lopez"/>
    <x v="3"/>
    <d v="2025-08-15T00:00:00"/>
    <s v="Pendiente"/>
    <n v="7"/>
    <n v="3642"/>
    <s v="Sierra"/>
    <x v="73"/>
  </r>
  <r>
    <s v="ID-75"/>
    <s v="Lucia Mena"/>
    <x v="4"/>
    <d v="2025-04-07T00:00:00"/>
    <s v="Pendiente"/>
    <n v="10"/>
    <n v="2166"/>
    <s v="Insular"/>
    <x v="74"/>
  </r>
  <r>
    <s v="ID-76"/>
    <s v="Maria Lopez"/>
    <x v="3"/>
    <d v="2025-08-20T00:00:00"/>
    <s v="Cancelado"/>
    <n v="7"/>
    <n v="3417"/>
    <s v="Insular"/>
    <x v="75"/>
  </r>
  <r>
    <s v="ID-77"/>
    <s v="Pedro Ruiz"/>
    <x v="3"/>
    <d v="2025-02-24T00:00:00"/>
    <s v="Cancelado"/>
    <n v="8"/>
    <n v="3554"/>
    <s v="Insular"/>
    <x v="76"/>
  </r>
  <r>
    <s v="ID-78"/>
    <s v="Luis Medina"/>
    <x v="4"/>
    <d v="2025-05-15T00:00:00"/>
    <s v="Cancelado"/>
    <n v="1"/>
    <n v="61"/>
    <s v="Insular"/>
    <x v="77"/>
  </r>
  <r>
    <s v="ID-79"/>
    <s v="Luis Medina"/>
    <x v="1"/>
    <d v="2025-05-28T00:00:00"/>
    <s v="Pendiente"/>
    <n v="3"/>
    <n v="4196"/>
    <s v="Insular"/>
    <x v="78"/>
  </r>
  <r>
    <s v="ID-80"/>
    <s v="Andrea Salas"/>
    <x v="2"/>
    <d v="2025-03-15T00:00:00"/>
    <s v="Pendiente"/>
    <n v="7"/>
    <n v="3635"/>
    <s v="Amazonía"/>
    <x v="79"/>
  </r>
  <r>
    <s v="ID-81"/>
    <s v="Sofia Vega"/>
    <x v="3"/>
    <d v="2025-06-25T00:00:00"/>
    <s v="Cancelado"/>
    <n v="7"/>
    <n v="4811"/>
    <s v="Amazonía"/>
    <x v="80"/>
  </r>
  <r>
    <s v="ID-82"/>
    <s v="Andrea Salas"/>
    <x v="2"/>
    <d v="2025-10-19T00:00:00"/>
    <s v="Cancelado"/>
    <n v="3"/>
    <n v="538"/>
    <s v="Insular"/>
    <x v="81"/>
  </r>
  <r>
    <s v="ID-83"/>
    <s v="Oscar Mejia"/>
    <x v="0"/>
    <d v="2025-05-01T00:00:00"/>
    <s v="Pendiente"/>
    <n v="5"/>
    <n v="2384"/>
    <s v="Amazonía"/>
    <x v="82"/>
  </r>
  <r>
    <s v="ID-84"/>
    <s v="Samuel Ortiz"/>
    <x v="0"/>
    <d v="2025-03-01T00:00:00"/>
    <s v="Cancelado"/>
    <n v="1"/>
    <n v="3319"/>
    <s v="Insular"/>
    <x v="83"/>
  </r>
  <r>
    <s v="ID-85"/>
    <s v="Samuel Ortiz"/>
    <x v="0"/>
    <d v="2025-01-05T00:00:00"/>
    <s v="Cancelado"/>
    <n v="7"/>
    <n v="125"/>
    <s v="Sierra"/>
    <x v="84"/>
  </r>
  <r>
    <s v="ID-86"/>
    <s v="Oscar Mejia"/>
    <x v="0"/>
    <d v="2025-08-28T00:00:00"/>
    <s v="Pendiente"/>
    <n v="6"/>
    <n v="870"/>
    <s v="Insular"/>
    <x v="85"/>
  </r>
  <r>
    <s v="ID-87"/>
    <s v="Valeria Nuñez"/>
    <x v="4"/>
    <d v="2025-01-10T00:00:00"/>
    <s v="Pendiente"/>
    <n v="1"/>
    <n v="2490"/>
    <s v="Amazonía"/>
    <x v="86"/>
  </r>
  <r>
    <s v="ID-88"/>
    <s v="Maria Lopez"/>
    <x v="0"/>
    <d v="2025-06-05T00:00:00"/>
    <s v="Cancelado"/>
    <n v="3"/>
    <n v="3248"/>
    <s v="Sierra"/>
    <x v="87"/>
  </r>
  <r>
    <s v="ID-89"/>
    <s v="Sofia Vega"/>
    <x v="3"/>
    <d v="2025-09-23T00:00:00"/>
    <s v="Pendiente"/>
    <n v="1"/>
    <n v="237"/>
    <s v="Insular"/>
    <x v="88"/>
  </r>
  <r>
    <s v="ID-90"/>
    <s v="Lucia Mena"/>
    <x v="2"/>
    <d v="2025-06-14T00:00:00"/>
    <s v="Cancelado"/>
    <n v="2"/>
    <n v="1835"/>
    <s v="Insular"/>
    <x v="89"/>
  </r>
  <r>
    <s v="ID-91"/>
    <s v="Fernanda Gil"/>
    <x v="4"/>
    <d v="2025-12-01T00:00:00"/>
    <s v="Pendiente"/>
    <n v="2"/>
    <n v="311"/>
    <s v="Insular"/>
    <x v="41"/>
  </r>
  <r>
    <s v="ID-92"/>
    <s v="Patricia Mora"/>
    <x v="3"/>
    <d v="2025-07-02T00:00:00"/>
    <s v="Cancelado"/>
    <n v="5"/>
    <n v="4200"/>
    <s v="Amazonía"/>
    <x v="90"/>
  </r>
  <r>
    <s v="ID-93"/>
    <s v="Carlos Ramos"/>
    <x v="4"/>
    <d v="2025-11-22T00:00:00"/>
    <s v="Pendiente"/>
    <n v="3"/>
    <n v="943"/>
    <s v="Insular"/>
    <x v="91"/>
  </r>
  <r>
    <s v="ID-94"/>
    <s v="Lucia Mena"/>
    <x v="3"/>
    <d v="2025-12-08T00:00:00"/>
    <s v="Cancelado"/>
    <n v="5"/>
    <n v="4212"/>
    <s v="Sierra"/>
    <x v="92"/>
  </r>
  <r>
    <s v="ID-95"/>
    <s v="Carlos Ramos"/>
    <x v="4"/>
    <d v="2025-11-03T00:00:00"/>
    <s v="Cancelado"/>
    <n v="2"/>
    <n v="1607"/>
    <s v="Sierra"/>
    <x v="93"/>
  </r>
  <r>
    <s v="ID-96"/>
    <s v="Valeria Nuñez"/>
    <x v="2"/>
    <d v="2025-02-21T00:00:00"/>
    <s v="Cancelado"/>
    <n v="10"/>
    <n v="1971"/>
    <s v="Amazonía"/>
    <x v="94"/>
  </r>
  <r>
    <s v="ID-97"/>
    <s v="Andrea Salas"/>
    <x v="0"/>
    <d v="2025-06-05T00:00:00"/>
    <s v="Pendiente"/>
    <n v="4"/>
    <n v="3022"/>
    <s v="Insular"/>
    <x v="95"/>
  </r>
  <r>
    <s v="ID-98"/>
    <s v="Lucia Mena"/>
    <x v="4"/>
    <d v="2025-09-09T00:00:00"/>
    <s v="Pendiente"/>
    <n v="8"/>
    <n v="3799"/>
    <s v="Sierra"/>
    <x v="96"/>
  </r>
  <r>
    <s v="ID-99"/>
    <s v="Luis Medina"/>
    <x v="4"/>
    <d v="2025-05-15T00:00:00"/>
    <s v="Pendiente"/>
    <n v="3"/>
    <n v="2174"/>
    <s v="Amazonía"/>
    <x v="97"/>
  </r>
  <r>
    <s v="ID-100"/>
    <s v="Lucia Mena"/>
    <x v="3"/>
    <d v="2025-10-05T00:00:00"/>
    <s v="Pendiente"/>
    <n v="10"/>
    <n v="2322"/>
    <s v="Amazonía"/>
    <x v="98"/>
  </r>
  <r>
    <s v="ID-101"/>
    <s v="Jessenia Toapanta"/>
    <x v="5"/>
    <d v="2025-06-18T00:00:00"/>
    <s v="En proceso"/>
    <n v="5"/>
    <n v="2337"/>
    <s v="Sierra"/>
    <x v="99"/>
  </r>
  <r>
    <s v="ID-102"/>
    <s v="Jessenia Toapanta"/>
    <x v="6"/>
    <d v="2025-04-06T00:00:00"/>
    <s v="En proceso"/>
    <n v="7"/>
    <n v="3940"/>
    <s v="Insular"/>
    <x v="100"/>
  </r>
  <r>
    <s v="ID-103"/>
    <s v="Esteban Quintero"/>
    <x v="7"/>
    <d v="2025-02-23T00:00:00"/>
    <s v="En proceso"/>
    <n v="4"/>
    <n v="3949"/>
    <s v="Sierra"/>
    <x v="101"/>
  </r>
  <r>
    <s v="ID-104"/>
    <s v="Nicole Carrion"/>
    <x v="6"/>
    <d v="2025-11-11T00:00:00"/>
    <s v="Pendiente"/>
    <n v="7"/>
    <n v="3737"/>
    <s v="Sierra"/>
    <x v="102"/>
  </r>
  <r>
    <s v="ID-105"/>
    <s v="Jessenia Toapanta"/>
    <x v="8"/>
    <d v="2025-11-13T00:00:00"/>
    <s v="En proceso"/>
    <n v="7"/>
    <n v="3511"/>
    <s v="Insular"/>
    <x v="103"/>
  </r>
  <r>
    <s v="ID-106"/>
    <s v="Quincy Delgado"/>
    <x v="5"/>
    <d v="2025-05-11T00:00:00"/>
    <s v="En proceso"/>
    <n v="2"/>
    <n v="4801"/>
    <s v="Amazonía"/>
    <x v="104"/>
  </r>
  <r>
    <s v="ID-107"/>
    <s v="Mateo Santillan"/>
    <x v="7"/>
    <d v="2025-05-03T00:00:00"/>
    <s v="En proceso"/>
    <n v="9"/>
    <n v="2988"/>
    <s v="Sierra"/>
    <x v="105"/>
  </r>
  <r>
    <s v="ID-108"/>
    <s v="Ivan Alcivar"/>
    <x v="6"/>
    <d v="2025-10-10T00:00:00"/>
    <s v="Pendiente"/>
    <n v="4"/>
    <n v="4739"/>
    <s v="Insular"/>
    <x v="106"/>
  </r>
  <r>
    <s v="ID-109"/>
    <s v="Helena Paredes"/>
    <x v="7"/>
    <d v="2025-11-13T00:00:00"/>
    <s v="Pendiente"/>
    <n v="9"/>
    <n v="610"/>
    <s v="Amazonía"/>
    <x v="107"/>
  </r>
  <r>
    <s v="ID-110"/>
    <s v="Gonzalo Mera"/>
    <x v="5"/>
    <d v="2025-03-18T00:00:00"/>
    <s v="En proceso"/>
    <n v="6"/>
    <n v="2404"/>
    <s v="Sierra"/>
    <x v="108"/>
  </r>
  <r>
    <s v="ID-111"/>
    <s v="Mateo Santillan"/>
    <x v="8"/>
    <d v="2025-09-16T00:00:00"/>
    <s v="Pendiente"/>
    <n v="7"/>
    <n v="832"/>
    <s v="Amazonía"/>
    <x v="109"/>
  </r>
  <r>
    <s v="ID-112"/>
    <s v="Kleber Villacis"/>
    <x v="8"/>
    <d v="2025-03-24T00:00:00"/>
    <s v="Pendiente"/>
    <n v="7"/>
    <n v="2873"/>
    <s v="Amazonía"/>
    <x v="110"/>
  </r>
  <r>
    <s v="ID-113"/>
    <s v="Lorena Chicaiza"/>
    <x v="9"/>
    <d v="2025-04-18T00:00:00"/>
    <s v="Pendiente"/>
    <n v="4"/>
    <n v="4375"/>
    <s v="Sierra"/>
    <x v="111"/>
  </r>
  <r>
    <s v="ID-114"/>
    <s v="Helena Paredes"/>
    <x v="9"/>
    <d v="2025-06-26T00:00:00"/>
    <s v="En proceso"/>
    <n v="3"/>
    <n v="2509"/>
    <s v="Amazonía"/>
    <x v="112"/>
  </r>
  <r>
    <s v="ID-115"/>
    <s v="Nicole Carrion"/>
    <x v="6"/>
    <d v="2025-08-07T00:00:00"/>
    <s v="En proceso"/>
    <n v="8"/>
    <n v="3241"/>
    <s v="Sierra"/>
    <x v="113"/>
  </r>
  <r>
    <s v="ID-116"/>
    <s v="Helena Paredes"/>
    <x v="10"/>
    <d v="2025-11-28T00:00:00"/>
    <s v="En proceso"/>
    <n v="9"/>
    <n v="3898"/>
    <s v="Amazonía"/>
    <x v="114"/>
  </r>
  <r>
    <s v="ID-117"/>
    <s v="Kleber Villacis"/>
    <x v="7"/>
    <d v="2025-09-02T00:00:00"/>
    <s v="En proceso"/>
    <n v="6"/>
    <n v="640"/>
    <s v="Amazonía"/>
    <x v="115"/>
  </r>
  <r>
    <s v="ID-118"/>
    <s v="Gonzalo Mera"/>
    <x v="9"/>
    <d v="2025-09-10T00:00:00"/>
    <s v="En proceso"/>
    <n v="6"/>
    <n v="912"/>
    <s v="Amazonía"/>
    <x v="116"/>
  </r>
  <r>
    <s v="ID-119"/>
    <s v="Diana Zambrano"/>
    <x v="11"/>
    <d v="2025-12-05T00:00:00"/>
    <s v="En proceso"/>
    <n v="7"/>
    <n v="1029"/>
    <s v="Insular"/>
    <x v="117"/>
  </r>
  <r>
    <s v="ID-120"/>
    <s v="Gonzalo Mera"/>
    <x v="9"/>
    <d v="2025-06-20T00:00:00"/>
    <s v="Pendiente"/>
    <n v="2"/>
    <n v="3610"/>
    <s v="Amazonía"/>
    <x v="118"/>
  </r>
  <r>
    <s v="ID-121"/>
    <s v="Mateo Santillan"/>
    <x v="10"/>
    <d v="2025-10-22T00:00:00"/>
    <s v="En proceso"/>
    <n v="5"/>
    <n v="146"/>
    <s v="Sierra"/>
    <x v="119"/>
  </r>
  <r>
    <s v="ID-122"/>
    <s v="Mateo Santillan"/>
    <x v="7"/>
    <d v="2025-09-26T00:00:00"/>
    <s v="Pendiente"/>
    <n v="6"/>
    <n v="3373"/>
    <s v="Insular"/>
    <x v="120"/>
  </r>
  <r>
    <s v="ID-123"/>
    <s v="Ivan Alcivar"/>
    <x v="7"/>
    <d v="2025-03-11T00:00:00"/>
    <s v="En proceso"/>
    <n v="6"/>
    <n v="4938"/>
    <s v="Insular"/>
    <x v="121"/>
  </r>
  <r>
    <s v="ID-124"/>
    <s v="Quincy Delgado"/>
    <x v="11"/>
    <d v="2025-06-04T00:00:00"/>
    <s v="Pendiente"/>
    <n v="10"/>
    <n v="2789"/>
    <s v="Sierra"/>
    <x v="122"/>
  </r>
  <r>
    <s v="ID-125"/>
    <s v="Esteban Quintero"/>
    <x v="8"/>
    <d v="2025-03-21T00:00:00"/>
    <s v="Pendiente"/>
    <n v="7"/>
    <n v="3671"/>
    <s v="Insular"/>
    <x v="123"/>
  </r>
  <r>
    <s v="ID-126"/>
    <s v="Orlando Guamán"/>
    <x v="6"/>
    <d v="2025-01-19T00:00:00"/>
    <s v="En proceso"/>
    <n v="8"/>
    <n v="709"/>
    <s v="Insular"/>
    <x v="124"/>
  </r>
  <r>
    <s v="ID-127"/>
    <s v="Sebastian Yanez"/>
    <x v="9"/>
    <d v="2025-02-25T00:00:00"/>
    <s v="Pendiente"/>
    <n v="8"/>
    <n v="802"/>
    <s v="Sierra"/>
    <x v="125"/>
  </r>
  <r>
    <s v="ID-128"/>
    <s v="Helena Paredes"/>
    <x v="11"/>
    <d v="2025-09-07T00:00:00"/>
    <s v="Pendiente"/>
    <n v="6"/>
    <n v="2212"/>
    <s v="Insular"/>
    <x v="126"/>
  </r>
  <r>
    <s v="ID-129"/>
    <s v="Pamela Rosero"/>
    <x v="5"/>
    <d v="2025-07-02T00:00:00"/>
    <s v="Pendiente"/>
    <n v="2"/>
    <n v="2031"/>
    <s v="Insular"/>
    <x v="127"/>
  </r>
  <r>
    <s v="ID-130"/>
    <s v="Tatiana Viteri"/>
    <x v="7"/>
    <d v="2025-05-18T00:00:00"/>
    <s v="Pendiente"/>
    <n v="3"/>
    <n v="3659"/>
    <s v="Amazonía"/>
    <x v="128"/>
  </r>
  <r>
    <s v="ID-131"/>
    <s v="Diana Zambrano"/>
    <x v="6"/>
    <d v="2025-05-21T00:00:00"/>
    <s v="Pendiente"/>
    <n v="5"/>
    <n v="4343"/>
    <s v="Sierra"/>
    <x v="129"/>
  </r>
  <r>
    <s v="ID-132"/>
    <s v="Esteban Quintero"/>
    <x v="10"/>
    <d v="2025-11-02T00:00:00"/>
    <s v="Pendiente"/>
    <n v="1"/>
    <n v="2657"/>
    <s v="Sierra"/>
    <x v="130"/>
  </r>
  <r>
    <s v="ID-133"/>
    <s v="Nicole Carrion"/>
    <x v="8"/>
    <d v="2025-08-20T00:00:00"/>
    <s v="Pendiente"/>
    <n v="5"/>
    <n v="986"/>
    <s v="Amazonía"/>
    <x v="131"/>
  </r>
  <r>
    <s v="ID-134"/>
    <s v="Quincy Delgado"/>
    <x v="8"/>
    <d v="2025-05-24T00:00:00"/>
    <s v="En proceso"/>
    <n v="5"/>
    <n v="3040"/>
    <s v="Insular"/>
    <x v="132"/>
  </r>
  <r>
    <s v="ID-135"/>
    <s v="Helena Paredes"/>
    <x v="8"/>
    <d v="2025-07-28T00:00:00"/>
    <s v="En proceso"/>
    <n v="1"/>
    <n v="1397"/>
    <s v="Amazonía"/>
    <x v="133"/>
  </r>
  <r>
    <s v="ID-136"/>
    <s v="Renata Villamar"/>
    <x v="9"/>
    <d v="2025-06-18T00:00:00"/>
    <s v="En proceso"/>
    <n v="10"/>
    <n v="4904"/>
    <s v="Insular"/>
    <x v="134"/>
  </r>
  <r>
    <s v="ID-137"/>
    <s v="Helena Paredes"/>
    <x v="8"/>
    <d v="2025-11-22T00:00:00"/>
    <s v="Pendiente"/>
    <n v="8"/>
    <n v="1314"/>
    <s v="Insular"/>
    <x v="135"/>
  </r>
  <r>
    <s v="ID-138"/>
    <s v="Mateo Santillan"/>
    <x v="5"/>
    <d v="2025-09-09T00:00:00"/>
    <s v="En proceso"/>
    <n v="6"/>
    <n v="4611"/>
    <s v="Insular"/>
    <x v="136"/>
  </r>
  <r>
    <s v="ID-139"/>
    <s v="Bianca Cedeño"/>
    <x v="11"/>
    <d v="2025-05-17T00:00:00"/>
    <s v="En proceso"/>
    <n v="9"/>
    <n v="2704"/>
    <s v="Sierra"/>
    <x v="137"/>
  </r>
  <r>
    <s v="ID-140"/>
    <s v="Orlando Guamán"/>
    <x v="10"/>
    <d v="2025-03-28T00:00:00"/>
    <s v="En proceso"/>
    <n v="4"/>
    <n v="4749"/>
    <s v="Sierra"/>
    <x v="138"/>
  </r>
  <r>
    <s v="ID-141"/>
    <s v="Diana Zambrano"/>
    <x v="8"/>
    <d v="2025-02-07T00:00:00"/>
    <s v="Pendiente"/>
    <n v="3"/>
    <n v="3794"/>
    <s v="Sierra"/>
    <x v="139"/>
  </r>
  <r>
    <s v="ID-142"/>
    <s v="Quincy Delgado"/>
    <x v="7"/>
    <d v="2025-01-03T00:00:00"/>
    <s v="Pendiente"/>
    <n v="9"/>
    <n v="4170"/>
    <s v="Sierra"/>
    <x v="140"/>
  </r>
  <r>
    <s v="ID-143"/>
    <s v="Lorena Chicaiza"/>
    <x v="8"/>
    <d v="2025-06-19T00:00:00"/>
    <s v="En proceso"/>
    <n v="10"/>
    <n v="4060"/>
    <s v="Sierra"/>
    <x v="141"/>
  </r>
  <r>
    <s v="ID-144"/>
    <s v="Diana Zambrano"/>
    <x v="7"/>
    <d v="2025-10-05T00:00:00"/>
    <s v="Pendiente"/>
    <n v="7"/>
    <n v="2970"/>
    <s v="Amazonía"/>
    <x v="142"/>
  </r>
  <r>
    <s v="ID-145"/>
    <s v="Kleber Villacis"/>
    <x v="9"/>
    <d v="2025-12-05T00:00:00"/>
    <s v="Pendiente"/>
    <n v="4"/>
    <n v="4221"/>
    <s v="Insular"/>
    <x v="143"/>
  </r>
  <r>
    <s v="ID-146"/>
    <s v="Quincy Delgado"/>
    <x v="11"/>
    <d v="2025-01-05T00:00:00"/>
    <s v="Pendiente"/>
    <n v="8"/>
    <n v="2494"/>
    <s v="Insular"/>
    <x v="144"/>
  </r>
  <r>
    <s v="ID-147"/>
    <s v="Ivan Alcivar"/>
    <x v="11"/>
    <d v="2025-06-06T00:00:00"/>
    <s v="Pendiente"/>
    <n v="9"/>
    <n v="1263"/>
    <s v="Insular"/>
    <x v="145"/>
  </r>
  <r>
    <s v="ID-148"/>
    <s v="Lorena Chicaiza"/>
    <x v="8"/>
    <d v="2025-10-06T00:00:00"/>
    <s v="En proceso"/>
    <n v="2"/>
    <n v="347"/>
    <s v="Insular"/>
    <x v="146"/>
  </r>
  <r>
    <s v="ID-149"/>
    <s v="Renata Villamar"/>
    <x v="11"/>
    <d v="2025-01-16T00:00:00"/>
    <s v="En proceso"/>
    <n v="3"/>
    <n v="3376"/>
    <s v="Amazonía"/>
    <x v="147"/>
  </r>
  <r>
    <s v="ID-150"/>
    <s v="Bianca Cedeño"/>
    <x v="7"/>
    <d v="2025-04-19T00:00:00"/>
    <s v="En proceso"/>
    <n v="4"/>
    <n v="362"/>
    <s v="Insular"/>
    <x v="148"/>
  </r>
  <r>
    <s v="ID-151"/>
    <s v="Renata Villamar"/>
    <x v="6"/>
    <d v="2025-01-07T00:00:00"/>
    <s v="En proceso"/>
    <n v="7"/>
    <n v="73"/>
    <s v="Sierra"/>
    <x v="149"/>
  </r>
  <r>
    <s v="ID-152"/>
    <s v="Helena Paredes"/>
    <x v="6"/>
    <d v="2025-12-04T00:00:00"/>
    <s v="Pendiente"/>
    <n v="10"/>
    <n v="2637"/>
    <s v="Sierra"/>
    <x v="150"/>
  </r>
  <r>
    <s v="ID-153"/>
    <s v="Mateo Santillan"/>
    <x v="11"/>
    <d v="2025-01-14T00:00:00"/>
    <s v="Pendiente"/>
    <n v="3"/>
    <n v="2035"/>
    <s v="Insular"/>
    <x v="151"/>
  </r>
  <r>
    <s v="ID-154"/>
    <s v="Quincy Delgado"/>
    <x v="10"/>
    <d v="2025-06-15T00:00:00"/>
    <s v="En proceso"/>
    <n v="1"/>
    <n v="3533"/>
    <s v="Sierra"/>
    <x v="152"/>
  </r>
  <r>
    <s v="ID-155"/>
    <s v="Jessenia Toapanta"/>
    <x v="11"/>
    <d v="2025-11-23T00:00:00"/>
    <s v="Pendiente"/>
    <n v="8"/>
    <n v="1267"/>
    <s v="Insular"/>
    <x v="153"/>
  </r>
  <r>
    <s v="ID-156"/>
    <s v="Tatiana Viteri"/>
    <x v="8"/>
    <d v="2025-11-27T00:00:00"/>
    <s v="En proceso"/>
    <n v="6"/>
    <n v="658"/>
    <s v="Amazonía"/>
    <x v="154"/>
  </r>
  <r>
    <s v="ID-157"/>
    <s v="Diana Zambrano"/>
    <x v="8"/>
    <d v="2025-08-27T00:00:00"/>
    <s v="Pendiente"/>
    <n v="8"/>
    <n v="978"/>
    <s v="Sierra"/>
    <x v="155"/>
  </r>
  <r>
    <s v="ID-158"/>
    <s v="Nicole Carrion"/>
    <x v="10"/>
    <d v="2025-04-23T00:00:00"/>
    <s v="En proceso"/>
    <n v="1"/>
    <n v="2824"/>
    <s v="Insular"/>
    <x v="156"/>
  </r>
  <r>
    <s v="ID-159"/>
    <s v="Lorena Chicaiza"/>
    <x v="9"/>
    <d v="2025-08-26T00:00:00"/>
    <s v="En proceso"/>
    <n v="4"/>
    <n v="644"/>
    <s v="Sierra"/>
    <x v="157"/>
  </r>
  <r>
    <s v="ID-160"/>
    <s v="Quincy Delgado"/>
    <x v="8"/>
    <d v="2025-03-20T00:00:00"/>
    <s v="En proceso"/>
    <n v="1"/>
    <n v="168"/>
    <s v="Sierra"/>
    <x v="158"/>
  </r>
  <r>
    <s v="ID-161"/>
    <s v="Renata Villamar"/>
    <x v="9"/>
    <d v="2025-05-28T00:00:00"/>
    <s v="Pendiente"/>
    <n v="9"/>
    <n v="983"/>
    <s v="Sierra"/>
    <x v="159"/>
  </r>
  <r>
    <s v="ID-162"/>
    <s v="Renata Villamar"/>
    <x v="10"/>
    <d v="2025-05-16T00:00:00"/>
    <s v="En proceso"/>
    <n v="7"/>
    <n v="3994"/>
    <s v="Amazonía"/>
    <x v="160"/>
  </r>
  <r>
    <s v="ID-163"/>
    <s v="Kleber Villacis"/>
    <x v="10"/>
    <d v="2025-11-18T00:00:00"/>
    <s v="En proceso"/>
    <n v="8"/>
    <n v="3961"/>
    <s v="Sierra"/>
    <x v="161"/>
  </r>
  <r>
    <s v="ID-164"/>
    <s v="Gonzalo Mera"/>
    <x v="9"/>
    <d v="2025-09-13T00:00:00"/>
    <s v="Pendiente"/>
    <n v="10"/>
    <n v="1947"/>
    <s v="Insular"/>
    <x v="162"/>
  </r>
  <r>
    <s v="ID-165"/>
    <s v="Esteban Quintero"/>
    <x v="10"/>
    <d v="2025-02-18T00:00:00"/>
    <s v="Pendiente"/>
    <n v="10"/>
    <n v="2827"/>
    <s v="Sierra"/>
    <x v="163"/>
  </r>
  <r>
    <s v="ID-166"/>
    <s v="Sebastian Yanez"/>
    <x v="8"/>
    <d v="2025-05-23T00:00:00"/>
    <s v="Pendiente"/>
    <n v="3"/>
    <n v="2840"/>
    <s v="Sierra"/>
    <x v="164"/>
  </r>
  <r>
    <s v="ID-167"/>
    <s v="Pamela Rosero"/>
    <x v="7"/>
    <d v="2025-05-28T00:00:00"/>
    <s v="En proceso"/>
    <n v="4"/>
    <n v="2037"/>
    <s v="Insular"/>
    <x v="165"/>
  </r>
  <r>
    <s v="ID-168"/>
    <s v="Pamela Rosero"/>
    <x v="8"/>
    <d v="2025-11-06T00:00:00"/>
    <s v="En proceso"/>
    <n v="3"/>
    <n v="1791"/>
    <s v="Insular"/>
    <x v="166"/>
  </r>
  <r>
    <s v="ID-169"/>
    <s v="Kleber Villacis"/>
    <x v="9"/>
    <d v="2025-04-26T00:00:00"/>
    <s v="Pendiente"/>
    <n v="3"/>
    <n v="2309"/>
    <s v="Sierra"/>
    <x v="167"/>
  </r>
  <r>
    <s v="ID-170"/>
    <s v="Esteban Quintero"/>
    <x v="10"/>
    <d v="2025-12-16T00:00:00"/>
    <s v="Pendiente"/>
    <n v="10"/>
    <n v="141"/>
    <s v="Insular"/>
    <x v="168"/>
  </r>
  <r>
    <s v="ID-171"/>
    <s v="Orlando Guamán"/>
    <x v="5"/>
    <d v="2025-09-27T00:00:00"/>
    <s v="Pendiente"/>
    <n v="3"/>
    <n v="629"/>
    <s v="Sierra"/>
    <x v="169"/>
  </r>
  <r>
    <s v="ID-172"/>
    <s v="Orlando Guamán"/>
    <x v="9"/>
    <d v="2025-07-28T00:00:00"/>
    <s v="En proceso"/>
    <n v="5"/>
    <n v="478"/>
    <s v="Insular"/>
    <x v="170"/>
  </r>
  <r>
    <s v="ID-173"/>
    <s v="Esteban Quintero"/>
    <x v="6"/>
    <d v="2025-09-25T00:00:00"/>
    <s v="Pendiente"/>
    <n v="1"/>
    <n v="206"/>
    <s v="Sierra"/>
    <x v="171"/>
  </r>
  <r>
    <s v="ID-174"/>
    <s v="Diana Zambrano"/>
    <x v="8"/>
    <d v="2025-10-25T00:00:00"/>
    <s v="Pendiente"/>
    <n v="2"/>
    <n v="1655"/>
    <s v="Sierra"/>
    <x v="172"/>
  </r>
  <r>
    <s v="ID-175"/>
    <s v="Quincy Delgado"/>
    <x v="8"/>
    <d v="2025-08-18T00:00:00"/>
    <s v="Pendiente"/>
    <n v="8"/>
    <n v="516"/>
    <s v="Sierra"/>
    <x v="173"/>
  </r>
  <r>
    <s v="ID-176"/>
    <s v="Kleber Villacis"/>
    <x v="6"/>
    <d v="2025-03-24T00:00:00"/>
    <s v="En proceso"/>
    <n v="8"/>
    <n v="3768"/>
    <s v="Sierra"/>
    <x v="174"/>
  </r>
  <r>
    <s v="ID-177"/>
    <s v="Pamela Rosero"/>
    <x v="7"/>
    <d v="2025-12-15T00:00:00"/>
    <s v="En proceso"/>
    <n v="8"/>
    <n v="2278"/>
    <s v="Insular"/>
    <x v="175"/>
  </r>
  <r>
    <s v="ID-178"/>
    <s v="Cristopher Vera"/>
    <x v="5"/>
    <d v="2025-06-22T00:00:00"/>
    <s v="Pendiente"/>
    <n v="1"/>
    <n v="3179"/>
    <s v="Amazonía"/>
    <x v="176"/>
  </r>
  <r>
    <s v="ID-179"/>
    <s v="Ivan Alcivar"/>
    <x v="8"/>
    <d v="2025-08-01T00:00:00"/>
    <s v="En proceso"/>
    <n v="4"/>
    <n v="2476"/>
    <s v="Insular"/>
    <x v="177"/>
  </r>
  <r>
    <s v="ID-180"/>
    <s v="Kleber Villacis"/>
    <x v="9"/>
    <d v="2025-07-22T00:00:00"/>
    <s v="Pendiente"/>
    <n v="5"/>
    <n v="2477"/>
    <s v="Insular"/>
    <x v="178"/>
  </r>
  <r>
    <s v="ID-181"/>
    <s v="Kleber Villacis"/>
    <x v="11"/>
    <d v="2025-09-26T00:00:00"/>
    <s v="En proceso"/>
    <n v="5"/>
    <n v="4322"/>
    <s v="Insular"/>
    <x v="179"/>
  </r>
  <r>
    <s v="ID-182"/>
    <s v="Kleber Villacis"/>
    <x v="9"/>
    <d v="2025-09-08T00:00:00"/>
    <s v="Pendiente"/>
    <n v="1"/>
    <n v="513"/>
    <s v="Sierra"/>
    <x v="180"/>
  </r>
  <r>
    <s v="ID-183"/>
    <s v="Tatiana Viteri"/>
    <x v="9"/>
    <d v="2025-07-05T00:00:00"/>
    <s v="En proceso"/>
    <n v="1"/>
    <n v="2308"/>
    <s v="Amazonía"/>
    <x v="181"/>
  </r>
  <r>
    <s v="ID-184"/>
    <s v="Esteban Quintero"/>
    <x v="7"/>
    <d v="2025-05-24T00:00:00"/>
    <s v="Pendiente"/>
    <n v="8"/>
    <n v="2364"/>
    <s v="Amazonía"/>
    <x v="182"/>
  </r>
  <r>
    <s v="ID-185"/>
    <s v="Sebastian Yanez"/>
    <x v="8"/>
    <d v="2025-09-02T00:00:00"/>
    <s v="Pendiente"/>
    <n v="6"/>
    <n v="2135"/>
    <s v="Amazonía"/>
    <x v="183"/>
  </r>
  <r>
    <s v="ID-186"/>
    <s v="Pamela Rosero"/>
    <x v="5"/>
    <d v="2025-02-12T00:00:00"/>
    <s v="Pendiente"/>
    <n v="4"/>
    <n v="4394"/>
    <s v="Insular"/>
    <x v="184"/>
  </r>
  <r>
    <s v="ID-187"/>
    <s v="Quincy Delgado"/>
    <x v="8"/>
    <d v="2025-12-03T00:00:00"/>
    <s v="En proceso"/>
    <n v="4"/>
    <n v="788"/>
    <s v="Insular"/>
    <x v="185"/>
  </r>
  <r>
    <s v="ID-188"/>
    <s v="Sebastian Yanez"/>
    <x v="7"/>
    <d v="2025-02-03T00:00:00"/>
    <s v="Pendiente"/>
    <n v="1"/>
    <n v="4209"/>
    <s v="Insular"/>
    <x v="186"/>
  </r>
  <r>
    <s v="ID-189"/>
    <s v="Helena Paredes"/>
    <x v="11"/>
    <d v="2025-06-28T00:00:00"/>
    <s v="En proceso"/>
    <n v="3"/>
    <n v="1477"/>
    <s v="Amazonía"/>
    <x v="187"/>
  </r>
  <r>
    <s v="ID-190"/>
    <s v="Gonzalo Mera"/>
    <x v="7"/>
    <d v="2025-06-08T00:00:00"/>
    <s v="En proceso"/>
    <n v="3"/>
    <n v="660"/>
    <s v="Sierra"/>
    <x v="188"/>
  </r>
  <r>
    <s v="ID-191"/>
    <s v="Ivan Alcivar"/>
    <x v="6"/>
    <d v="2025-06-23T00:00:00"/>
    <s v="En proceso"/>
    <n v="4"/>
    <n v="3676"/>
    <s v="Insular"/>
    <x v="189"/>
  </r>
  <r>
    <s v="ID-192"/>
    <s v="Cristopher Vera"/>
    <x v="7"/>
    <d v="2025-08-15T00:00:00"/>
    <s v="En proceso"/>
    <n v="7"/>
    <n v="3807"/>
    <s v="Sierra"/>
    <x v="190"/>
  </r>
  <r>
    <s v="ID-193"/>
    <s v="Esteban Quintero"/>
    <x v="11"/>
    <d v="2025-08-22T00:00:00"/>
    <s v="Pendiente"/>
    <n v="10"/>
    <n v="3125"/>
    <s v="Amazonía"/>
    <x v="191"/>
  </r>
  <r>
    <s v="ID-194"/>
    <s v="Kleber Villacis"/>
    <x v="6"/>
    <d v="2025-04-23T00:00:00"/>
    <s v="En proceso"/>
    <n v="1"/>
    <n v="49"/>
    <s v="Sierra"/>
    <x v="192"/>
  </r>
  <r>
    <s v="ID-195"/>
    <s v="Diana Zambrano"/>
    <x v="11"/>
    <d v="2025-10-11T00:00:00"/>
    <s v="Pendiente"/>
    <n v="5"/>
    <n v="1789"/>
    <s v="Sierra"/>
    <x v="193"/>
  </r>
  <r>
    <s v="ID-196"/>
    <s v="Diana Zambrano"/>
    <x v="11"/>
    <d v="2025-06-06T00:00:00"/>
    <s v="Pendiente"/>
    <n v="7"/>
    <n v="1937"/>
    <s v="Sierra"/>
    <x v="194"/>
  </r>
  <r>
    <s v="ID-197"/>
    <s v="Sebastian Yanez"/>
    <x v="5"/>
    <d v="2025-12-11T00:00:00"/>
    <s v="Pendiente"/>
    <n v="9"/>
    <n v="2878"/>
    <s v="Insular"/>
    <x v="195"/>
  </r>
  <r>
    <s v="ID-198"/>
    <s v="Quincy Delgado"/>
    <x v="6"/>
    <d v="2025-04-03T00:00:00"/>
    <s v="Pendiente"/>
    <n v="10"/>
    <n v="3341"/>
    <s v="Insular"/>
    <x v="196"/>
  </r>
  <r>
    <s v="ID-199"/>
    <s v="Jessenia Toapanta"/>
    <x v="10"/>
    <d v="2025-07-23T00:00:00"/>
    <s v="En proceso"/>
    <n v="10"/>
    <n v="886"/>
    <s v="Sierra"/>
    <x v="197"/>
  </r>
  <r>
    <s v="ID-200"/>
    <s v="Kleber Villacis"/>
    <x v="11"/>
    <d v="2025-04-03T00:00:00"/>
    <s v="Pendiente"/>
    <n v="6"/>
    <n v="4359"/>
    <s v="Amazonía"/>
    <x v="198"/>
  </r>
  <r>
    <s v="ID-201"/>
    <s v="Sebastian Yanez"/>
    <x v="8"/>
    <d v="2025-02-26T00:00:00"/>
    <s v="Pendiente"/>
    <n v="3"/>
    <n v="1513"/>
    <s v="Sierra"/>
    <x v="199"/>
  </r>
  <r>
    <s v="ID-202"/>
    <s v="Lorena Chicaiza"/>
    <x v="6"/>
    <d v="2025-02-04T00:00:00"/>
    <s v="En proceso"/>
    <n v="3"/>
    <n v="1352"/>
    <s v="Sierra"/>
    <x v="200"/>
  </r>
  <r>
    <s v="ID-203"/>
    <s v="Orlando Guamán"/>
    <x v="5"/>
    <d v="2025-06-05T00:00:00"/>
    <s v="Pendiente"/>
    <n v="1"/>
    <n v="1745"/>
    <s v="Sierra"/>
    <x v="201"/>
  </r>
  <r>
    <s v="ID-204"/>
    <s v="Kleber Villacis"/>
    <x v="9"/>
    <d v="2025-09-09T00:00:00"/>
    <s v="En proceso"/>
    <n v="5"/>
    <n v="1888"/>
    <s v="Sierra"/>
    <x v="202"/>
  </r>
  <r>
    <s v="ID-205"/>
    <s v="Lorena Chicaiza"/>
    <x v="9"/>
    <d v="2025-09-10T00:00:00"/>
    <s v="Pendiente"/>
    <n v="4"/>
    <n v="4790"/>
    <s v="Insular"/>
    <x v="203"/>
  </r>
  <r>
    <s v="ID-206"/>
    <s v="Esteban Quintero"/>
    <x v="11"/>
    <d v="2025-05-28T00:00:00"/>
    <s v="En proceso"/>
    <n v="4"/>
    <n v="4821"/>
    <s v="Amazonía"/>
    <x v="204"/>
  </r>
  <r>
    <s v="ID-207"/>
    <s v="Helena Paredes"/>
    <x v="9"/>
    <d v="2025-02-13T00:00:00"/>
    <s v="En proceso"/>
    <n v="1"/>
    <n v="163"/>
    <s v="Insular"/>
    <x v="205"/>
  </r>
  <r>
    <s v="ID-208"/>
    <s v="Mateo Santillan"/>
    <x v="7"/>
    <d v="2025-07-23T00:00:00"/>
    <s v="En proceso"/>
    <n v="8"/>
    <n v="285"/>
    <s v="Amazonía"/>
    <x v="206"/>
  </r>
  <r>
    <s v="ID-209"/>
    <s v="Fabiana Aguirre"/>
    <x v="8"/>
    <d v="2025-05-20T00:00:00"/>
    <s v="En proceso"/>
    <n v="6"/>
    <n v="3525"/>
    <s v="Insular"/>
    <x v="207"/>
  </r>
  <r>
    <s v="ID-210"/>
    <s v="Diana Zambrano"/>
    <x v="8"/>
    <d v="2025-10-19T00:00:00"/>
    <s v="En proceso"/>
    <n v="5"/>
    <n v="4566"/>
    <s v="Sierra"/>
    <x v="208"/>
  </r>
  <r>
    <s v="ID-211"/>
    <s v="Orlando Guamán"/>
    <x v="8"/>
    <d v="2025-04-19T00:00:00"/>
    <s v="Pendiente"/>
    <n v="3"/>
    <n v="1900"/>
    <s v="Insular"/>
    <x v="209"/>
  </r>
  <r>
    <s v="ID-212"/>
    <s v="Fabiana Aguirre"/>
    <x v="7"/>
    <d v="2025-04-19T00:00:00"/>
    <s v="En proceso"/>
    <n v="7"/>
    <n v="327"/>
    <s v="Sierra"/>
    <x v="210"/>
  </r>
  <r>
    <s v="ID-213"/>
    <s v="Ivan Alcivar"/>
    <x v="10"/>
    <d v="2025-11-03T00:00:00"/>
    <s v="En proceso"/>
    <n v="1"/>
    <n v="3478"/>
    <s v="Insular"/>
    <x v="211"/>
  </r>
  <r>
    <s v="ID-214"/>
    <s v="Pamela Rosero"/>
    <x v="8"/>
    <d v="2025-01-07T00:00:00"/>
    <s v="Pendiente"/>
    <n v="8"/>
    <n v="1364"/>
    <s v="Insular"/>
    <x v="212"/>
  </r>
  <r>
    <s v="ID-215"/>
    <s v="Gonzalo Mera"/>
    <x v="10"/>
    <d v="2025-06-26T00:00:00"/>
    <s v="Pendiente"/>
    <n v="10"/>
    <n v="2753"/>
    <s v="Insular"/>
    <x v="213"/>
  </r>
  <r>
    <s v="ID-216"/>
    <s v="Pamela Rosero"/>
    <x v="8"/>
    <d v="2025-08-26T00:00:00"/>
    <s v="En proceso"/>
    <n v="5"/>
    <n v="2792"/>
    <s v="Amazonía"/>
    <x v="214"/>
  </r>
  <r>
    <s v="ID-217"/>
    <s v="Jessenia Toapanta"/>
    <x v="10"/>
    <d v="2025-09-13T00:00:00"/>
    <s v="En proceso"/>
    <n v="3"/>
    <n v="444"/>
    <s v="Sierra"/>
    <x v="215"/>
  </r>
  <r>
    <s v="ID-218"/>
    <s v="Kleber Villacis"/>
    <x v="8"/>
    <d v="2025-09-19T00:00:00"/>
    <s v="En proceso"/>
    <n v="7"/>
    <n v="974"/>
    <s v="Insular"/>
    <x v="216"/>
  </r>
  <r>
    <s v="ID-219"/>
    <s v="Ivan Alcivar"/>
    <x v="8"/>
    <d v="2025-05-06T00:00:00"/>
    <s v="Pendiente"/>
    <n v="5"/>
    <n v="3499"/>
    <s v="Insular"/>
    <x v="217"/>
  </r>
  <r>
    <s v="ID-220"/>
    <s v="Lorena Chicaiza"/>
    <x v="8"/>
    <d v="2025-04-17T00:00:00"/>
    <s v="Pendiente"/>
    <n v="6"/>
    <n v="3479"/>
    <s v="Sierra"/>
    <x v="218"/>
  </r>
  <r>
    <s v="ID-221"/>
    <s v="Quincy Delgado"/>
    <x v="7"/>
    <d v="2025-08-25T00:00:00"/>
    <s v="Pendiente"/>
    <n v="3"/>
    <n v="185"/>
    <s v="Sierra"/>
    <x v="219"/>
  </r>
  <r>
    <s v="ID-222"/>
    <s v="Pamela Rosero"/>
    <x v="7"/>
    <d v="2025-07-02T00:00:00"/>
    <s v="Pendiente"/>
    <n v="5"/>
    <n v="4176"/>
    <s v="Sierra"/>
    <x v="220"/>
  </r>
  <r>
    <s v="ID-223"/>
    <s v="Lorena Chicaiza"/>
    <x v="11"/>
    <d v="2025-09-15T00:00:00"/>
    <s v="Pendiente"/>
    <n v="9"/>
    <n v="4919"/>
    <s v="Insular"/>
    <x v="221"/>
  </r>
  <r>
    <s v="ID-224"/>
    <s v="Diana Zambrano"/>
    <x v="5"/>
    <d v="2025-11-19T00:00:00"/>
    <s v="Pendiente"/>
    <n v="1"/>
    <n v="3164"/>
    <s v="Insular"/>
    <x v="222"/>
  </r>
  <r>
    <s v="ID-225"/>
    <s v="Quincy Delgado"/>
    <x v="8"/>
    <d v="2025-04-11T00:00:00"/>
    <s v="Pendiente"/>
    <n v="6"/>
    <n v="3478"/>
    <s v="Sierra"/>
    <x v="223"/>
  </r>
  <r>
    <s v="ID-226"/>
    <s v="Sebastian Yanez"/>
    <x v="6"/>
    <d v="2025-01-11T00:00:00"/>
    <s v="Pendiente"/>
    <n v="4"/>
    <n v="1785"/>
    <s v="Sierra"/>
    <x v="224"/>
  </r>
  <r>
    <s v="ID-227"/>
    <s v="Cristopher Vera"/>
    <x v="10"/>
    <d v="2025-02-27T00:00:00"/>
    <s v="Pendiente"/>
    <n v="7"/>
    <n v="2808"/>
    <s v="Sierra"/>
    <x v="225"/>
  </r>
  <r>
    <s v="ID-228"/>
    <s v="Pamela Rosero"/>
    <x v="6"/>
    <d v="2025-01-07T00:00:00"/>
    <s v="Pendiente"/>
    <n v="4"/>
    <n v="2627"/>
    <s v="Insular"/>
    <x v="226"/>
  </r>
  <r>
    <s v="ID-229"/>
    <s v="Tatiana Viteri"/>
    <x v="7"/>
    <d v="2025-04-28T00:00:00"/>
    <s v="Pendiente"/>
    <n v="2"/>
    <n v="1139"/>
    <s v="Insular"/>
    <x v="227"/>
  </r>
  <r>
    <s v="ID-230"/>
    <s v="Jessenia Toapanta"/>
    <x v="11"/>
    <d v="2025-01-20T00:00:00"/>
    <s v="En proceso"/>
    <n v="7"/>
    <n v="4542"/>
    <s v="Amazonía"/>
    <x v="228"/>
  </r>
  <r>
    <s v="ID-231"/>
    <s v="Ivan Alcivar"/>
    <x v="10"/>
    <d v="2025-03-14T00:00:00"/>
    <s v="Pendiente"/>
    <n v="1"/>
    <n v="2926"/>
    <s v="Amazonía"/>
    <x v="229"/>
  </r>
  <r>
    <s v="ID-232"/>
    <s v="Tatiana Viteri"/>
    <x v="11"/>
    <d v="2025-06-10T00:00:00"/>
    <s v="En proceso"/>
    <n v="8"/>
    <n v="2646"/>
    <s v="Insular"/>
    <x v="230"/>
  </r>
  <r>
    <s v="ID-233"/>
    <s v="Mateo Santillan"/>
    <x v="5"/>
    <d v="2025-05-20T00:00:00"/>
    <s v="Pendiente"/>
    <n v="7"/>
    <n v="3909"/>
    <s v="Amazonía"/>
    <x v="231"/>
  </r>
  <r>
    <s v="ID-234"/>
    <s v="Nicole Carrion"/>
    <x v="6"/>
    <d v="2025-02-01T00:00:00"/>
    <s v="Pendiente"/>
    <n v="6"/>
    <n v="3263"/>
    <s v="Sierra"/>
    <x v="232"/>
  </r>
  <r>
    <s v="ID-235"/>
    <s v="Sebastian Yanez"/>
    <x v="8"/>
    <d v="2025-08-05T00:00:00"/>
    <s v="Pendiente"/>
    <n v="4"/>
    <n v="1071"/>
    <s v="Sierra"/>
    <x v="233"/>
  </r>
  <r>
    <s v="ID-236"/>
    <s v="Cristopher Vera"/>
    <x v="8"/>
    <d v="2025-10-27T00:00:00"/>
    <s v="Pendiente"/>
    <n v="4"/>
    <n v="3999"/>
    <s v="Sierra"/>
    <x v="234"/>
  </r>
  <r>
    <s v="ID-237"/>
    <s v="Diana Zambrano"/>
    <x v="7"/>
    <d v="2025-02-18T00:00:00"/>
    <s v="Pendiente"/>
    <n v="1"/>
    <n v="2604"/>
    <s v="Insular"/>
    <x v="235"/>
  </r>
  <r>
    <s v="ID-238"/>
    <s v="Bianca Cedeño"/>
    <x v="8"/>
    <d v="2025-11-12T00:00:00"/>
    <s v="En proceso"/>
    <n v="6"/>
    <n v="3707"/>
    <s v="Sierra"/>
    <x v="236"/>
  </r>
  <r>
    <s v="ID-239"/>
    <s v="Cristopher Vera"/>
    <x v="8"/>
    <d v="2025-02-02T00:00:00"/>
    <s v="Pendiente"/>
    <n v="9"/>
    <n v="3001"/>
    <s v="Insular"/>
    <x v="237"/>
  </r>
  <r>
    <s v="ID-240"/>
    <s v="Lorena Chicaiza"/>
    <x v="11"/>
    <d v="2025-09-04T00:00:00"/>
    <s v="En proceso"/>
    <n v="7"/>
    <n v="2483"/>
    <s v="Amazonía"/>
    <x v="238"/>
  </r>
  <r>
    <s v="ID-241"/>
    <s v="Tatiana Viteri"/>
    <x v="7"/>
    <d v="2025-03-21T00:00:00"/>
    <s v="Pendiente"/>
    <n v="9"/>
    <n v="2983"/>
    <s v="Insular"/>
    <x v="239"/>
  </r>
  <r>
    <s v="ID-242"/>
    <s v="Sebastian Yanez"/>
    <x v="8"/>
    <d v="2025-01-26T00:00:00"/>
    <s v="Pendiente"/>
    <n v="8"/>
    <n v="1671"/>
    <s v="Insular"/>
    <x v="240"/>
  </r>
  <r>
    <s v="ID-243"/>
    <s v="Fabiana Aguirre"/>
    <x v="11"/>
    <d v="2025-04-05T00:00:00"/>
    <s v="En proceso"/>
    <n v="7"/>
    <n v="4514"/>
    <s v="Sierra"/>
    <x v="241"/>
  </r>
  <r>
    <s v="ID-244"/>
    <s v="Pamela Rosero"/>
    <x v="9"/>
    <d v="2025-11-26T00:00:00"/>
    <s v="Pendiente"/>
    <n v="9"/>
    <n v="3858"/>
    <s v="Sierra"/>
    <x v="242"/>
  </r>
  <r>
    <s v="ID-245"/>
    <s v="Lorena Chicaiza"/>
    <x v="6"/>
    <d v="2025-04-02T00:00:00"/>
    <s v="Pendiente"/>
    <n v="2"/>
    <n v="843"/>
    <s v="Sierra"/>
    <x v="243"/>
  </r>
  <r>
    <s v="ID-246"/>
    <s v="Pamela Rosero"/>
    <x v="10"/>
    <d v="2025-04-14T00:00:00"/>
    <s v="En proceso"/>
    <n v="5"/>
    <n v="2915"/>
    <s v="Insular"/>
    <x v="244"/>
  </r>
  <r>
    <s v="ID-247"/>
    <s v="Renata Villamar"/>
    <x v="10"/>
    <d v="2025-09-14T00:00:00"/>
    <s v="Pendiente"/>
    <n v="4"/>
    <n v="1407"/>
    <s v="Sierra"/>
    <x v="245"/>
  </r>
  <r>
    <s v="ID-248"/>
    <s v="Cristopher Vera"/>
    <x v="10"/>
    <d v="2025-10-09T00:00:00"/>
    <s v="En proceso"/>
    <n v="2"/>
    <n v="3921"/>
    <s v="Sierra"/>
    <x v="246"/>
  </r>
  <r>
    <s v="ID-249"/>
    <s v="Gonzalo Mera"/>
    <x v="6"/>
    <d v="2025-02-19T00:00:00"/>
    <s v="En proceso"/>
    <n v="4"/>
    <n v="1945"/>
    <s v="Sierra"/>
    <x v="247"/>
  </r>
  <r>
    <s v="ID-250"/>
    <s v="Tatiana Viteri"/>
    <x v="5"/>
    <d v="2025-03-07T00:00:00"/>
    <s v="Pendiente"/>
    <n v="10"/>
    <n v="3236"/>
    <s v="Insular"/>
    <x v="248"/>
  </r>
  <r>
    <s v="ID-251"/>
    <s v="Gonzalo Mera"/>
    <x v="10"/>
    <d v="2025-03-04T00:00:00"/>
    <s v="Pendiente"/>
    <n v="10"/>
    <n v="4421"/>
    <s v="Sierra"/>
    <x v="249"/>
  </r>
  <r>
    <s v="ID-252"/>
    <s v="Bianca Cedeño"/>
    <x v="8"/>
    <d v="2025-05-11T00:00:00"/>
    <s v="En proceso"/>
    <n v="10"/>
    <n v="3449"/>
    <s v="Amazonía"/>
    <x v="250"/>
  </r>
  <r>
    <s v="ID-253"/>
    <s v="Kleber Villacis"/>
    <x v="11"/>
    <d v="2025-03-16T00:00:00"/>
    <s v="En proceso"/>
    <n v="8"/>
    <n v="2084"/>
    <s v="Amazonía"/>
    <x v="251"/>
  </r>
  <r>
    <s v="ID-254"/>
    <s v="Tatiana Viteri"/>
    <x v="10"/>
    <d v="2025-06-05T00:00:00"/>
    <s v="Pendiente"/>
    <n v="6"/>
    <n v="3412"/>
    <s v="Insular"/>
    <x v="252"/>
  </r>
  <r>
    <s v="ID-255"/>
    <s v="Sebastian Yanez"/>
    <x v="5"/>
    <d v="2025-05-02T00:00:00"/>
    <s v="Pendiente"/>
    <n v="9"/>
    <n v="4371"/>
    <s v="Insular"/>
    <x v="253"/>
  </r>
  <r>
    <s v="ID-256"/>
    <s v="Sebastian Yanez"/>
    <x v="5"/>
    <d v="2025-01-05T00:00:00"/>
    <s v="En proceso"/>
    <n v="5"/>
    <n v="3223"/>
    <s v="Sierra"/>
    <x v="254"/>
  </r>
  <r>
    <s v="ID-257"/>
    <s v="Orlando Guamán"/>
    <x v="10"/>
    <d v="2025-04-23T00:00:00"/>
    <s v="En proceso"/>
    <n v="6"/>
    <n v="2040"/>
    <s v="Amazonía"/>
    <x v="255"/>
  </r>
  <r>
    <s v="ID-258"/>
    <s v="Diana Zambrano"/>
    <x v="7"/>
    <d v="2025-10-08T00:00:00"/>
    <s v="En proceso"/>
    <n v="6"/>
    <n v="4222"/>
    <s v="Sierra"/>
    <x v="256"/>
  </r>
  <r>
    <s v="ID-259"/>
    <s v="Fabiana Aguirre"/>
    <x v="7"/>
    <d v="2025-10-09T00:00:00"/>
    <s v="En proceso"/>
    <n v="4"/>
    <n v="2037"/>
    <s v="Amazonía"/>
    <x v="165"/>
  </r>
  <r>
    <s v="ID-260"/>
    <s v="Esteban Quintero"/>
    <x v="5"/>
    <d v="2025-08-18T00:00:00"/>
    <s v="Pendiente"/>
    <n v="1"/>
    <n v="4018"/>
    <s v="Sierra"/>
    <x v="257"/>
  </r>
  <r>
    <s v="ID-261"/>
    <s v="Fabiana Aguirre"/>
    <x v="7"/>
    <d v="2025-12-11T00:00:00"/>
    <s v="En proceso"/>
    <n v="1"/>
    <n v="2591"/>
    <s v="Amazonía"/>
    <x v="258"/>
  </r>
  <r>
    <s v="ID-262"/>
    <s v="Quincy Delgado"/>
    <x v="10"/>
    <d v="2025-09-18T00:00:00"/>
    <s v="En proceso"/>
    <n v="3"/>
    <n v="1463"/>
    <s v="Amazonía"/>
    <x v="259"/>
  </r>
  <r>
    <s v="ID-263"/>
    <s v="Mateo Santillan"/>
    <x v="9"/>
    <d v="2025-02-27T00:00:00"/>
    <s v="Pendiente"/>
    <n v="7"/>
    <n v="3177"/>
    <s v="Sierra"/>
    <x v="260"/>
  </r>
  <r>
    <s v="ID-264"/>
    <s v="Esteban Quintero"/>
    <x v="5"/>
    <d v="2025-08-25T00:00:00"/>
    <s v="Pendiente"/>
    <n v="9"/>
    <n v="1634"/>
    <s v="Amazonía"/>
    <x v="261"/>
  </r>
  <r>
    <s v="ID-265"/>
    <s v="Lorena Chicaiza"/>
    <x v="5"/>
    <d v="2025-12-10T00:00:00"/>
    <s v="Pendiente"/>
    <n v="6"/>
    <n v="4514"/>
    <s v="Insular"/>
    <x v="262"/>
  </r>
  <r>
    <s v="ID-266"/>
    <s v="Lorena Chicaiza"/>
    <x v="10"/>
    <d v="2025-01-08T00:00:00"/>
    <s v="En proceso"/>
    <n v="9"/>
    <n v="894"/>
    <s v="Insular"/>
    <x v="263"/>
  </r>
  <r>
    <s v="ID-267"/>
    <s v="Jessenia Toapanta"/>
    <x v="11"/>
    <d v="2025-03-01T00:00:00"/>
    <s v="Pendiente"/>
    <n v="2"/>
    <n v="3588"/>
    <s v="Amazonía"/>
    <x v="264"/>
  </r>
  <r>
    <s v="ID-268"/>
    <s v="Ivan Alcivar"/>
    <x v="9"/>
    <d v="2025-10-26T00:00:00"/>
    <s v="Pendiente"/>
    <n v="3"/>
    <n v="1829"/>
    <s v="Amazonía"/>
    <x v="265"/>
  </r>
  <r>
    <s v="ID-269"/>
    <s v="Tatiana Viteri"/>
    <x v="5"/>
    <d v="2025-11-21T00:00:00"/>
    <s v="Pendiente"/>
    <n v="3"/>
    <n v="3608"/>
    <s v="Sierra"/>
    <x v="266"/>
  </r>
  <r>
    <s v="ID-270"/>
    <s v="Mateo Santillan"/>
    <x v="7"/>
    <d v="2025-04-06T00:00:00"/>
    <s v="En proceso"/>
    <n v="7"/>
    <n v="3293"/>
    <s v="Amazonía"/>
    <x v="267"/>
  </r>
  <r>
    <s v="ID-271"/>
    <s v="Diana Zambrano"/>
    <x v="6"/>
    <d v="2025-06-14T00:00:00"/>
    <s v="En proceso"/>
    <n v="10"/>
    <n v="4049"/>
    <s v="Sierra"/>
    <x v="268"/>
  </r>
  <r>
    <s v="ID-272"/>
    <s v="Fabiana Aguirre"/>
    <x v="7"/>
    <d v="2025-10-22T00:00:00"/>
    <s v="Pendiente"/>
    <n v="6"/>
    <n v="401"/>
    <s v="Insular"/>
    <x v="269"/>
  </r>
  <r>
    <s v="ID-273"/>
    <s v="Bianca Cedeño"/>
    <x v="10"/>
    <d v="2025-06-16T00:00:00"/>
    <s v="En proceso"/>
    <n v="6"/>
    <n v="650"/>
    <s v="Insular"/>
    <x v="270"/>
  </r>
  <r>
    <s v="ID-274"/>
    <s v="Kleber Villacis"/>
    <x v="7"/>
    <d v="2025-03-14T00:00:00"/>
    <s v="En proceso"/>
    <n v="10"/>
    <n v="4458"/>
    <s v="Amazonía"/>
    <x v="271"/>
  </r>
  <r>
    <s v="ID-275"/>
    <s v="Cristopher Vera"/>
    <x v="7"/>
    <d v="2025-08-13T00:00:00"/>
    <s v="Pendiente"/>
    <n v="6"/>
    <n v="357"/>
    <s v="Sierra"/>
    <x v="272"/>
  </r>
  <r>
    <s v="ID-276"/>
    <s v="Bianca Cedeño"/>
    <x v="8"/>
    <d v="2025-04-13T00:00:00"/>
    <s v="En proceso"/>
    <n v="10"/>
    <n v="3109"/>
    <s v="Insular"/>
    <x v="273"/>
  </r>
  <r>
    <s v="ID-277"/>
    <s v="Tatiana Viteri"/>
    <x v="11"/>
    <d v="2025-03-25T00:00:00"/>
    <s v="En proceso"/>
    <n v="8"/>
    <n v="1400"/>
    <s v="Amazonía"/>
    <x v="274"/>
  </r>
  <r>
    <s v="ID-278"/>
    <s v="Lorena Chicaiza"/>
    <x v="11"/>
    <d v="2025-05-03T00:00:00"/>
    <s v="Pendiente"/>
    <n v="1"/>
    <n v="186"/>
    <s v="Insular"/>
    <x v="275"/>
  </r>
  <r>
    <s v="ID-279"/>
    <s v="Orlando Guamán"/>
    <x v="7"/>
    <d v="2025-06-26T00:00:00"/>
    <s v="En proceso"/>
    <n v="2"/>
    <n v="3253"/>
    <s v="Insular"/>
    <x v="276"/>
  </r>
  <r>
    <s v="ID-280"/>
    <s v="Fabiana Aguirre"/>
    <x v="10"/>
    <d v="2025-11-01T00:00:00"/>
    <s v="En proceso"/>
    <n v="9"/>
    <n v="768"/>
    <s v="Sierra"/>
    <x v="277"/>
  </r>
  <r>
    <s v="ID-281"/>
    <s v="Helena Paredes"/>
    <x v="11"/>
    <d v="2025-11-21T00:00:00"/>
    <s v="Pendiente"/>
    <n v="10"/>
    <n v="1655"/>
    <s v="Insular"/>
    <x v="278"/>
  </r>
  <r>
    <s v="ID-282"/>
    <s v="Fabiana Aguirre"/>
    <x v="10"/>
    <d v="2025-07-04T00:00:00"/>
    <s v="En proceso"/>
    <n v="2"/>
    <n v="1217"/>
    <s v="Sierra"/>
    <x v="279"/>
  </r>
  <r>
    <s v="ID-283"/>
    <s v="Ivan Alcivar"/>
    <x v="6"/>
    <d v="2025-06-25T00:00:00"/>
    <s v="Pendiente"/>
    <n v="10"/>
    <n v="3553"/>
    <s v="Sierra"/>
    <x v="280"/>
  </r>
  <r>
    <s v="ID-284"/>
    <s v="Fabiana Aguirre"/>
    <x v="7"/>
    <d v="2025-04-15T00:00:00"/>
    <s v="En proceso"/>
    <n v="4"/>
    <n v="4120"/>
    <s v="Amazonía"/>
    <x v="281"/>
  </r>
  <r>
    <s v="ID-285"/>
    <s v="Kleber Villacis"/>
    <x v="8"/>
    <d v="2025-03-03T00:00:00"/>
    <s v="En proceso"/>
    <n v="7"/>
    <n v="2194"/>
    <s v="Sierra"/>
    <x v="282"/>
  </r>
  <r>
    <s v="ID-286"/>
    <s v="Tatiana Viteri"/>
    <x v="6"/>
    <d v="2025-04-17T00:00:00"/>
    <s v="En proceso"/>
    <n v="7"/>
    <n v="3349"/>
    <s v="Sierra"/>
    <x v="283"/>
  </r>
  <r>
    <s v="ID-287"/>
    <s v="Mateo Santillan"/>
    <x v="7"/>
    <d v="2025-05-12T00:00:00"/>
    <s v="En proceso"/>
    <n v="3"/>
    <n v="2034"/>
    <s v="Sierra"/>
    <x v="284"/>
  </r>
  <r>
    <s v="ID-288"/>
    <s v="Jessenia Toapanta"/>
    <x v="9"/>
    <d v="2025-02-27T00:00:00"/>
    <s v="En proceso"/>
    <n v="9"/>
    <n v="3981"/>
    <s v="Insular"/>
    <x v="285"/>
  </r>
  <r>
    <s v="ID-289"/>
    <s v="Renata Villamar"/>
    <x v="6"/>
    <d v="2025-09-02T00:00:00"/>
    <s v="Pendiente"/>
    <n v="1"/>
    <n v="3794"/>
    <s v="Sierra"/>
    <x v="286"/>
  </r>
  <r>
    <s v="ID-290"/>
    <s v="Cristopher Vera"/>
    <x v="8"/>
    <d v="2025-05-14T00:00:00"/>
    <s v="Pendiente"/>
    <n v="8"/>
    <n v="2378"/>
    <s v="Amazonía"/>
    <x v="287"/>
  </r>
  <r>
    <s v="ID-291"/>
    <s v="Orlando Guamán"/>
    <x v="8"/>
    <d v="2025-11-15T00:00:00"/>
    <s v="En proceso"/>
    <n v="5"/>
    <n v="4457"/>
    <s v="Insular"/>
    <x v="288"/>
  </r>
  <r>
    <s v="ID-292"/>
    <s v="Gonzalo Mera"/>
    <x v="6"/>
    <d v="2025-12-10T00:00:00"/>
    <s v="Pendiente"/>
    <n v="7"/>
    <n v="1129"/>
    <s v="Sierra"/>
    <x v="289"/>
  </r>
  <r>
    <s v="ID-293"/>
    <s v="Quincy Delgado"/>
    <x v="6"/>
    <d v="2025-01-18T00:00:00"/>
    <s v="En proceso"/>
    <n v="4"/>
    <n v="2252"/>
    <s v="Amazonía"/>
    <x v="290"/>
  </r>
  <r>
    <s v="ID-294"/>
    <s v="Bianca Cedeño"/>
    <x v="8"/>
    <d v="2025-04-26T00:00:00"/>
    <s v="Pendiente"/>
    <n v="9"/>
    <n v="4065"/>
    <s v="Sierra"/>
    <x v="291"/>
  </r>
  <r>
    <s v="ID-295"/>
    <s v="Cristopher Vera"/>
    <x v="5"/>
    <d v="2025-07-08T00:00:00"/>
    <s v="Pendiente"/>
    <n v="7"/>
    <n v="1637"/>
    <s v="Insular"/>
    <x v="292"/>
  </r>
  <r>
    <s v="ID-296"/>
    <s v="Esteban Quintero"/>
    <x v="8"/>
    <d v="2025-08-22T00:00:00"/>
    <s v="En proceso"/>
    <n v="10"/>
    <n v="1323"/>
    <s v="Insular"/>
    <x v="293"/>
  </r>
  <r>
    <s v="ID-297"/>
    <s v="Pamela Rosero"/>
    <x v="8"/>
    <d v="2025-12-23T00:00:00"/>
    <s v="Pendiente"/>
    <n v="9"/>
    <n v="3330"/>
    <s v="Sierra"/>
    <x v="294"/>
  </r>
  <r>
    <s v="ID-298"/>
    <s v="Esteban Quintero"/>
    <x v="5"/>
    <d v="2025-10-24T00:00:00"/>
    <s v="Pendiente"/>
    <n v="1"/>
    <n v="4206"/>
    <s v="Sierra"/>
    <x v="295"/>
  </r>
  <r>
    <s v="ID-299"/>
    <s v="Esteban Quintero"/>
    <x v="6"/>
    <d v="2025-02-20T00:00:00"/>
    <s v="En proceso"/>
    <n v="4"/>
    <n v="4315"/>
    <s v="Insular"/>
    <x v="296"/>
  </r>
  <r>
    <s v="ID-300"/>
    <s v="Kleber Villacis"/>
    <x v="9"/>
    <d v="2025-09-06T00:00:00"/>
    <s v="En proceso"/>
    <n v="2"/>
    <n v="360"/>
    <s v="Insular"/>
    <x v="297"/>
  </r>
  <r>
    <s v="ID-301"/>
    <s v="Diana Zambrano"/>
    <x v="11"/>
    <d v="2025-01-19T00:00:00"/>
    <s v="Pendiente"/>
    <n v="10"/>
    <n v="2822"/>
    <s v="Sierra"/>
    <x v="298"/>
  </r>
  <r>
    <s v="ID-302"/>
    <s v="Tatiana Viteri"/>
    <x v="5"/>
    <d v="2025-07-09T00:00:00"/>
    <s v="Pendiente"/>
    <n v="8"/>
    <n v="3580"/>
    <s v="Insular"/>
    <x v="299"/>
  </r>
  <r>
    <s v="ID-303"/>
    <s v="Ivan Alcivar"/>
    <x v="7"/>
    <d v="2025-03-22T00:00:00"/>
    <s v="En proceso"/>
    <n v="7"/>
    <n v="3307"/>
    <s v="Sierra"/>
    <x v="300"/>
  </r>
  <r>
    <s v="ID-304"/>
    <s v="Nicole Carrion"/>
    <x v="7"/>
    <d v="2025-10-21T00:00:00"/>
    <s v="Pendiente"/>
    <n v="5"/>
    <n v="4000"/>
    <s v="Insular"/>
    <x v="301"/>
  </r>
  <r>
    <s v="ID-305"/>
    <s v="Gonzalo Mera"/>
    <x v="10"/>
    <d v="2025-01-07T00:00:00"/>
    <s v="Pendiente"/>
    <n v="8"/>
    <n v="1508"/>
    <s v="Insular"/>
    <x v="302"/>
  </r>
  <r>
    <s v="ID-306"/>
    <s v="Quincy Delgado"/>
    <x v="5"/>
    <d v="2025-03-11T00:00:00"/>
    <s v="Pendiente"/>
    <n v="2"/>
    <n v="2964"/>
    <s v="Amazonía"/>
    <x v="303"/>
  </r>
  <r>
    <s v="ID-307"/>
    <s v="Diana Zambrano"/>
    <x v="8"/>
    <d v="2025-06-17T00:00:00"/>
    <s v="En proceso"/>
    <n v="9"/>
    <n v="4373"/>
    <s v="Amazonía"/>
    <x v="304"/>
  </r>
  <r>
    <s v="ID-308"/>
    <s v="Bianca Cedeño"/>
    <x v="8"/>
    <d v="2025-08-10T00:00:00"/>
    <s v="Pendiente"/>
    <n v="1"/>
    <n v="3060"/>
    <s v="Sierra"/>
    <x v="305"/>
  </r>
  <r>
    <s v="ID-309"/>
    <s v="Orlando Guamán"/>
    <x v="8"/>
    <d v="2025-06-16T00:00:00"/>
    <s v="Pendiente"/>
    <n v="8"/>
    <n v="167"/>
    <s v="Sierra"/>
    <x v="306"/>
  </r>
  <r>
    <s v="ID-310"/>
    <s v="Diana Zambrano"/>
    <x v="8"/>
    <d v="2025-05-01T00:00:00"/>
    <s v="Pendiente"/>
    <n v="6"/>
    <n v="3138"/>
    <s v="Sierra"/>
    <x v="307"/>
  </r>
  <r>
    <s v="ID-311"/>
    <s v="Quincy Delgado"/>
    <x v="8"/>
    <d v="2025-07-04T00:00:00"/>
    <s v="Pendiente"/>
    <n v="4"/>
    <n v="3309"/>
    <s v="Amazonía"/>
    <x v="308"/>
  </r>
  <r>
    <s v="ID-312"/>
    <s v="Cristopher Vera"/>
    <x v="8"/>
    <d v="2025-11-03T00:00:00"/>
    <s v="En proceso"/>
    <n v="4"/>
    <n v="3298"/>
    <s v="Insular"/>
    <x v="309"/>
  </r>
  <r>
    <s v="ID-313"/>
    <s v="Orlando Guamán"/>
    <x v="8"/>
    <d v="2025-02-17T00:00:00"/>
    <s v="Pendiente"/>
    <n v="1"/>
    <n v="4556"/>
    <s v="Insular"/>
    <x v="310"/>
  </r>
  <r>
    <s v="ID-314"/>
    <s v="Gonzalo Mera"/>
    <x v="7"/>
    <d v="2025-10-10T00:00:00"/>
    <s v="Pendiente"/>
    <n v="4"/>
    <n v="4880"/>
    <s v="Sierra"/>
    <x v="311"/>
  </r>
  <r>
    <s v="ID-315"/>
    <s v="Quincy Delgado"/>
    <x v="10"/>
    <d v="2025-01-13T00:00:00"/>
    <s v="Pendiente"/>
    <n v="4"/>
    <n v="894"/>
    <s v="Amazonía"/>
    <x v="312"/>
  </r>
  <r>
    <s v="ID-316"/>
    <s v="Fabiana Aguirre"/>
    <x v="8"/>
    <d v="2025-02-28T00:00:00"/>
    <s v="Pendiente"/>
    <n v="7"/>
    <n v="511"/>
    <s v="Insular"/>
    <x v="313"/>
  </r>
  <r>
    <s v="ID-317"/>
    <s v="Pamela Rosero"/>
    <x v="11"/>
    <d v="2025-07-13T00:00:00"/>
    <s v="Pendiente"/>
    <n v="1"/>
    <n v="513"/>
    <s v="Insular"/>
    <x v="180"/>
  </r>
  <r>
    <s v="ID-318"/>
    <s v="Orlando Guamán"/>
    <x v="5"/>
    <d v="2025-01-10T00:00:00"/>
    <s v="En proceso"/>
    <n v="8"/>
    <n v="3986"/>
    <s v="Sierra"/>
    <x v="314"/>
  </r>
  <r>
    <s v="ID-319"/>
    <s v="Lorena Chicaiza"/>
    <x v="7"/>
    <d v="2025-10-17T00:00:00"/>
    <s v="En proceso"/>
    <n v="2"/>
    <n v="2887"/>
    <s v="Sierra"/>
    <x v="315"/>
  </r>
  <r>
    <s v="ID-320"/>
    <s v="Pamela Rosero"/>
    <x v="5"/>
    <d v="2025-01-03T00:00:00"/>
    <s v="Pendiente"/>
    <n v="2"/>
    <n v="459"/>
    <s v="Sierra"/>
    <x v="316"/>
  </r>
  <r>
    <s v="ID-321"/>
    <s v="Gonzalo Mera"/>
    <x v="11"/>
    <d v="2025-06-04T00:00:00"/>
    <s v="En proceso"/>
    <n v="10"/>
    <n v="3757"/>
    <s v="Insular"/>
    <x v="317"/>
  </r>
  <r>
    <s v="ID-322"/>
    <s v="Pamela Rosero"/>
    <x v="11"/>
    <d v="2025-10-02T00:00:00"/>
    <s v="En proceso"/>
    <n v="10"/>
    <n v="1235"/>
    <s v="Sierra"/>
    <x v="318"/>
  </r>
  <r>
    <s v="ID-323"/>
    <s v="Ivan Alcivar"/>
    <x v="6"/>
    <d v="2025-04-17T00:00:00"/>
    <s v="Pendiente"/>
    <n v="10"/>
    <n v="105"/>
    <s v="Sierra"/>
    <x v="319"/>
  </r>
  <r>
    <s v="ID-324"/>
    <s v="Fabiana Aguirre"/>
    <x v="11"/>
    <d v="2025-04-12T00:00:00"/>
    <s v="Pendiente"/>
    <n v="3"/>
    <n v="3921"/>
    <s v="Insular"/>
    <x v="320"/>
  </r>
  <r>
    <s v="ID-325"/>
    <s v="Nicole Carrion"/>
    <x v="8"/>
    <d v="2025-07-19T00:00:00"/>
    <s v="Pendiente"/>
    <n v="1"/>
    <n v="124"/>
    <s v="Amazonía"/>
    <x v="321"/>
  </r>
  <r>
    <s v="ID-326"/>
    <s v="Sebastian Yanez"/>
    <x v="7"/>
    <d v="2025-09-14T00:00:00"/>
    <s v="En proceso"/>
    <n v="4"/>
    <n v="2387"/>
    <s v="Sierra"/>
    <x v="322"/>
  </r>
  <r>
    <s v="ID-327"/>
    <s v="Renata Villamar"/>
    <x v="9"/>
    <d v="2025-04-12T00:00:00"/>
    <s v="Pendiente"/>
    <n v="2"/>
    <n v="3288"/>
    <s v="Amazonía"/>
    <x v="323"/>
  </r>
  <r>
    <s v="ID-328"/>
    <s v="Tatiana Viteri"/>
    <x v="8"/>
    <d v="2025-07-28T00:00:00"/>
    <s v="Pendiente"/>
    <n v="1"/>
    <n v="1712"/>
    <s v="Insular"/>
    <x v="324"/>
  </r>
  <r>
    <s v="ID-329"/>
    <s v="Fabiana Aguirre"/>
    <x v="10"/>
    <d v="2025-05-03T00:00:00"/>
    <s v="Pendiente"/>
    <n v="7"/>
    <n v="355"/>
    <s v="Insular"/>
    <x v="325"/>
  </r>
  <r>
    <s v="ID-330"/>
    <s v="Mateo Santillan"/>
    <x v="5"/>
    <d v="2025-06-20T00:00:00"/>
    <s v="En proceso"/>
    <n v="2"/>
    <n v="3238"/>
    <s v="Insular"/>
    <x v="326"/>
  </r>
  <r>
    <s v="ID-331"/>
    <s v="Fabiana Aguirre"/>
    <x v="9"/>
    <d v="2025-05-06T00:00:00"/>
    <s v="En proceso"/>
    <n v="10"/>
    <n v="3252"/>
    <s v="Sierra"/>
    <x v="327"/>
  </r>
  <r>
    <s v="ID-332"/>
    <s v="Helena Paredes"/>
    <x v="11"/>
    <d v="2025-06-24T00:00:00"/>
    <s v="En proceso"/>
    <n v="10"/>
    <n v="4572"/>
    <s v="Amazonía"/>
    <x v="328"/>
  </r>
  <r>
    <s v="ID-333"/>
    <s v="Kleber Villacis"/>
    <x v="5"/>
    <d v="2025-08-13T00:00:00"/>
    <s v="En proceso"/>
    <n v="1"/>
    <n v="246"/>
    <s v="Amazonía"/>
    <x v="329"/>
  </r>
  <r>
    <s v="ID-334"/>
    <s v="Diana Zambrano"/>
    <x v="6"/>
    <d v="2025-09-21T00:00:00"/>
    <s v="Pendiente"/>
    <n v="8"/>
    <n v="4567"/>
    <s v="Sierra"/>
    <x v="330"/>
  </r>
  <r>
    <s v="ID-335"/>
    <s v="Tatiana Viteri"/>
    <x v="6"/>
    <d v="2025-04-25T00:00:00"/>
    <s v="En proceso"/>
    <n v="8"/>
    <n v="775"/>
    <s v="Amazonía"/>
    <x v="331"/>
  </r>
  <r>
    <s v="ID-336"/>
    <s v="Renata Villamar"/>
    <x v="11"/>
    <d v="2025-09-01T00:00:00"/>
    <s v="En proceso"/>
    <n v="3"/>
    <n v="3319"/>
    <s v="Amazonía"/>
    <x v="332"/>
  </r>
  <r>
    <s v="ID-337"/>
    <s v="Quincy Delgado"/>
    <x v="9"/>
    <d v="2025-12-21T00:00:00"/>
    <s v="Pendiente"/>
    <n v="5"/>
    <n v="577"/>
    <s v="Sierra"/>
    <x v="333"/>
  </r>
  <r>
    <s v="ID-338"/>
    <s v="Sebastian Yanez"/>
    <x v="8"/>
    <d v="2025-02-17T00:00:00"/>
    <s v="En proceso"/>
    <n v="3"/>
    <n v="2171"/>
    <s v="Sierra"/>
    <x v="334"/>
  </r>
  <r>
    <s v="ID-339"/>
    <s v="Kleber Villacis"/>
    <x v="8"/>
    <d v="2025-08-15T00:00:00"/>
    <s v="Pendiente"/>
    <n v="7"/>
    <n v="1617"/>
    <s v="Insular"/>
    <x v="335"/>
  </r>
  <r>
    <s v="ID-340"/>
    <s v="Renata Villamar"/>
    <x v="8"/>
    <d v="2025-11-16T00:00:00"/>
    <s v="En proceso"/>
    <n v="2"/>
    <n v="3711"/>
    <s v="Insular"/>
    <x v="336"/>
  </r>
  <r>
    <s v="ID-341"/>
    <s v="Nicole Carrion"/>
    <x v="8"/>
    <d v="2025-02-01T00:00:00"/>
    <s v="Pendiente"/>
    <n v="2"/>
    <n v="2124"/>
    <s v="Amazonía"/>
    <x v="337"/>
  </r>
  <r>
    <s v="ID-342"/>
    <s v="Jessenia Toapanta"/>
    <x v="10"/>
    <d v="2025-04-09T00:00:00"/>
    <s v="En proceso"/>
    <n v="1"/>
    <n v="1810"/>
    <s v="Sierra"/>
    <x v="338"/>
  </r>
  <r>
    <s v="ID-343"/>
    <s v="Esteban Quintero"/>
    <x v="5"/>
    <d v="2025-12-06T00:00:00"/>
    <s v="En proceso"/>
    <n v="1"/>
    <n v="1574"/>
    <s v="Sierra"/>
    <x v="339"/>
  </r>
  <r>
    <s v="ID-344"/>
    <s v="Pamela Rosero"/>
    <x v="9"/>
    <d v="2025-09-13T00:00:00"/>
    <s v="En proceso"/>
    <n v="10"/>
    <n v="1546"/>
    <s v="Sierra"/>
    <x v="340"/>
  </r>
  <r>
    <s v="ID-345"/>
    <s v="Helena Paredes"/>
    <x v="8"/>
    <d v="2025-09-09T00:00:00"/>
    <s v="En proceso"/>
    <n v="6"/>
    <n v="687"/>
    <s v="Insular"/>
    <x v="341"/>
  </r>
  <r>
    <s v="ID-346"/>
    <s v="Cristopher Vera"/>
    <x v="7"/>
    <d v="2025-12-26T00:00:00"/>
    <s v="En proceso"/>
    <n v="5"/>
    <n v="4262"/>
    <s v="Insular"/>
    <x v="342"/>
  </r>
  <r>
    <s v="ID-347"/>
    <s v="Kleber Villacis"/>
    <x v="11"/>
    <d v="2025-02-25T00:00:00"/>
    <s v="En proceso"/>
    <n v="3"/>
    <n v="1426"/>
    <s v="Sierra"/>
    <x v="343"/>
  </r>
  <r>
    <s v="ID-348"/>
    <s v="Tatiana Viteri"/>
    <x v="8"/>
    <d v="2025-10-22T00:00:00"/>
    <s v="Pendiente"/>
    <n v="10"/>
    <n v="2583"/>
    <s v="Insular"/>
    <x v="344"/>
  </r>
  <r>
    <s v="ID-349"/>
    <s v="Gonzalo Mera"/>
    <x v="9"/>
    <d v="2025-04-18T00:00:00"/>
    <s v="Pendiente"/>
    <n v="9"/>
    <n v="2023"/>
    <s v="Insular"/>
    <x v="345"/>
  </r>
  <r>
    <s v="ID-350"/>
    <s v="Esteban Quintero"/>
    <x v="7"/>
    <d v="2025-08-13T00:00:00"/>
    <s v="En proceso"/>
    <n v="8"/>
    <n v="342"/>
    <s v="Amazonía"/>
    <x v="346"/>
  </r>
  <r>
    <s v="ID-351"/>
    <s v="Pamela Rosero"/>
    <x v="5"/>
    <d v="2025-08-18T00:00:00"/>
    <s v="En proceso"/>
    <n v="5"/>
    <n v="1951"/>
    <s v="Amazonía"/>
    <x v="347"/>
  </r>
  <r>
    <s v="ID-352"/>
    <s v="Renata Villamar"/>
    <x v="5"/>
    <d v="2025-11-16T00:00:00"/>
    <s v="Pendiente"/>
    <n v="5"/>
    <n v="2619"/>
    <s v="Sierra"/>
    <x v="348"/>
  </r>
  <r>
    <s v="ID-353"/>
    <s v="Tatiana Viteri"/>
    <x v="8"/>
    <d v="2025-08-02T00:00:00"/>
    <s v="En proceso"/>
    <n v="4"/>
    <n v="1930"/>
    <s v="Insular"/>
    <x v="349"/>
  </r>
  <r>
    <s v="ID-354"/>
    <s v="Fabiana Aguirre"/>
    <x v="8"/>
    <d v="2025-02-27T00:00:00"/>
    <s v="Pendiente"/>
    <n v="1"/>
    <n v="792"/>
    <s v="Insular"/>
    <x v="350"/>
  </r>
  <r>
    <s v="ID-355"/>
    <s v="Ivan Alcivar"/>
    <x v="7"/>
    <d v="2025-03-13T00:00:00"/>
    <s v="Pendiente"/>
    <n v="10"/>
    <n v="3926"/>
    <s v="Amazonía"/>
    <x v="351"/>
  </r>
  <r>
    <s v="ID-356"/>
    <s v="Sebastian Yanez"/>
    <x v="7"/>
    <d v="2025-06-22T00:00:00"/>
    <s v="Pendiente"/>
    <n v="8"/>
    <n v="2432"/>
    <s v="Insular"/>
    <x v="352"/>
  </r>
  <r>
    <s v="ID-357"/>
    <s v="Orlando Guamán"/>
    <x v="7"/>
    <d v="2025-05-16T00:00:00"/>
    <s v="Pendiente"/>
    <n v="3"/>
    <n v="1187"/>
    <s v="Amazonía"/>
    <x v="353"/>
  </r>
  <r>
    <s v="ID-358"/>
    <s v="Nicole Carrion"/>
    <x v="5"/>
    <d v="2025-01-12T00:00:00"/>
    <s v="Pendiente"/>
    <n v="9"/>
    <n v="1409"/>
    <s v="Sierra"/>
    <x v="354"/>
  </r>
  <r>
    <s v="ID-359"/>
    <s v="Renata Villamar"/>
    <x v="11"/>
    <d v="2025-06-12T00:00:00"/>
    <s v="Pendiente"/>
    <n v="1"/>
    <n v="3149"/>
    <s v="Sierra"/>
    <x v="355"/>
  </r>
  <r>
    <s v="ID-360"/>
    <s v="Kleber Villacis"/>
    <x v="5"/>
    <d v="2025-05-15T00:00:00"/>
    <s v="En proceso"/>
    <n v="1"/>
    <n v="2801"/>
    <s v="Amazonía"/>
    <x v="356"/>
  </r>
  <r>
    <s v="ID-361"/>
    <s v="Tatiana Viteri"/>
    <x v="8"/>
    <d v="2025-02-07T00:00:00"/>
    <s v="Pendiente"/>
    <n v="9"/>
    <n v="571"/>
    <s v="Sierra"/>
    <x v="357"/>
  </r>
  <r>
    <s v="ID-362"/>
    <s v="Pamela Rosero"/>
    <x v="6"/>
    <d v="2025-01-27T00:00:00"/>
    <s v="Pendiente"/>
    <n v="3"/>
    <n v="2970"/>
    <s v="Sierra"/>
    <x v="358"/>
  </r>
  <r>
    <s v="ID-363"/>
    <s v="Lorena Chicaiza"/>
    <x v="9"/>
    <d v="2025-02-15T00:00:00"/>
    <s v="En proceso"/>
    <n v="1"/>
    <n v="399"/>
    <s v="Amazonía"/>
    <x v="359"/>
  </r>
  <r>
    <s v="ID-364"/>
    <s v="Tatiana Viteri"/>
    <x v="6"/>
    <d v="2025-02-23T00:00:00"/>
    <s v="Pendiente"/>
    <n v="7"/>
    <n v="4504"/>
    <s v="Amazonía"/>
    <x v="360"/>
  </r>
  <r>
    <s v="ID-365"/>
    <s v="Esteban Quintero"/>
    <x v="6"/>
    <d v="2025-07-02T00:00:00"/>
    <s v="Pendiente"/>
    <n v="6"/>
    <n v="861"/>
    <s v="Insular"/>
    <x v="361"/>
  </r>
  <r>
    <s v="ID-366"/>
    <s v="Tatiana Viteri"/>
    <x v="10"/>
    <d v="2025-10-14T00:00:00"/>
    <s v="Pendiente"/>
    <n v="8"/>
    <n v="1274"/>
    <s v="Amazonía"/>
    <x v="362"/>
  </r>
  <r>
    <s v="ID-367"/>
    <s v="Quincy Delgado"/>
    <x v="8"/>
    <d v="2025-10-23T00:00:00"/>
    <s v="En proceso"/>
    <n v="3"/>
    <n v="1434"/>
    <s v="Insular"/>
    <x v="363"/>
  </r>
  <r>
    <s v="ID-368"/>
    <s v="Quincy Delgado"/>
    <x v="6"/>
    <d v="2025-06-18T00:00:00"/>
    <s v="En proceso"/>
    <n v="10"/>
    <n v="3338"/>
    <s v="Insular"/>
    <x v="364"/>
  </r>
  <r>
    <s v="ID-369"/>
    <s v="Nicole Carrion"/>
    <x v="5"/>
    <d v="2025-05-02T00:00:00"/>
    <s v="Pendiente"/>
    <n v="6"/>
    <n v="2836"/>
    <s v="Amazonía"/>
    <x v="365"/>
  </r>
  <r>
    <s v="ID-370"/>
    <s v="Pamela Rosero"/>
    <x v="6"/>
    <d v="2025-12-04T00:00:00"/>
    <s v="Pendiente"/>
    <n v="4"/>
    <n v="2079"/>
    <s v="Amazonía"/>
    <x v="366"/>
  </r>
  <r>
    <s v="ID-371"/>
    <s v="Diana Zambrano"/>
    <x v="5"/>
    <d v="2025-02-09T00:00:00"/>
    <s v="En proceso"/>
    <n v="9"/>
    <n v="2052"/>
    <s v="Amazonía"/>
    <x v="367"/>
  </r>
  <r>
    <s v="ID-372"/>
    <s v="Jessenia Toapanta"/>
    <x v="6"/>
    <d v="2025-01-03T00:00:00"/>
    <s v="Pendiente"/>
    <n v="2"/>
    <n v="82"/>
    <s v="Amazonía"/>
    <x v="368"/>
  </r>
  <r>
    <s v="ID-373"/>
    <s v="Renata Villamar"/>
    <x v="8"/>
    <d v="2025-03-09T00:00:00"/>
    <s v="Pendiente"/>
    <n v="2"/>
    <n v="2292"/>
    <s v="Sierra"/>
    <x v="369"/>
  </r>
  <r>
    <s v="ID-374"/>
    <s v="Lorena Chicaiza"/>
    <x v="10"/>
    <d v="2025-02-25T00:00:00"/>
    <s v="Pendiente"/>
    <n v="6"/>
    <n v="1182"/>
    <s v="Insular"/>
    <x v="370"/>
  </r>
  <r>
    <s v="ID-375"/>
    <s v="Renata Villamar"/>
    <x v="6"/>
    <d v="2025-10-03T00:00:00"/>
    <s v="En proceso"/>
    <n v="3"/>
    <n v="3031"/>
    <s v="Sierra"/>
    <x v="371"/>
  </r>
  <r>
    <s v="ID-376"/>
    <s v="Esteban Quintero"/>
    <x v="9"/>
    <d v="2025-06-05T00:00:00"/>
    <s v="En proceso"/>
    <n v="5"/>
    <n v="495"/>
    <s v="Insular"/>
    <x v="372"/>
  </r>
  <r>
    <s v="ID-377"/>
    <s v="Fabiana Aguirre"/>
    <x v="11"/>
    <d v="2025-08-24T00:00:00"/>
    <s v="En proceso"/>
    <n v="6"/>
    <n v="4989"/>
    <s v="Insular"/>
    <x v="373"/>
  </r>
  <r>
    <s v="ID-378"/>
    <s v="Mateo Santillan"/>
    <x v="11"/>
    <d v="2025-12-22T00:00:00"/>
    <s v="Pendiente"/>
    <n v="6"/>
    <n v="4344"/>
    <s v="Insular"/>
    <x v="374"/>
  </r>
  <r>
    <s v="ID-379"/>
    <s v="Ivan Alcivar"/>
    <x v="11"/>
    <d v="2025-06-04T00:00:00"/>
    <s v="En proceso"/>
    <n v="6"/>
    <n v="169"/>
    <s v="Amazonía"/>
    <x v="375"/>
  </r>
  <r>
    <s v="ID-380"/>
    <s v="Jessenia Toapanta"/>
    <x v="8"/>
    <d v="2025-06-26T00:00:00"/>
    <s v="En proceso"/>
    <n v="2"/>
    <n v="374"/>
    <s v="Sierra"/>
    <x v="376"/>
  </r>
  <r>
    <s v="ID-381"/>
    <s v="Cristopher Vera"/>
    <x v="5"/>
    <d v="2025-06-19T00:00:00"/>
    <s v="En proceso"/>
    <n v="2"/>
    <n v="1743"/>
    <s v="Amazonía"/>
    <x v="377"/>
  </r>
  <r>
    <s v="ID-382"/>
    <s v="Kleber Villacis"/>
    <x v="8"/>
    <d v="2025-03-25T00:00:00"/>
    <s v="En proceso"/>
    <n v="7"/>
    <n v="2380"/>
    <s v="Amazonía"/>
    <x v="378"/>
  </r>
  <r>
    <s v="ID-383"/>
    <s v="Esteban Quintero"/>
    <x v="10"/>
    <d v="2025-10-13T00:00:00"/>
    <s v="En proceso"/>
    <n v="3"/>
    <n v="4205"/>
    <s v="Insular"/>
    <x v="379"/>
  </r>
  <r>
    <s v="ID-384"/>
    <s v="Orlando Guamán"/>
    <x v="7"/>
    <d v="2025-08-10T00:00:00"/>
    <s v="Pendiente"/>
    <n v="7"/>
    <n v="498"/>
    <s v="Amazonía"/>
    <x v="377"/>
  </r>
  <r>
    <s v="ID-385"/>
    <s v="Sebastian Yanez"/>
    <x v="8"/>
    <d v="2025-03-23T00:00:00"/>
    <s v="Pendiente"/>
    <n v="2"/>
    <n v="3294"/>
    <s v="Insular"/>
    <x v="380"/>
  </r>
  <r>
    <s v="ID-386"/>
    <s v="Kleber Villacis"/>
    <x v="6"/>
    <d v="2025-05-05T00:00:00"/>
    <s v="En proceso"/>
    <n v="2"/>
    <n v="1050"/>
    <s v="Insular"/>
    <x v="381"/>
  </r>
  <r>
    <s v="ID-387"/>
    <s v="Nicole Carrion"/>
    <x v="6"/>
    <d v="2025-06-05T00:00:00"/>
    <s v="En proceso"/>
    <n v="5"/>
    <n v="976"/>
    <s v="Insular"/>
    <x v="382"/>
  </r>
  <r>
    <s v="ID-388"/>
    <s v="Helena Paredes"/>
    <x v="9"/>
    <d v="2025-07-14T00:00:00"/>
    <s v="Pendiente"/>
    <n v="3"/>
    <n v="1644"/>
    <s v="Amazonía"/>
    <x v="383"/>
  </r>
  <r>
    <s v="ID-389"/>
    <s v="Cristopher Vera"/>
    <x v="10"/>
    <d v="2025-08-08T00:00:00"/>
    <s v="En proceso"/>
    <n v="9"/>
    <n v="459"/>
    <s v="Amazonía"/>
    <x v="384"/>
  </r>
  <r>
    <s v="ID-390"/>
    <s v="Diana Zambrano"/>
    <x v="5"/>
    <d v="2025-04-19T00:00:00"/>
    <s v="Pendiente"/>
    <n v="3"/>
    <n v="1131"/>
    <s v="Amazonía"/>
    <x v="385"/>
  </r>
  <r>
    <s v="ID-391"/>
    <s v="Diana Zambrano"/>
    <x v="11"/>
    <d v="2025-01-06T00:00:00"/>
    <s v="Pendiente"/>
    <n v="5"/>
    <n v="1220"/>
    <s v="Sierra"/>
    <x v="386"/>
  </r>
  <r>
    <s v="ID-392"/>
    <s v="Pamela Rosero"/>
    <x v="10"/>
    <d v="2025-01-11T00:00:00"/>
    <s v="Pendiente"/>
    <n v="1"/>
    <n v="4591"/>
    <s v="Amazonía"/>
    <x v="387"/>
  </r>
  <r>
    <s v="ID-393"/>
    <s v="Bianca Cedeño"/>
    <x v="6"/>
    <d v="2025-04-05T00:00:00"/>
    <s v="Pendiente"/>
    <n v="6"/>
    <n v="3978"/>
    <s v="Insular"/>
    <x v="388"/>
  </r>
  <r>
    <s v="ID-394"/>
    <s v="Orlando Guamán"/>
    <x v="11"/>
    <d v="2025-07-14T00:00:00"/>
    <s v="En proceso"/>
    <n v="4"/>
    <n v="3403"/>
    <s v="Sierra"/>
    <x v="389"/>
  </r>
  <r>
    <s v="ID-395"/>
    <s v="Cristopher Vera"/>
    <x v="7"/>
    <d v="2025-03-19T00:00:00"/>
    <s v="En proceso"/>
    <n v="7"/>
    <n v="737"/>
    <s v="Insular"/>
    <x v="390"/>
  </r>
  <r>
    <s v="ID-396"/>
    <s v="Ivan Alcivar"/>
    <x v="5"/>
    <d v="2025-09-03T00:00:00"/>
    <s v="Pendiente"/>
    <n v="5"/>
    <n v="155"/>
    <s v="Amazonía"/>
    <x v="391"/>
  </r>
  <r>
    <s v="ID-397"/>
    <s v="Cristopher Vera"/>
    <x v="5"/>
    <d v="2025-11-14T00:00:00"/>
    <s v="En proceso"/>
    <n v="6"/>
    <n v="4667"/>
    <s v="Sierra"/>
    <x v="392"/>
  </r>
  <r>
    <s v="ID-398"/>
    <s v="Nicole Carrion"/>
    <x v="6"/>
    <d v="2025-10-17T00:00:00"/>
    <s v="En proceso"/>
    <n v="7"/>
    <n v="3662"/>
    <s v="Sierra"/>
    <x v="393"/>
  </r>
  <r>
    <s v="ID-399"/>
    <s v="Sebastian Yanez"/>
    <x v="7"/>
    <d v="2025-09-16T00:00:00"/>
    <s v="Pendiente"/>
    <n v="3"/>
    <n v="303"/>
    <s v="Sierra"/>
    <x v="394"/>
  </r>
  <r>
    <s v="ID-400"/>
    <s v="Lorena Chicaiza"/>
    <x v="5"/>
    <d v="2025-02-17T00:00:00"/>
    <s v="Pendiente"/>
    <n v="7"/>
    <n v="4058"/>
    <s v="Amazonía"/>
    <x v="395"/>
  </r>
  <r>
    <s v="ID-401"/>
    <s v="Pamela Rosero"/>
    <x v="9"/>
    <d v="2025-02-07T00:00:00"/>
    <s v="Pendiente"/>
    <n v="1"/>
    <n v="3305"/>
    <s v="Sierra"/>
    <x v="396"/>
  </r>
  <r>
    <s v="ID-402"/>
    <s v="Ivan Alcivar"/>
    <x v="8"/>
    <d v="2025-08-01T00:00:00"/>
    <s v="En proceso"/>
    <n v="5"/>
    <n v="2687"/>
    <s v="Amazonía"/>
    <x v="397"/>
  </r>
  <r>
    <s v="ID-403"/>
    <s v="Tatiana Viteri"/>
    <x v="8"/>
    <d v="2025-02-27T00:00:00"/>
    <s v="Pendiente"/>
    <n v="6"/>
    <n v="697"/>
    <s v="Insular"/>
    <x v="398"/>
  </r>
  <r>
    <s v="ID-404"/>
    <s v="Pamela Rosero"/>
    <x v="8"/>
    <d v="2025-01-27T00:00:00"/>
    <s v="En proceso"/>
    <n v="1"/>
    <n v="2135"/>
    <s v="Sierra"/>
    <x v="399"/>
  </r>
  <r>
    <s v="ID-405"/>
    <s v="Helena Paredes"/>
    <x v="9"/>
    <d v="2025-08-13T00:00:00"/>
    <s v="Pendiente"/>
    <n v="5"/>
    <n v="670"/>
    <s v="Insular"/>
    <x v="400"/>
  </r>
  <r>
    <s v="ID-406"/>
    <s v="Ivan Alcivar"/>
    <x v="8"/>
    <d v="2025-10-23T00:00:00"/>
    <s v="En proceso"/>
    <n v="10"/>
    <n v="1255"/>
    <s v="Sierra"/>
    <x v="401"/>
  </r>
  <r>
    <s v="ID-407"/>
    <s v="Pamela Rosero"/>
    <x v="6"/>
    <d v="2025-01-23T00:00:00"/>
    <s v="Pendiente"/>
    <n v="9"/>
    <n v="2698"/>
    <s v="Sierra"/>
    <x v="402"/>
  </r>
  <r>
    <s v="ID-408"/>
    <s v="Helena Paredes"/>
    <x v="10"/>
    <d v="2025-02-06T00:00:00"/>
    <s v="Pendiente"/>
    <n v="9"/>
    <n v="145"/>
    <s v="Amazonía"/>
    <x v="403"/>
  </r>
  <r>
    <s v="ID-409"/>
    <s v="Helena Paredes"/>
    <x v="7"/>
    <d v="2025-01-06T00:00:00"/>
    <s v="Pendiente"/>
    <n v="10"/>
    <n v="2520"/>
    <s v="Sierra"/>
    <x v="29"/>
  </r>
  <r>
    <s v="ID-410"/>
    <s v="Sebastian Yanez"/>
    <x v="7"/>
    <d v="2025-11-28T00:00:00"/>
    <s v="En proceso"/>
    <n v="7"/>
    <n v="146"/>
    <s v="Insular"/>
    <x v="404"/>
  </r>
  <r>
    <s v="ID-411"/>
    <s v="Mateo Santillan"/>
    <x v="9"/>
    <d v="2025-04-06T00:00:00"/>
    <s v="Pendiente"/>
    <n v="4"/>
    <n v="2102"/>
    <s v="Sierra"/>
    <x v="405"/>
  </r>
  <r>
    <s v="ID-412"/>
    <s v="Pamela Rosero"/>
    <x v="9"/>
    <d v="2025-12-10T00:00:00"/>
    <s v="En proceso"/>
    <n v="4"/>
    <n v="3847"/>
    <s v="Sierra"/>
    <x v="406"/>
  </r>
  <r>
    <s v="ID-413"/>
    <s v="Diana Zambrano"/>
    <x v="7"/>
    <d v="2025-12-14T00:00:00"/>
    <s v="En proceso"/>
    <n v="9"/>
    <n v="4654"/>
    <s v="Amazonía"/>
    <x v="407"/>
  </r>
  <r>
    <s v="ID-414"/>
    <s v="Kleber Villacis"/>
    <x v="10"/>
    <d v="2025-07-18T00:00:00"/>
    <s v="Pendiente"/>
    <n v="6"/>
    <n v="138"/>
    <s v="Insular"/>
    <x v="408"/>
  </r>
  <r>
    <s v="ID-415"/>
    <s v="Sebastian Yanez"/>
    <x v="8"/>
    <d v="2025-05-04T00:00:00"/>
    <s v="Pendiente"/>
    <n v="5"/>
    <n v="4669"/>
    <s v="Sierra"/>
    <x v="409"/>
  </r>
  <r>
    <s v="ID-416"/>
    <s v="Helena Paredes"/>
    <x v="8"/>
    <d v="2025-03-13T00:00:00"/>
    <s v="En proceso"/>
    <n v="9"/>
    <n v="4058"/>
    <s v="Amazonía"/>
    <x v="410"/>
  </r>
  <r>
    <s v="ID-417"/>
    <s v="Diana Zambrano"/>
    <x v="11"/>
    <d v="2025-03-11T00:00:00"/>
    <s v="Pendiente"/>
    <n v="5"/>
    <n v="2868"/>
    <s v="Amazonía"/>
    <x v="411"/>
  </r>
  <r>
    <s v="ID-418"/>
    <s v="Kleber Villacis"/>
    <x v="8"/>
    <d v="2025-07-20T00:00:00"/>
    <s v="Pendiente"/>
    <n v="2"/>
    <n v="2008"/>
    <s v="Amazonía"/>
    <x v="412"/>
  </r>
  <r>
    <s v="ID-419"/>
    <s v="Esteban Quintero"/>
    <x v="8"/>
    <d v="2025-01-19T00:00:00"/>
    <s v="En proceso"/>
    <n v="4"/>
    <n v="1216"/>
    <s v="Amazonía"/>
    <x v="413"/>
  </r>
  <r>
    <s v="ID-420"/>
    <s v="Mateo Santillan"/>
    <x v="11"/>
    <d v="2025-07-15T00:00:00"/>
    <s v="Pendiente"/>
    <n v="7"/>
    <n v="1556"/>
    <s v="Insular"/>
    <x v="414"/>
  </r>
  <r>
    <s v="ID-421"/>
    <s v="Orlando Guamán"/>
    <x v="10"/>
    <d v="2025-03-24T00:00:00"/>
    <s v="En proceso"/>
    <n v="10"/>
    <n v="2923"/>
    <s v="Insular"/>
    <x v="415"/>
  </r>
  <r>
    <s v="ID-422"/>
    <s v="Helena Paredes"/>
    <x v="9"/>
    <d v="2025-06-08T00:00:00"/>
    <s v="En proceso"/>
    <n v="7"/>
    <n v="1554"/>
    <s v="Amazonía"/>
    <x v="416"/>
  </r>
  <r>
    <s v="ID-423"/>
    <s v="Orlando Guamán"/>
    <x v="10"/>
    <d v="2025-12-24T00:00:00"/>
    <s v="Pendiente"/>
    <n v="4"/>
    <n v="2482"/>
    <s v="Sierra"/>
    <x v="417"/>
  </r>
  <r>
    <s v="ID-424"/>
    <s v="Renata Villamar"/>
    <x v="9"/>
    <d v="2025-08-17T00:00:00"/>
    <s v="En proceso"/>
    <n v="10"/>
    <n v="2100"/>
    <s v="Sierra"/>
    <x v="90"/>
  </r>
  <r>
    <s v="ID-425"/>
    <s v="Gonzalo Mera"/>
    <x v="6"/>
    <d v="2025-11-27T00:00:00"/>
    <s v="Pendiente"/>
    <n v="8"/>
    <n v="614"/>
    <s v="Insular"/>
    <x v="418"/>
  </r>
  <r>
    <s v="ID-426"/>
    <s v="Ivan Alcivar"/>
    <x v="9"/>
    <d v="2025-11-10T00:00:00"/>
    <s v="Pendiente"/>
    <n v="4"/>
    <n v="4536"/>
    <s v="Amazonía"/>
    <x v="419"/>
  </r>
  <r>
    <s v="ID-427"/>
    <s v="Sebastian Yanez"/>
    <x v="8"/>
    <d v="2025-09-19T00:00:00"/>
    <s v="Pendiente"/>
    <n v="7"/>
    <n v="4265"/>
    <s v="Amazonía"/>
    <x v="420"/>
  </r>
  <r>
    <s v="ID-428"/>
    <s v="Lorena Chicaiza"/>
    <x v="6"/>
    <d v="2025-02-20T00:00:00"/>
    <s v="En proceso"/>
    <n v="1"/>
    <n v="1488"/>
    <s v="Insular"/>
    <x v="421"/>
  </r>
  <r>
    <s v="ID-429"/>
    <s v="Gonzalo Mera"/>
    <x v="8"/>
    <d v="2025-08-21T00:00:00"/>
    <s v="En proceso"/>
    <n v="1"/>
    <n v="1702"/>
    <s v="Insular"/>
    <x v="422"/>
  </r>
  <r>
    <s v="ID-430"/>
    <s v="Cristopher Vera"/>
    <x v="5"/>
    <d v="2025-08-28T00:00:00"/>
    <s v="En proceso"/>
    <n v="6"/>
    <n v="1769"/>
    <s v="Amazonía"/>
    <x v="423"/>
  </r>
  <r>
    <s v="ID-431"/>
    <s v="Gonzalo Mera"/>
    <x v="10"/>
    <d v="2025-12-05T00:00:00"/>
    <s v="Pendiente"/>
    <n v="8"/>
    <n v="2362"/>
    <s v="Amazonía"/>
    <x v="424"/>
  </r>
  <r>
    <s v="ID-432"/>
    <s v="Cristopher Vera"/>
    <x v="7"/>
    <d v="2025-09-25T00:00:00"/>
    <s v="En proceso"/>
    <n v="4"/>
    <n v="497"/>
    <s v="Insular"/>
    <x v="70"/>
  </r>
  <r>
    <s v="ID-433"/>
    <s v="Cristopher Vera"/>
    <x v="11"/>
    <d v="2025-04-06T00:00:00"/>
    <s v="En proceso"/>
    <n v="2"/>
    <n v="1984"/>
    <s v="Amazonía"/>
    <x v="425"/>
  </r>
  <r>
    <s v="ID-434"/>
    <s v="Quincy Delgado"/>
    <x v="11"/>
    <d v="2025-03-06T00:00:00"/>
    <s v="Pendiente"/>
    <n v="5"/>
    <n v="3995"/>
    <s v="Insular"/>
    <x v="426"/>
  </r>
  <r>
    <s v="ID-435"/>
    <s v="Diana Zambrano"/>
    <x v="9"/>
    <d v="2025-06-11T00:00:00"/>
    <s v="En proceso"/>
    <n v="7"/>
    <n v="2533"/>
    <s v="Amazonía"/>
    <x v="427"/>
  </r>
  <r>
    <s v="ID-436"/>
    <s v="Renata Villamar"/>
    <x v="8"/>
    <d v="2025-12-05T00:00:00"/>
    <s v="Pendiente"/>
    <n v="10"/>
    <n v="4888"/>
    <s v="Insular"/>
    <x v="428"/>
  </r>
  <r>
    <s v="ID-437"/>
    <s v="Diana Zambrano"/>
    <x v="8"/>
    <d v="2025-06-12T00:00:00"/>
    <s v="Pendiente"/>
    <n v="3"/>
    <n v="2238"/>
    <s v="Amazonía"/>
    <x v="429"/>
  </r>
  <r>
    <s v="ID-438"/>
    <s v="Tatiana Viteri"/>
    <x v="7"/>
    <d v="2025-04-02T00:00:00"/>
    <s v="En proceso"/>
    <n v="4"/>
    <n v="2028"/>
    <s v="Insular"/>
    <x v="430"/>
  </r>
  <r>
    <s v="ID-439"/>
    <s v="Sebastian Yanez"/>
    <x v="8"/>
    <d v="2025-09-10T00:00:00"/>
    <s v="Pendiente"/>
    <n v="10"/>
    <n v="574"/>
    <s v="Sierra"/>
    <x v="431"/>
  </r>
  <r>
    <s v="ID-440"/>
    <s v="Gonzalo Mera"/>
    <x v="5"/>
    <d v="2025-08-16T00:00:00"/>
    <s v="Pendiente"/>
    <n v="3"/>
    <n v="495"/>
    <s v="Amazonía"/>
    <x v="432"/>
  </r>
  <r>
    <s v="ID-441"/>
    <s v="Pamela Rosero"/>
    <x v="8"/>
    <d v="2025-10-11T00:00:00"/>
    <s v="Pendiente"/>
    <n v="9"/>
    <n v="3242"/>
    <s v="Amazonía"/>
    <x v="433"/>
  </r>
  <r>
    <s v="ID-442"/>
    <s v="Bianca Cedeño"/>
    <x v="6"/>
    <d v="2025-09-15T00:00:00"/>
    <s v="Pendiente"/>
    <n v="6"/>
    <n v="1630"/>
    <s v="Sierra"/>
    <x v="434"/>
  </r>
  <r>
    <s v="ID-443"/>
    <s v="Cristopher Vera"/>
    <x v="8"/>
    <d v="2025-06-03T00:00:00"/>
    <s v="En proceso"/>
    <n v="7"/>
    <n v="2245"/>
    <s v="Amazonía"/>
    <x v="435"/>
  </r>
  <r>
    <s v="ID-444"/>
    <s v="Pamela Rosero"/>
    <x v="7"/>
    <d v="2025-05-04T00:00:00"/>
    <s v="En proceso"/>
    <n v="6"/>
    <n v="3039"/>
    <s v="Sierra"/>
    <x v="436"/>
  </r>
  <r>
    <s v="ID-445"/>
    <s v="Jessenia Toapanta"/>
    <x v="10"/>
    <d v="2025-11-05T00:00:00"/>
    <s v="En proceso"/>
    <n v="1"/>
    <n v="794"/>
    <s v="Amazonía"/>
    <x v="437"/>
  </r>
  <r>
    <s v="ID-446"/>
    <s v="Helena Paredes"/>
    <x v="11"/>
    <d v="2025-11-20T00:00:00"/>
    <s v="Pendiente"/>
    <n v="5"/>
    <n v="3576"/>
    <s v="Sierra"/>
    <x v="438"/>
  </r>
  <r>
    <s v="ID-447"/>
    <s v="Sebastian Yanez"/>
    <x v="5"/>
    <d v="2025-05-18T00:00:00"/>
    <s v="Pendiente"/>
    <n v="2"/>
    <n v="3344"/>
    <s v="Insular"/>
    <x v="439"/>
  </r>
  <r>
    <s v="ID-448"/>
    <s v="Orlando Guamán"/>
    <x v="10"/>
    <d v="2025-09-25T00:00:00"/>
    <s v="En proceso"/>
    <n v="1"/>
    <n v="3338"/>
    <s v="Sierra"/>
    <x v="440"/>
  </r>
  <r>
    <s v="ID-449"/>
    <s v="Mateo Santillan"/>
    <x v="7"/>
    <d v="2025-07-22T00:00:00"/>
    <s v="En proceso"/>
    <n v="2"/>
    <n v="653"/>
    <s v="Insular"/>
    <x v="441"/>
  </r>
  <r>
    <s v="ID-450"/>
    <s v="Gonzalo Mera"/>
    <x v="8"/>
    <d v="2025-07-16T00:00:00"/>
    <s v="En proceso"/>
    <n v="2"/>
    <n v="3666"/>
    <s v="Amazonía"/>
    <x v="442"/>
  </r>
  <r>
    <s v="ID-451"/>
    <s v="Sebastian Yanez"/>
    <x v="9"/>
    <d v="2025-02-01T00:00:00"/>
    <s v="En proceso"/>
    <n v="7"/>
    <n v="4648"/>
    <s v="Sierra"/>
    <x v="443"/>
  </r>
  <r>
    <s v="ID-452"/>
    <s v="Lorena Chicaiza"/>
    <x v="7"/>
    <d v="2025-06-25T00:00:00"/>
    <s v="Pendiente"/>
    <n v="1"/>
    <n v="2169"/>
    <s v="Amazonía"/>
    <x v="444"/>
  </r>
  <r>
    <s v="ID-453"/>
    <s v="Mateo Santillan"/>
    <x v="9"/>
    <d v="2025-04-06T00:00:00"/>
    <s v="Pendiente"/>
    <n v="5"/>
    <n v="3596"/>
    <s v="Sierra"/>
    <x v="445"/>
  </r>
  <r>
    <s v="ID-454"/>
    <s v="Helena Paredes"/>
    <x v="6"/>
    <d v="2025-06-05T00:00:00"/>
    <s v="Pendiente"/>
    <n v="1"/>
    <n v="2678"/>
    <s v="Insular"/>
    <x v="446"/>
  </r>
  <r>
    <s v="ID-455"/>
    <s v="Kleber Villacis"/>
    <x v="5"/>
    <d v="2025-04-09T00:00:00"/>
    <s v="Pendiente"/>
    <n v="7"/>
    <n v="1954"/>
    <s v="Sierra"/>
    <x v="447"/>
  </r>
  <r>
    <s v="ID-456"/>
    <s v="Nicole Carrion"/>
    <x v="10"/>
    <d v="2025-02-03T00:00:00"/>
    <s v="Pendiente"/>
    <n v="9"/>
    <n v="310"/>
    <s v="Amazonía"/>
    <x v="448"/>
  </r>
  <r>
    <s v="ID-457"/>
    <s v="Quincy Delgado"/>
    <x v="5"/>
    <d v="2025-10-16T00:00:00"/>
    <s v="Pendiente"/>
    <n v="4"/>
    <n v="441"/>
    <s v="Amazonía"/>
    <x v="449"/>
  </r>
  <r>
    <s v="ID-458"/>
    <s v="Renata Villamar"/>
    <x v="10"/>
    <d v="2025-02-16T00:00:00"/>
    <s v="En proceso"/>
    <n v="4"/>
    <n v="1389"/>
    <s v="Insular"/>
    <x v="450"/>
  </r>
  <r>
    <s v="ID-459"/>
    <s v="Bianca Cedeño"/>
    <x v="9"/>
    <d v="2025-08-14T00:00:00"/>
    <s v="En proceso"/>
    <n v="2"/>
    <n v="1023"/>
    <s v="Sierra"/>
    <x v="451"/>
  </r>
  <r>
    <s v="ID-460"/>
    <s v="Jessenia Toapanta"/>
    <x v="11"/>
    <d v="2025-06-18T00:00:00"/>
    <s v="Pendiente"/>
    <n v="7"/>
    <n v="3521"/>
    <s v="Insular"/>
    <x v="452"/>
  </r>
  <r>
    <s v="ID-461"/>
    <s v="Orlando Guamán"/>
    <x v="7"/>
    <d v="2025-10-23T00:00:00"/>
    <s v="Pendiente"/>
    <n v="10"/>
    <n v="1928"/>
    <s v="Sierra"/>
    <x v="453"/>
  </r>
  <r>
    <s v="ID-462"/>
    <s v="Gonzalo Mera"/>
    <x v="7"/>
    <d v="2025-05-21T00:00:00"/>
    <s v="En proceso"/>
    <n v="4"/>
    <n v="577"/>
    <s v="Amazonía"/>
    <x v="181"/>
  </r>
  <r>
    <s v="ID-463"/>
    <s v="Sebastian Yanez"/>
    <x v="10"/>
    <d v="2025-08-17T00:00:00"/>
    <s v="Pendiente"/>
    <n v="7"/>
    <n v="2632"/>
    <s v="Sierra"/>
    <x v="454"/>
  </r>
  <r>
    <s v="ID-464"/>
    <s v="Helena Paredes"/>
    <x v="8"/>
    <d v="2025-02-14T00:00:00"/>
    <s v="En proceso"/>
    <n v="10"/>
    <n v="2618"/>
    <s v="Insular"/>
    <x v="455"/>
  </r>
  <r>
    <s v="ID-465"/>
    <s v="Orlando Guamán"/>
    <x v="11"/>
    <d v="2025-11-01T00:00:00"/>
    <s v="Pendiente"/>
    <n v="6"/>
    <n v="3854"/>
    <s v="Sierra"/>
    <x v="456"/>
  </r>
  <r>
    <s v="ID-466"/>
    <s v="Tatiana Viteri"/>
    <x v="8"/>
    <d v="2025-09-21T00:00:00"/>
    <s v="En proceso"/>
    <n v="4"/>
    <n v="1023"/>
    <s v="Insular"/>
    <x v="457"/>
  </r>
  <r>
    <s v="ID-467"/>
    <s v="Lorena Chicaiza"/>
    <x v="8"/>
    <d v="2025-02-19T00:00:00"/>
    <s v="En proceso"/>
    <n v="3"/>
    <n v="2579"/>
    <s v="Sierra"/>
    <x v="458"/>
  </r>
  <r>
    <s v="ID-468"/>
    <s v="Orlando Guamán"/>
    <x v="5"/>
    <d v="2025-10-19T00:00:00"/>
    <s v="En proceso"/>
    <n v="9"/>
    <n v="3360"/>
    <s v="Insular"/>
    <x v="459"/>
  </r>
  <r>
    <s v="ID-469"/>
    <s v="Diana Zambrano"/>
    <x v="6"/>
    <d v="2025-09-06T00:00:00"/>
    <s v="Pendiente"/>
    <n v="6"/>
    <n v="2017"/>
    <s v="Amazonía"/>
    <x v="460"/>
  </r>
  <r>
    <s v="ID-470"/>
    <s v="Ivan Alcivar"/>
    <x v="5"/>
    <d v="2025-10-18T00:00:00"/>
    <s v="Pendiente"/>
    <n v="7"/>
    <n v="3502"/>
    <s v="Sierra"/>
    <x v="461"/>
  </r>
  <r>
    <s v="ID-471"/>
    <s v="Ivan Alcivar"/>
    <x v="7"/>
    <d v="2025-09-20T00:00:00"/>
    <s v="En proceso"/>
    <n v="5"/>
    <n v="1642"/>
    <s v="Sierra"/>
    <x v="462"/>
  </r>
  <r>
    <s v="ID-472"/>
    <s v="Tatiana Viteri"/>
    <x v="8"/>
    <d v="2025-01-07T00:00:00"/>
    <s v="Pendiente"/>
    <n v="7"/>
    <n v="1545"/>
    <s v="Insular"/>
    <x v="463"/>
  </r>
  <r>
    <s v="ID-473"/>
    <s v="Jessenia Toapanta"/>
    <x v="8"/>
    <d v="2025-11-12T00:00:00"/>
    <s v="Pendiente"/>
    <n v="2"/>
    <n v="2174"/>
    <s v="Insular"/>
    <x v="464"/>
  </r>
  <r>
    <s v="ID-474"/>
    <s v="Renata Villamar"/>
    <x v="9"/>
    <d v="2025-05-12T00:00:00"/>
    <s v="En proceso"/>
    <n v="6"/>
    <n v="3813"/>
    <s v="Insular"/>
    <x v="465"/>
  </r>
  <r>
    <s v="ID-475"/>
    <s v="Quincy Delgado"/>
    <x v="7"/>
    <d v="2025-01-23T00:00:00"/>
    <s v="Pendiente"/>
    <n v="4"/>
    <n v="599"/>
    <s v="Sierra"/>
    <x v="466"/>
  </r>
  <r>
    <s v="ID-476"/>
    <s v="Mateo Santillan"/>
    <x v="7"/>
    <d v="2025-08-07T00:00:00"/>
    <s v="Pendiente"/>
    <n v="7"/>
    <n v="2932"/>
    <s v="Sierra"/>
    <x v="467"/>
  </r>
  <r>
    <s v="ID-477"/>
    <s v="Cristopher Vera"/>
    <x v="9"/>
    <d v="2025-03-19T00:00:00"/>
    <s v="En proceso"/>
    <n v="7"/>
    <n v="125"/>
    <s v="Insular"/>
    <x v="84"/>
  </r>
  <r>
    <s v="ID-478"/>
    <s v="Sebastian Yanez"/>
    <x v="5"/>
    <d v="2025-01-03T00:00:00"/>
    <s v="Pendiente"/>
    <n v="3"/>
    <n v="2735"/>
    <s v="Insular"/>
    <x v="468"/>
  </r>
  <r>
    <s v="ID-479"/>
    <s v="Esteban Quintero"/>
    <x v="5"/>
    <d v="2025-10-28T00:00:00"/>
    <s v="Pendiente"/>
    <n v="3"/>
    <n v="228"/>
    <s v="Amazonía"/>
    <x v="469"/>
  </r>
  <r>
    <s v="ID-480"/>
    <s v="Renata Villamar"/>
    <x v="11"/>
    <d v="2025-02-19T00:00:00"/>
    <s v="Pendiente"/>
    <n v="1"/>
    <n v="3318"/>
    <s v="Amazonía"/>
    <x v="470"/>
  </r>
  <r>
    <s v="ID-481"/>
    <s v="Helena Paredes"/>
    <x v="11"/>
    <d v="2025-04-28T00:00:00"/>
    <s v="Pendiente"/>
    <n v="4"/>
    <n v="1628"/>
    <s v="Insular"/>
    <x v="471"/>
  </r>
  <r>
    <s v="ID-482"/>
    <s v="Quincy Delgado"/>
    <x v="6"/>
    <d v="2025-06-22T00:00:00"/>
    <s v="Pendiente"/>
    <n v="1"/>
    <n v="1044"/>
    <s v="Amazonía"/>
    <x v="472"/>
  </r>
  <r>
    <s v="ID-483"/>
    <s v="Tatiana Viteri"/>
    <x v="11"/>
    <d v="2025-07-07T00:00:00"/>
    <s v="En proceso"/>
    <n v="5"/>
    <n v="1308"/>
    <s v="Insular"/>
    <x v="473"/>
  </r>
  <r>
    <s v="ID-484"/>
    <s v="Gonzalo Mera"/>
    <x v="6"/>
    <d v="2025-03-16T00:00:00"/>
    <s v="Pendiente"/>
    <n v="4"/>
    <n v="3482"/>
    <s v="Sierra"/>
    <x v="474"/>
  </r>
  <r>
    <s v="ID-485"/>
    <s v="Pamela Rosero"/>
    <x v="5"/>
    <d v="2025-09-12T00:00:00"/>
    <s v="Pendiente"/>
    <n v="5"/>
    <n v="2480"/>
    <s v="Amazonía"/>
    <x v="475"/>
  </r>
  <r>
    <s v="ID-486"/>
    <s v="Cristopher Vera"/>
    <x v="5"/>
    <d v="2025-05-12T00:00:00"/>
    <s v="En proceso"/>
    <n v="4"/>
    <n v="4502"/>
    <s v="Sierra"/>
    <x v="476"/>
  </r>
  <r>
    <s v="ID-487"/>
    <s v="Lorena Chicaiza"/>
    <x v="10"/>
    <d v="2025-01-17T00:00:00"/>
    <s v="Pendiente"/>
    <n v="4"/>
    <n v="4617"/>
    <s v="Sierra"/>
    <x v="367"/>
  </r>
  <r>
    <s v="ID-488"/>
    <s v="Gonzalo Mera"/>
    <x v="5"/>
    <d v="2025-06-27T00:00:00"/>
    <s v="Pendiente"/>
    <n v="7"/>
    <n v="4201"/>
    <s v="Amazonía"/>
    <x v="477"/>
  </r>
  <r>
    <s v="ID-489"/>
    <s v="Nicole Carrion"/>
    <x v="11"/>
    <d v="2025-02-28T00:00:00"/>
    <s v="En proceso"/>
    <n v="4"/>
    <n v="3460"/>
    <s v="Amazonía"/>
    <x v="478"/>
  </r>
  <r>
    <s v="ID-490"/>
    <s v="Cristopher Vera"/>
    <x v="8"/>
    <d v="2025-04-03T00:00:00"/>
    <s v="Pendiente"/>
    <n v="3"/>
    <n v="3923"/>
    <s v="Amazonía"/>
    <x v="479"/>
  </r>
  <r>
    <s v="ID-491"/>
    <s v="Ivan Alcivar"/>
    <x v="11"/>
    <d v="2025-11-04T00:00:00"/>
    <s v="Pendiente"/>
    <n v="1"/>
    <n v="972"/>
    <s v="Insular"/>
    <x v="480"/>
  </r>
  <r>
    <s v="ID-492"/>
    <s v="Diana Zambrano"/>
    <x v="9"/>
    <d v="2025-09-26T00:00:00"/>
    <s v="Pendiente"/>
    <n v="3"/>
    <n v="1273"/>
    <s v="Amazonía"/>
    <x v="481"/>
  </r>
  <r>
    <s v="ID-493"/>
    <s v="Jessenia Toapanta"/>
    <x v="11"/>
    <d v="2025-04-21T00:00:00"/>
    <s v="En proceso"/>
    <n v="3"/>
    <n v="364"/>
    <s v="Insular"/>
    <x v="482"/>
  </r>
  <r>
    <s v="ID-494"/>
    <s v="Fabiana Aguirre"/>
    <x v="8"/>
    <d v="2025-12-23T00:00:00"/>
    <s v="En proceso"/>
    <n v="2"/>
    <n v="86"/>
    <s v="Sierra"/>
    <x v="483"/>
  </r>
  <r>
    <s v="ID-495"/>
    <s v="Quincy Delgado"/>
    <x v="9"/>
    <d v="2025-09-23T00:00:00"/>
    <s v="Pendiente"/>
    <n v="10"/>
    <n v="1112"/>
    <s v="Insular"/>
    <x v="484"/>
  </r>
  <r>
    <s v="ID-496"/>
    <s v="Ivan Alcivar"/>
    <x v="10"/>
    <d v="2025-07-12T00:00:00"/>
    <s v="Pendiente"/>
    <n v="6"/>
    <n v="458"/>
    <s v="Sierra"/>
    <x v="485"/>
  </r>
  <r>
    <s v="ID-497"/>
    <s v="Lorena Chicaiza"/>
    <x v="9"/>
    <d v="2025-10-19T00:00:00"/>
    <s v="En proceso"/>
    <n v="5"/>
    <n v="3934"/>
    <s v="Insular"/>
    <x v="486"/>
  </r>
  <r>
    <s v="ID-498"/>
    <s v="Sebastian Yanez"/>
    <x v="6"/>
    <d v="2025-01-17T00:00:00"/>
    <s v="Pendiente"/>
    <n v="3"/>
    <n v="3732"/>
    <s v="Amazonía"/>
    <x v="487"/>
  </r>
  <r>
    <s v="ID-499"/>
    <s v="Fabiana Aguirre"/>
    <x v="5"/>
    <d v="2025-04-21T00:00:00"/>
    <s v="En proceso"/>
    <n v="4"/>
    <n v="835"/>
    <s v="Insular"/>
    <x v="488"/>
  </r>
  <r>
    <s v="ID-500"/>
    <s v="Helena Paredes"/>
    <x v="11"/>
    <d v="2025-07-15T00:00:00"/>
    <s v="En proceso"/>
    <n v="7"/>
    <n v="2533"/>
    <s v="Insular"/>
    <x v="427"/>
  </r>
  <r>
    <s v="ID-501"/>
    <s v="Jessenia Toapanta"/>
    <x v="6"/>
    <d v="2025-04-24T00:00:00"/>
    <s v="Pendiente"/>
    <n v="3"/>
    <n v="4986"/>
    <s v="Amazonía"/>
    <x v="489"/>
  </r>
  <r>
    <s v="ID-502"/>
    <s v="Kleber Villacis"/>
    <x v="6"/>
    <d v="2025-02-15T00:00:00"/>
    <s v="En proceso"/>
    <n v="10"/>
    <n v="695"/>
    <s v="Insular"/>
    <x v="490"/>
  </r>
  <r>
    <s v="ID-503"/>
    <s v="Cristopher Vera"/>
    <x v="11"/>
    <d v="2025-02-26T00:00:00"/>
    <s v="En proceso"/>
    <n v="4"/>
    <n v="919"/>
    <s v="Sierra"/>
    <x v="491"/>
  </r>
  <r>
    <s v="ID-504"/>
    <s v="Jessenia Toapanta"/>
    <x v="5"/>
    <d v="2025-05-08T00:00:00"/>
    <s v="Pendiente"/>
    <n v="10"/>
    <n v="3296"/>
    <s v="Sierra"/>
    <x v="492"/>
  </r>
  <r>
    <s v="ID-505"/>
    <s v="Ivan Alcivar"/>
    <x v="8"/>
    <d v="2025-06-08T00:00:00"/>
    <s v="Pendiente"/>
    <n v="10"/>
    <n v="4297"/>
    <s v="Sierra"/>
    <x v="493"/>
  </r>
  <r>
    <s v="ID-506"/>
    <s v="Kleber Villacis"/>
    <x v="8"/>
    <d v="2025-12-17T00:00:00"/>
    <s v="Pendiente"/>
    <n v="5"/>
    <n v="1717"/>
    <s v="Amazonía"/>
    <x v="494"/>
  </r>
  <r>
    <s v="ID-507"/>
    <s v="Pamela Rosero"/>
    <x v="9"/>
    <d v="2025-01-11T00:00:00"/>
    <s v="Pendiente"/>
    <n v="5"/>
    <n v="2143"/>
    <s v="Sierra"/>
    <x v="495"/>
  </r>
  <r>
    <s v="ID-508"/>
    <s v="Diana Zambrano"/>
    <x v="8"/>
    <d v="2025-10-19T00:00:00"/>
    <s v="Pendiente"/>
    <n v="7"/>
    <n v="3525"/>
    <s v="Sierra"/>
    <x v="496"/>
  </r>
  <r>
    <s v="ID-509"/>
    <s v="Sebastian Yanez"/>
    <x v="6"/>
    <d v="2025-12-28T00:00:00"/>
    <s v="Pendiente"/>
    <n v="8"/>
    <n v="2647"/>
    <s v="Insular"/>
    <x v="497"/>
  </r>
  <r>
    <s v="ID-510"/>
    <s v="Fabiana Aguirre"/>
    <x v="8"/>
    <d v="2025-02-24T00:00:00"/>
    <s v="Pendiente"/>
    <n v="1"/>
    <n v="2593"/>
    <s v="Sierra"/>
    <x v="498"/>
  </r>
  <r>
    <s v="ID-511"/>
    <s v="Orlando Guamán"/>
    <x v="8"/>
    <d v="2025-07-04T00:00:00"/>
    <s v="Pendiente"/>
    <n v="9"/>
    <n v="303"/>
    <s v="Sierra"/>
    <x v="499"/>
  </r>
  <r>
    <s v="ID-512"/>
    <s v="Quincy Delgado"/>
    <x v="6"/>
    <d v="2025-05-21T00:00:00"/>
    <s v="Pendiente"/>
    <n v="2"/>
    <n v="3999"/>
    <s v="Sierra"/>
    <x v="500"/>
  </r>
  <r>
    <s v="ID-513"/>
    <s v="Helena Paredes"/>
    <x v="8"/>
    <d v="2025-05-02T00:00:00"/>
    <s v="En proceso"/>
    <n v="10"/>
    <n v="813"/>
    <s v="Insular"/>
    <x v="501"/>
  </r>
  <r>
    <s v="ID-514"/>
    <s v="Diana Zambrano"/>
    <x v="8"/>
    <d v="2025-04-08T00:00:00"/>
    <s v="En proceso"/>
    <n v="10"/>
    <n v="4104"/>
    <s v="Insular"/>
    <x v="502"/>
  </r>
  <r>
    <s v="ID-515"/>
    <s v="Gonzalo Mera"/>
    <x v="8"/>
    <d v="2025-05-07T00:00:00"/>
    <s v="Pendiente"/>
    <n v="8"/>
    <n v="1159"/>
    <s v="Amazonía"/>
    <x v="503"/>
  </r>
  <r>
    <s v="ID-516"/>
    <s v="Quincy Delgado"/>
    <x v="9"/>
    <d v="2025-10-16T00:00:00"/>
    <s v="Pendiente"/>
    <n v="7"/>
    <n v="514"/>
    <s v="Insular"/>
    <x v="504"/>
  </r>
  <r>
    <s v="ID-517"/>
    <s v="Esteban Quintero"/>
    <x v="9"/>
    <d v="2025-06-13T00:00:00"/>
    <s v="En proceso"/>
    <n v="10"/>
    <n v="4554"/>
    <s v="Insular"/>
    <x v="505"/>
  </r>
  <r>
    <s v="ID-518"/>
    <s v="Nicole Carrion"/>
    <x v="7"/>
    <d v="2025-02-28T00:00:00"/>
    <s v="Pendiente"/>
    <n v="6"/>
    <n v="2045"/>
    <s v="Insular"/>
    <x v="506"/>
  </r>
  <r>
    <s v="ID-519"/>
    <s v="Sebastian Yanez"/>
    <x v="11"/>
    <d v="2025-02-20T00:00:00"/>
    <s v="Pendiente"/>
    <n v="6"/>
    <n v="509"/>
    <s v="Sierra"/>
    <x v="507"/>
  </r>
  <r>
    <s v="ID-520"/>
    <s v="Mateo Santillan"/>
    <x v="8"/>
    <d v="2025-10-04T00:00:00"/>
    <s v="En proceso"/>
    <n v="5"/>
    <n v="3812"/>
    <s v="Insular"/>
    <x v="508"/>
  </r>
  <r>
    <s v="ID-521"/>
    <s v="Orlando Guamán"/>
    <x v="5"/>
    <d v="2025-11-07T00:00:00"/>
    <s v="En proceso"/>
    <n v="9"/>
    <n v="4688"/>
    <s v="Sierra"/>
    <x v="509"/>
  </r>
  <r>
    <s v="ID-522"/>
    <s v="Cristopher Vera"/>
    <x v="10"/>
    <d v="2025-04-27T00:00:00"/>
    <s v="En proceso"/>
    <n v="2"/>
    <n v="2176"/>
    <s v="Insular"/>
    <x v="510"/>
  </r>
  <r>
    <s v="ID-523"/>
    <s v="Bianca Cedeño"/>
    <x v="11"/>
    <d v="2025-07-17T00:00:00"/>
    <s v="En proceso"/>
    <n v="5"/>
    <n v="4111"/>
    <s v="Insular"/>
    <x v="511"/>
  </r>
  <r>
    <s v="ID-524"/>
    <s v="Mateo Santillan"/>
    <x v="9"/>
    <d v="2025-11-14T00:00:00"/>
    <s v="En proceso"/>
    <n v="8"/>
    <n v="4707"/>
    <s v="Amazonía"/>
    <x v="512"/>
  </r>
  <r>
    <s v="ID-525"/>
    <s v="Jessenia Toapanta"/>
    <x v="8"/>
    <d v="2025-03-13T00:00:00"/>
    <s v="Pendiente"/>
    <n v="1"/>
    <n v="1991"/>
    <s v="Amazonía"/>
    <x v="513"/>
  </r>
  <r>
    <s v="ID-526"/>
    <s v="Sebastian Yanez"/>
    <x v="11"/>
    <d v="2025-06-06T00:00:00"/>
    <s v="En proceso"/>
    <n v="9"/>
    <n v="295"/>
    <s v="Sierra"/>
    <x v="514"/>
  </r>
  <r>
    <s v="ID-527"/>
    <s v="Tatiana Viteri"/>
    <x v="5"/>
    <d v="2025-03-25T00:00:00"/>
    <s v="En proceso"/>
    <n v="8"/>
    <n v="2783"/>
    <s v="Amazonía"/>
    <x v="515"/>
  </r>
  <r>
    <s v="ID-528"/>
    <s v="Esteban Quintero"/>
    <x v="10"/>
    <d v="2025-09-19T00:00:00"/>
    <s v="En proceso"/>
    <n v="1"/>
    <n v="3979"/>
    <s v="Amazonía"/>
    <x v="516"/>
  </r>
  <r>
    <s v="ID-529"/>
    <s v="Orlando Guamán"/>
    <x v="5"/>
    <d v="2025-02-04T00:00:00"/>
    <s v="Pendiente"/>
    <n v="9"/>
    <n v="2224"/>
    <s v="Amazonía"/>
    <x v="517"/>
  </r>
  <r>
    <s v="ID-530"/>
    <s v="Mateo Santillan"/>
    <x v="8"/>
    <d v="2025-04-23T00:00:00"/>
    <s v="En proceso"/>
    <n v="2"/>
    <n v="2160"/>
    <s v="Amazonía"/>
    <x v="518"/>
  </r>
  <r>
    <s v="ID-531"/>
    <s v="Esteban Quintero"/>
    <x v="5"/>
    <d v="2025-10-19T00:00:00"/>
    <s v="En proceso"/>
    <n v="9"/>
    <n v="2282"/>
    <s v="Insular"/>
    <x v="519"/>
  </r>
  <r>
    <s v="ID-532"/>
    <s v="Pamela Rosero"/>
    <x v="10"/>
    <d v="2025-02-20T00:00:00"/>
    <s v="Pendiente"/>
    <n v="4"/>
    <n v="2406"/>
    <s v="Insular"/>
    <x v="520"/>
  </r>
  <r>
    <s v="ID-533"/>
    <s v="Tatiana Viteri"/>
    <x v="8"/>
    <d v="2025-04-08T00:00:00"/>
    <s v="En proceso"/>
    <n v="5"/>
    <n v="1184"/>
    <s v="Sierra"/>
    <x v="521"/>
  </r>
  <r>
    <s v="ID-534"/>
    <s v="Jessenia Toapanta"/>
    <x v="10"/>
    <d v="2025-05-22T00:00:00"/>
    <s v="Pendiente"/>
    <n v="2"/>
    <n v="3570"/>
    <s v="Amazonía"/>
    <x v="224"/>
  </r>
  <r>
    <s v="ID-535"/>
    <s v="Cristopher Vera"/>
    <x v="11"/>
    <d v="2025-12-27T00:00:00"/>
    <s v="Pendiente"/>
    <n v="9"/>
    <n v="3387"/>
    <s v="Amazonía"/>
    <x v="522"/>
  </r>
  <r>
    <s v="ID-536"/>
    <s v="Orlando Guamán"/>
    <x v="9"/>
    <d v="2025-08-17T00:00:00"/>
    <s v="Pendiente"/>
    <n v="2"/>
    <n v="766"/>
    <s v="Insular"/>
    <x v="523"/>
  </r>
  <r>
    <s v="ID-537"/>
    <s v="Mateo Santillan"/>
    <x v="8"/>
    <d v="2025-05-27T00:00:00"/>
    <s v="En proceso"/>
    <n v="2"/>
    <n v="4630"/>
    <s v="Insular"/>
    <x v="524"/>
  </r>
  <r>
    <s v="ID-538"/>
    <s v="Renata Villamar"/>
    <x v="8"/>
    <d v="2025-06-04T00:00:00"/>
    <s v="En proceso"/>
    <n v="3"/>
    <n v="320"/>
    <s v="Amazonía"/>
    <x v="525"/>
  </r>
  <r>
    <s v="ID-539"/>
    <s v="Bianca Cedeño"/>
    <x v="9"/>
    <d v="2025-05-21T00:00:00"/>
    <s v="En proceso"/>
    <n v="1"/>
    <n v="1897"/>
    <s v="Insular"/>
    <x v="526"/>
  </r>
  <r>
    <s v="ID-540"/>
    <s v="Kleber Villacis"/>
    <x v="9"/>
    <d v="2025-11-12T00:00:00"/>
    <s v="Pendiente"/>
    <n v="7"/>
    <n v="4819"/>
    <s v="Amazonía"/>
    <x v="527"/>
  </r>
  <r>
    <s v="ID-541"/>
    <s v="Bianca Cedeño"/>
    <x v="11"/>
    <d v="2025-01-04T00:00:00"/>
    <s v="En proceso"/>
    <n v="3"/>
    <n v="3379"/>
    <s v="Sierra"/>
    <x v="528"/>
  </r>
  <r>
    <s v="ID-542"/>
    <s v="Helena Paredes"/>
    <x v="8"/>
    <d v="2025-01-26T00:00:00"/>
    <s v="Pendiente"/>
    <n v="8"/>
    <n v="3153"/>
    <s v="Insular"/>
    <x v="529"/>
  </r>
  <r>
    <s v="ID-543"/>
    <s v="Kleber Villacis"/>
    <x v="7"/>
    <d v="2025-09-04T00:00:00"/>
    <s v="En proceso"/>
    <n v="9"/>
    <n v="3569"/>
    <s v="Insular"/>
    <x v="530"/>
  </r>
  <r>
    <s v="ID-544"/>
    <s v="Kleber Villacis"/>
    <x v="8"/>
    <d v="2025-07-05T00:00:00"/>
    <s v="Pendiente"/>
    <n v="2"/>
    <n v="399"/>
    <s v="Amazonía"/>
    <x v="531"/>
  </r>
  <r>
    <s v="ID-545"/>
    <s v="Nicole Carrion"/>
    <x v="8"/>
    <d v="2025-12-26T00:00:00"/>
    <s v="En proceso"/>
    <n v="1"/>
    <n v="3189"/>
    <s v="Sierra"/>
    <x v="532"/>
  </r>
  <r>
    <s v="ID-546"/>
    <s v="Fabiana Aguirre"/>
    <x v="11"/>
    <d v="2025-12-04T00:00:00"/>
    <s v="Pendiente"/>
    <n v="9"/>
    <n v="2883"/>
    <s v="Amazonía"/>
    <x v="533"/>
  </r>
  <r>
    <s v="ID-547"/>
    <s v="Renata Villamar"/>
    <x v="11"/>
    <d v="2025-07-02T00:00:00"/>
    <s v="Pendiente"/>
    <n v="5"/>
    <n v="4202"/>
    <s v="Amazonía"/>
    <x v="534"/>
  </r>
  <r>
    <s v="ID-548"/>
    <s v="Cristopher Vera"/>
    <x v="8"/>
    <d v="2025-05-26T00:00:00"/>
    <s v="En proceso"/>
    <n v="9"/>
    <n v="3228"/>
    <s v="Amazonía"/>
    <x v="535"/>
  </r>
  <r>
    <s v="ID-549"/>
    <s v="Renata Villamar"/>
    <x v="11"/>
    <d v="2025-09-09T00:00:00"/>
    <s v="En proceso"/>
    <n v="9"/>
    <n v="4838"/>
    <s v="Amazonía"/>
    <x v="536"/>
  </r>
  <r>
    <s v="ID-550"/>
    <s v="Sebastian Yanez"/>
    <x v="8"/>
    <d v="2025-11-25T00:00:00"/>
    <s v="En proceso"/>
    <n v="8"/>
    <n v="289"/>
    <s v="Insular"/>
    <x v="537"/>
  </r>
  <r>
    <s v="ID-551"/>
    <s v="Lorena Chicaiza"/>
    <x v="11"/>
    <d v="2025-08-19T00:00:00"/>
    <s v="Pendiente"/>
    <n v="2"/>
    <n v="4573"/>
    <s v="Amazonía"/>
    <x v="538"/>
  </r>
  <r>
    <s v="ID-552"/>
    <s v="Pamela Rosero"/>
    <x v="8"/>
    <d v="2025-11-19T00:00:00"/>
    <s v="Pendiente"/>
    <n v="2"/>
    <n v="4123"/>
    <s v="Insular"/>
    <x v="539"/>
  </r>
  <r>
    <s v="ID-553"/>
    <s v="Cristopher Vera"/>
    <x v="6"/>
    <d v="2025-12-10T00:00:00"/>
    <s v="En proceso"/>
    <n v="9"/>
    <n v="4125"/>
    <s v="Amazonía"/>
    <x v="540"/>
  </r>
  <r>
    <s v="ID-554"/>
    <s v="Renata Villamar"/>
    <x v="10"/>
    <d v="2025-04-04T00:00:00"/>
    <s v="Pendiente"/>
    <n v="10"/>
    <n v="1130"/>
    <s v="Amazonía"/>
    <x v="541"/>
  </r>
  <r>
    <s v="ID-555"/>
    <s v="Sebastian Yanez"/>
    <x v="10"/>
    <d v="2025-07-25T00:00:00"/>
    <s v="Pendiente"/>
    <n v="3"/>
    <n v="480"/>
    <s v="Amazonía"/>
    <x v="542"/>
  </r>
  <r>
    <s v="ID-556"/>
    <s v="Quincy Delgado"/>
    <x v="8"/>
    <d v="2025-11-12T00:00:00"/>
    <s v="Pendiente"/>
    <n v="3"/>
    <n v="3861"/>
    <s v="Sierra"/>
    <x v="543"/>
  </r>
  <r>
    <s v="ID-557"/>
    <s v="Orlando Guamán"/>
    <x v="8"/>
    <d v="2025-06-01T00:00:00"/>
    <s v="Pendiente"/>
    <n v="4"/>
    <n v="1828"/>
    <s v="Amazonía"/>
    <x v="544"/>
  </r>
  <r>
    <s v="ID-558"/>
    <s v="Jessenia Toapanta"/>
    <x v="8"/>
    <d v="2025-11-26T00:00:00"/>
    <s v="En proceso"/>
    <n v="6"/>
    <n v="1204"/>
    <s v="Insular"/>
    <x v="545"/>
  </r>
  <r>
    <s v="ID-559"/>
    <s v="Ivan Alcivar"/>
    <x v="10"/>
    <d v="2025-01-23T00:00:00"/>
    <s v="En proceso"/>
    <n v="1"/>
    <n v="2663"/>
    <s v="Sierra"/>
    <x v="546"/>
  </r>
  <r>
    <s v="ID-560"/>
    <s v="Pamela Rosero"/>
    <x v="8"/>
    <d v="2025-11-08T00:00:00"/>
    <s v="En proceso"/>
    <n v="5"/>
    <n v="3220"/>
    <s v="Sierra"/>
    <x v="547"/>
  </r>
  <r>
    <s v="ID-561"/>
    <s v="Diana Zambrano"/>
    <x v="9"/>
    <d v="2025-10-12T00:00:00"/>
    <s v="En proceso"/>
    <n v="7"/>
    <n v="3705"/>
    <s v="Sierra"/>
    <x v="548"/>
  </r>
  <r>
    <s v="ID-562"/>
    <s v="Bianca Cedeño"/>
    <x v="5"/>
    <d v="2025-06-09T00:00:00"/>
    <s v="Pendiente"/>
    <n v="10"/>
    <n v="1289"/>
    <s v="Sierra"/>
    <x v="549"/>
  </r>
  <r>
    <s v="ID-563"/>
    <s v="Ivan Alcivar"/>
    <x v="8"/>
    <d v="2025-09-12T00:00:00"/>
    <s v="Pendiente"/>
    <n v="8"/>
    <n v="1939"/>
    <s v="Insular"/>
    <x v="550"/>
  </r>
  <r>
    <s v="ID-564"/>
    <s v="Sebastian Yanez"/>
    <x v="11"/>
    <d v="2025-07-06T00:00:00"/>
    <s v="En proceso"/>
    <n v="2"/>
    <n v="2980"/>
    <s v="Insular"/>
    <x v="551"/>
  </r>
  <r>
    <s v="ID-565"/>
    <s v="Quincy Delgado"/>
    <x v="10"/>
    <d v="2025-09-16T00:00:00"/>
    <s v="Pendiente"/>
    <n v="1"/>
    <n v="574"/>
    <s v="Amazonía"/>
    <x v="552"/>
  </r>
  <r>
    <s v="ID-566"/>
    <s v="Diana Zambrano"/>
    <x v="7"/>
    <d v="2025-07-09T00:00:00"/>
    <s v="En proceso"/>
    <n v="4"/>
    <n v="2164"/>
    <s v="Amazonía"/>
    <x v="553"/>
  </r>
  <r>
    <s v="ID-567"/>
    <s v="Gonzalo Mera"/>
    <x v="11"/>
    <d v="2025-02-23T00:00:00"/>
    <s v="En proceso"/>
    <n v="7"/>
    <n v="4066"/>
    <s v="Insular"/>
    <x v="554"/>
  </r>
  <r>
    <s v="ID-568"/>
    <s v="Orlando Guamán"/>
    <x v="5"/>
    <d v="2025-09-08T00:00:00"/>
    <s v="Pendiente"/>
    <n v="4"/>
    <n v="3918"/>
    <s v="Sierra"/>
    <x v="555"/>
  </r>
  <r>
    <s v="ID-569"/>
    <s v="Cristopher Vera"/>
    <x v="9"/>
    <d v="2025-09-13T00:00:00"/>
    <s v="En proceso"/>
    <n v="9"/>
    <n v="3173"/>
    <s v="Sierra"/>
    <x v="556"/>
  </r>
  <r>
    <s v="ID-570"/>
    <s v="Bianca Cedeño"/>
    <x v="8"/>
    <d v="2025-10-27T00:00:00"/>
    <s v="Pendiente"/>
    <n v="1"/>
    <n v="4606"/>
    <s v="Sierra"/>
    <x v="557"/>
  </r>
  <r>
    <s v="ID-571"/>
    <s v="Lorena Chicaiza"/>
    <x v="6"/>
    <d v="2025-02-27T00:00:00"/>
    <s v="En proceso"/>
    <n v="2"/>
    <n v="4842"/>
    <s v="Insular"/>
    <x v="558"/>
  </r>
  <r>
    <s v="ID-572"/>
    <s v="Mateo Santillan"/>
    <x v="9"/>
    <d v="2025-10-15T00:00:00"/>
    <s v="En proceso"/>
    <n v="7"/>
    <n v="1832"/>
    <s v="Amazonía"/>
    <x v="559"/>
  </r>
  <r>
    <s v="ID-573"/>
    <s v="Ivan Alcivar"/>
    <x v="5"/>
    <d v="2025-07-04T00:00:00"/>
    <s v="Pendiente"/>
    <n v="3"/>
    <n v="2320"/>
    <s v="Amazonía"/>
    <x v="560"/>
  </r>
  <r>
    <s v="ID-574"/>
    <s v="Fabiana Aguirre"/>
    <x v="5"/>
    <d v="2025-12-08T00:00:00"/>
    <s v="Pendiente"/>
    <n v="5"/>
    <n v="4412"/>
    <s v="Amazonía"/>
    <x v="561"/>
  </r>
  <r>
    <s v="ID-575"/>
    <s v="Lorena Chicaiza"/>
    <x v="11"/>
    <d v="2025-03-26T00:00:00"/>
    <s v="Pendiente"/>
    <n v="4"/>
    <n v="64"/>
    <s v="Amazonía"/>
    <x v="562"/>
  </r>
  <r>
    <s v="ID-576"/>
    <s v="Sebastian Yanez"/>
    <x v="8"/>
    <d v="2025-08-27T00:00:00"/>
    <s v="Pendiente"/>
    <n v="1"/>
    <n v="2481"/>
    <s v="Amazonía"/>
    <x v="563"/>
  </r>
  <r>
    <s v="ID-577"/>
    <s v="Esteban Quintero"/>
    <x v="11"/>
    <d v="2025-10-18T00:00:00"/>
    <s v="Pendiente"/>
    <n v="7"/>
    <n v="3774"/>
    <s v="Amazonía"/>
    <x v="564"/>
  </r>
  <r>
    <s v="ID-578"/>
    <s v="Cristopher Vera"/>
    <x v="8"/>
    <d v="2025-08-09T00:00:00"/>
    <s v="Pendiente"/>
    <n v="6"/>
    <n v="2362"/>
    <s v="Sierra"/>
    <x v="565"/>
  </r>
  <r>
    <s v="ID-579"/>
    <s v="Orlando Guamán"/>
    <x v="9"/>
    <d v="2025-02-21T00:00:00"/>
    <s v="En proceso"/>
    <n v="7"/>
    <n v="473"/>
    <s v="Amazonía"/>
    <x v="566"/>
  </r>
  <r>
    <s v="ID-580"/>
    <s v="Diana Zambrano"/>
    <x v="11"/>
    <d v="2025-10-17T00:00:00"/>
    <s v="En proceso"/>
    <n v="1"/>
    <n v="1662"/>
    <s v="Insular"/>
    <x v="567"/>
  </r>
  <r>
    <s v="ID-581"/>
    <s v="Quincy Delgado"/>
    <x v="11"/>
    <d v="2025-04-28T00:00:00"/>
    <s v="Pendiente"/>
    <n v="2"/>
    <n v="3333"/>
    <s v="Sierra"/>
    <x v="568"/>
  </r>
  <r>
    <s v="ID-582"/>
    <s v="Tatiana Viteri"/>
    <x v="8"/>
    <d v="2025-05-03T00:00:00"/>
    <s v="En proceso"/>
    <n v="10"/>
    <n v="4214"/>
    <s v="Insular"/>
    <x v="569"/>
  </r>
  <r>
    <s v="ID-583"/>
    <s v="Ivan Alcivar"/>
    <x v="10"/>
    <d v="2025-07-12T00:00:00"/>
    <s v="En proceso"/>
    <n v="3"/>
    <n v="1866"/>
    <s v="Insular"/>
    <x v="570"/>
  </r>
  <r>
    <s v="ID-584"/>
    <s v="Nicole Carrion"/>
    <x v="6"/>
    <d v="2025-12-14T00:00:00"/>
    <s v="En proceso"/>
    <n v="9"/>
    <n v="153"/>
    <s v="Amazonía"/>
    <x v="571"/>
  </r>
  <r>
    <s v="ID-585"/>
    <s v="Nicole Carrion"/>
    <x v="6"/>
    <d v="2025-06-07T00:00:00"/>
    <s v="En proceso"/>
    <n v="3"/>
    <n v="1773"/>
    <s v="Amazonía"/>
    <x v="572"/>
  </r>
  <r>
    <s v="ID-586"/>
    <s v="Ivan Alcivar"/>
    <x v="8"/>
    <d v="2025-01-18T00:00:00"/>
    <s v="En proceso"/>
    <n v="8"/>
    <n v="785"/>
    <s v="Insular"/>
    <x v="573"/>
  </r>
  <r>
    <s v="ID-587"/>
    <s v="Bianca Cedeño"/>
    <x v="6"/>
    <d v="2025-01-01T00:00:00"/>
    <s v="En proceso"/>
    <n v="6"/>
    <n v="40"/>
    <s v="Amazonía"/>
    <x v="574"/>
  </r>
  <r>
    <s v="ID-588"/>
    <s v="Quincy Delgado"/>
    <x v="9"/>
    <d v="2025-09-19T00:00:00"/>
    <s v="Pendiente"/>
    <n v="8"/>
    <n v="3714"/>
    <s v="Amazonía"/>
    <x v="575"/>
  </r>
  <r>
    <s v="ID-589"/>
    <s v="Esteban Quintero"/>
    <x v="9"/>
    <d v="2025-03-12T00:00:00"/>
    <s v="En proceso"/>
    <n v="1"/>
    <n v="4856"/>
    <s v="Amazonía"/>
    <x v="576"/>
  </r>
  <r>
    <s v="ID-590"/>
    <s v="Orlando Guamán"/>
    <x v="7"/>
    <d v="2025-03-28T00:00:00"/>
    <s v="En proceso"/>
    <n v="3"/>
    <n v="2814"/>
    <s v="Insular"/>
    <x v="577"/>
  </r>
  <r>
    <s v="ID-591"/>
    <s v="Cristopher Vera"/>
    <x v="8"/>
    <d v="2025-04-15T00:00:00"/>
    <s v="Pendiente"/>
    <n v="8"/>
    <n v="754"/>
    <s v="Sierra"/>
    <x v="578"/>
  </r>
  <r>
    <s v="ID-592"/>
    <s v="Cristopher Vera"/>
    <x v="11"/>
    <d v="2025-11-06T00:00:00"/>
    <s v="Pendiente"/>
    <n v="10"/>
    <n v="3162"/>
    <s v="Sierra"/>
    <x v="579"/>
  </r>
  <r>
    <s v="ID-593"/>
    <s v="Quincy Delgado"/>
    <x v="11"/>
    <d v="2025-12-16T00:00:00"/>
    <s v="Pendiente"/>
    <n v="10"/>
    <n v="3396"/>
    <s v="Sierra"/>
    <x v="580"/>
  </r>
  <r>
    <s v="ID-594"/>
    <s v="Gonzalo Mera"/>
    <x v="9"/>
    <d v="2025-06-05T00:00:00"/>
    <s v="Pendiente"/>
    <n v="8"/>
    <n v="1119"/>
    <s v="Amazonía"/>
    <x v="581"/>
  </r>
  <r>
    <s v="ID-595"/>
    <s v="Renata Villamar"/>
    <x v="9"/>
    <d v="2025-12-01T00:00:00"/>
    <s v="En proceso"/>
    <n v="2"/>
    <n v="4786"/>
    <s v="Insular"/>
    <x v="582"/>
  </r>
  <r>
    <s v="ID-596"/>
    <s v="Quincy Delgado"/>
    <x v="6"/>
    <d v="2025-12-02T00:00:00"/>
    <s v="Pendiente"/>
    <n v="8"/>
    <n v="4254"/>
    <s v="Sierra"/>
    <x v="583"/>
  </r>
  <r>
    <s v="ID-597"/>
    <s v="Renata Villamar"/>
    <x v="5"/>
    <d v="2025-06-19T00:00:00"/>
    <s v="En proceso"/>
    <n v="2"/>
    <n v="3154"/>
    <s v="Amazonía"/>
    <x v="584"/>
  </r>
  <r>
    <s v="ID-598"/>
    <s v="Lorena Chicaiza"/>
    <x v="7"/>
    <d v="2025-07-06T00:00:00"/>
    <s v="Pendiente"/>
    <n v="5"/>
    <n v="1458"/>
    <s v="Sierra"/>
    <x v="585"/>
  </r>
  <r>
    <s v="ID-599"/>
    <s v="Quincy Delgado"/>
    <x v="7"/>
    <d v="2025-09-14T00:00:00"/>
    <s v="Pendiente"/>
    <n v="1"/>
    <n v="2954"/>
    <s v="Sierra"/>
    <x v="586"/>
  </r>
  <r>
    <s v="ID-600"/>
    <s v="Kleber Villacis"/>
    <x v="5"/>
    <d v="2025-09-08T00:00:00"/>
    <s v="En proceso"/>
    <n v="6"/>
    <n v="2790"/>
    <s v="Sierra"/>
    <x v="587"/>
  </r>
  <r>
    <s v="ID-601"/>
    <s v="Quincy Delgado"/>
    <x v="8"/>
    <d v="2025-05-22T00:00:00"/>
    <s v="En proceso"/>
    <n v="10"/>
    <n v="4907"/>
    <s v="Insular"/>
    <x v="588"/>
  </r>
  <r>
    <s v="ID-602"/>
    <s v="Sebastian Yanez"/>
    <x v="7"/>
    <d v="2025-01-04T00:00:00"/>
    <s v="En proceso"/>
    <n v="9"/>
    <n v="4610"/>
    <s v="Sierra"/>
    <x v="589"/>
  </r>
  <r>
    <s v="ID-603"/>
    <s v="Helena Paredes"/>
    <x v="11"/>
    <d v="2025-04-28T00:00:00"/>
    <s v="Pendiente"/>
    <n v="7"/>
    <n v="1016"/>
    <s v="Insular"/>
    <x v="590"/>
  </r>
  <r>
    <s v="ID-604"/>
    <s v="Jessenia Toapanta"/>
    <x v="11"/>
    <d v="2025-08-26T00:00:00"/>
    <s v="En proceso"/>
    <n v="6"/>
    <n v="4527"/>
    <s v="Sierra"/>
    <x v="591"/>
  </r>
  <r>
    <s v="ID-605"/>
    <s v="Cristopher Vera"/>
    <x v="6"/>
    <d v="2025-05-27T00:00:00"/>
    <s v="En proceso"/>
    <n v="8"/>
    <n v="4453"/>
    <s v="Insular"/>
    <x v="592"/>
  </r>
  <r>
    <s v="ID-606"/>
    <s v="Renata Villamar"/>
    <x v="10"/>
    <d v="2025-09-01T00:00:00"/>
    <s v="Pendiente"/>
    <n v="1"/>
    <n v="1391"/>
    <s v="Amazonía"/>
    <x v="593"/>
  </r>
  <r>
    <s v="ID-607"/>
    <s v="Renata Villamar"/>
    <x v="8"/>
    <d v="2025-03-16T00:00:00"/>
    <s v="En proceso"/>
    <n v="3"/>
    <n v="4731"/>
    <s v="Amazonía"/>
    <x v="594"/>
  </r>
  <r>
    <s v="ID-608"/>
    <s v="Diana Zambrano"/>
    <x v="6"/>
    <d v="2025-07-01T00:00:00"/>
    <s v="En proceso"/>
    <n v="10"/>
    <n v="282"/>
    <s v="Sierra"/>
    <x v="595"/>
  </r>
  <r>
    <s v="ID-609"/>
    <s v="Tatiana Viteri"/>
    <x v="7"/>
    <d v="2025-02-05T00:00:00"/>
    <s v="En proceso"/>
    <n v="7"/>
    <n v="2570"/>
    <s v="Sierra"/>
    <x v="596"/>
  </r>
  <r>
    <s v="ID-610"/>
    <s v="Nicole Carrion"/>
    <x v="9"/>
    <d v="2025-01-24T00:00:00"/>
    <s v="En proceso"/>
    <n v="4"/>
    <n v="2542"/>
    <s v="Sierra"/>
    <x v="597"/>
  </r>
  <r>
    <s v="ID-611"/>
    <s v="Quincy Delgado"/>
    <x v="8"/>
    <d v="2025-02-07T00:00:00"/>
    <s v="Pendiente"/>
    <n v="3"/>
    <n v="4916"/>
    <s v="Amazonía"/>
    <x v="598"/>
  </r>
  <r>
    <s v="ID-612"/>
    <s v="Tatiana Viteri"/>
    <x v="8"/>
    <d v="2025-02-17T00:00:00"/>
    <s v="En proceso"/>
    <n v="3"/>
    <n v="796"/>
    <s v="Amazonía"/>
    <x v="599"/>
  </r>
  <r>
    <s v="ID-613"/>
    <s v="Bianca Cedeño"/>
    <x v="10"/>
    <d v="2025-03-15T00:00:00"/>
    <s v="Pendiente"/>
    <n v="1"/>
    <n v="37"/>
    <s v="Insular"/>
    <x v="600"/>
  </r>
  <r>
    <s v="ID-614"/>
    <s v="Quincy Delgado"/>
    <x v="8"/>
    <d v="2025-11-18T00:00:00"/>
    <s v="Pendiente"/>
    <n v="1"/>
    <n v="3859"/>
    <s v="Sierra"/>
    <x v="601"/>
  </r>
  <r>
    <s v="ID-615"/>
    <s v="Lorena Chicaiza"/>
    <x v="5"/>
    <d v="2025-10-01T00:00:00"/>
    <s v="Pendiente"/>
    <n v="9"/>
    <n v="2350"/>
    <s v="Amazonía"/>
    <x v="207"/>
  </r>
  <r>
    <s v="ID-616"/>
    <s v="Gonzalo Mera"/>
    <x v="8"/>
    <d v="2025-11-19T00:00:00"/>
    <s v="En proceso"/>
    <n v="5"/>
    <n v="1865"/>
    <s v="Insular"/>
    <x v="602"/>
  </r>
  <r>
    <s v="ID-617"/>
    <s v="Lorena Chicaiza"/>
    <x v="5"/>
    <d v="2025-05-28T00:00:00"/>
    <s v="Pendiente"/>
    <n v="2"/>
    <n v="2612"/>
    <s v="Insular"/>
    <x v="603"/>
  </r>
  <r>
    <s v="ID-618"/>
    <s v="Orlando Guamán"/>
    <x v="9"/>
    <d v="2025-10-14T00:00:00"/>
    <s v="Pendiente"/>
    <n v="5"/>
    <n v="1139"/>
    <s v="Insular"/>
    <x v="604"/>
  </r>
  <r>
    <s v="ID-619"/>
    <s v="Kleber Villacis"/>
    <x v="11"/>
    <d v="2025-11-27T00:00:00"/>
    <s v="Pendiente"/>
    <n v="4"/>
    <n v="2790"/>
    <s v="Amazonía"/>
    <x v="605"/>
  </r>
  <r>
    <s v="ID-620"/>
    <s v="Lorena Chicaiza"/>
    <x v="7"/>
    <d v="2025-07-08T00:00:00"/>
    <s v="En proceso"/>
    <n v="1"/>
    <n v="4269"/>
    <s v="Amazonía"/>
    <x v="606"/>
  </r>
  <r>
    <s v="ID-621"/>
    <s v="Tatiana Viteri"/>
    <x v="5"/>
    <d v="2025-03-19T00:00:00"/>
    <s v="En proceso"/>
    <n v="3"/>
    <n v="1113"/>
    <s v="Sierra"/>
    <x v="607"/>
  </r>
  <r>
    <s v="ID-622"/>
    <s v="Orlando Guamán"/>
    <x v="5"/>
    <d v="2025-05-11T00:00:00"/>
    <s v="En proceso"/>
    <n v="9"/>
    <n v="143"/>
    <s v="Insular"/>
    <x v="608"/>
  </r>
  <r>
    <s v="ID-623"/>
    <s v="Bianca Cedeño"/>
    <x v="8"/>
    <d v="2025-11-03T00:00:00"/>
    <s v="Pendiente"/>
    <n v="10"/>
    <n v="2035"/>
    <s v="Insular"/>
    <x v="609"/>
  </r>
  <r>
    <s v="ID-624"/>
    <s v="Esteban Quintero"/>
    <x v="10"/>
    <d v="2025-10-12T00:00:00"/>
    <s v="En proceso"/>
    <n v="3"/>
    <n v="3804"/>
    <s v="Sierra"/>
    <x v="610"/>
  </r>
  <r>
    <s v="ID-625"/>
    <s v="Pamela Rosero"/>
    <x v="11"/>
    <d v="2025-06-14T00:00:00"/>
    <s v="En proceso"/>
    <n v="7"/>
    <n v="1297"/>
    <s v="Sierra"/>
    <x v="611"/>
  </r>
  <r>
    <s v="ID-626"/>
    <s v="Fabiana Aguirre"/>
    <x v="5"/>
    <d v="2025-05-10T00:00:00"/>
    <s v="En proceso"/>
    <n v="5"/>
    <n v="1649"/>
    <s v="Amazonía"/>
    <x v="612"/>
  </r>
  <r>
    <s v="ID-627"/>
    <s v="Mateo Santillan"/>
    <x v="8"/>
    <d v="2025-08-12T00:00:00"/>
    <s v="Pendiente"/>
    <n v="1"/>
    <n v="863"/>
    <s v="Insular"/>
    <x v="613"/>
  </r>
  <r>
    <s v="ID-628"/>
    <s v="Kleber Villacis"/>
    <x v="8"/>
    <d v="2025-03-06T00:00:00"/>
    <s v="Pendiente"/>
    <n v="4"/>
    <n v="1248"/>
    <s v="Sierra"/>
    <x v="614"/>
  </r>
  <r>
    <s v="ID-629"/>
    <s v="Fabiana Aguirre"/>
    <x v="7"/>
    <d v="2025-08-17T00:00:00"/>
    <s v="En proceso"/>
    <n v="8"/>
    <n v="3944"/>
    <s v="Insular"/>
    <x v="615"/>
  </r>
  <r>
    <s v="ID-630"/>
    <s v="Pamela Rosero"/>
    <x v="10"/>
    <d v="2025-06-12T00:00:00"/>
    <s v="En proceso"/>
    <n v="6"/>
    <n v="1453"/>
    <s v="Sierra"/>
    <x v="616"/>
  </r>
  <r>
    <s v="ID-631"/>
    <s v="Mateo Santillan"/>
    <x v="8"/>
    <d v="2025-09-01T00:00:00"/>
    <s v="Pendiente"/>
    <n v="9"/>
    <n v="52"/>
    <s v="Amazonía"/>
    <x v="617"/>
  </r>
  <r>
    <s v="ID-632"/>
    <s v="Bianca Cedeño"/>
    <x v="7"/>
    <d v="2025-07-17T00:00:00"/>
    <s v="En proceso"/>
    <n v="7"/>
    <n v="2361"/>
    <s v="Amazonía"/>
    <x v="618"/>
  </r>
  <r>
    <s v="ID-633"/>
    <s v="Quincy Delgado"/>
    <x v="8"/>
    <d v="2025-06-26T00:00:00"/>
    <s v="En proceso"/>
    <n v="6"/>
    <n v="4851"/>
    <s v="Insular"/>
    <x v="619"/>
  </r>
  <r>
    <s v="ID-634"/>
    <s v="Mateo Santillan"/>
    <x v="5"/>
    <d v="2025-03-19T00:00:00"/>
    <s v="En proceso"/>
    <n v="6"/>
    <n v="334"/>
    <s v="Sierra"/>
    <x v="620"/>
  </r>
  <r>
    <s v="ID-635"/>
    <s v="Ivan Alcivar"/>
    <x v="5"/>
    <d v="2025-10-25T00:00:00"/>
    <s v="Pendiente"/>
    <n v="7"/>
    <n v="381"/>
    <s v="Insular"/>
    <x v="621"/>
  </r>
  <r>
    <s v="ID-636"/>
    <s v="Cristopher Vera"/>
    <x v="7"/>
    <d v="2025-05-19T00:00:00"/>
    <s v="En proceso"/>
    <n v="4"/>
    <n v="2941"/>
    <s v="Sierra"/>
    <x v="622"/>
  </r>
  <r>
    <s v="ID-637"/>
    <s v="Tatiana Viteri"/>
    <x v="5"/>
    <d v="2025-09-16T00:00:00"/>
    <s v="Pendiente"/>
    <n v="7"/>
    <n v="4796"/>
    <s v="Amazonía"/>
    <x v="623"/>
  </r>
  <r>
    <s v="ID-638"/>
    <s v="Fabiana Aguirre"/>
    <x v="9"/>
    <d v="2025-04-02T00:00:00"/>
    <s v="Pendiente"/>
    <n v="7"/>
    <n v="4052"/>
    <s v="Sierra"/>
    <x v="624"/>
  </r>
  <r>
    <s v="ID-639"/>
    <s v="Kleber Villacis"/>
    <x v="8"/>
    <d v="2025-06-02T00:00:00"/>
    <s v="Pendiente"/>
    <n v="7"/>
    <n v="2627"/>
    <s v="Amazonía"/>
    <x v="625"/>
  </r>
  <r>
    <s v="ID-640"/>
    <s v="Diana Zambrano"/>
    <x v="8"/>
    <d v="2025-06-12T00:00:00"/>
    <s v="En proceso"/>
    <n v="9"/>
    <n v="3765"/>
    <s v="Sierra"/>
    <x v="626"/>
  </r>
  <r>
    <s v="ID-641"/>
    <s v="Cristopher Vera"/>
    <x v="11"/>
    <d v="2025-10-15T00:00:00"/>
    <s v="Pendiente"/>
    <n v="1"/>
    <n v="4557"/>
    <s v="Amazonía"/>
    <x v="627"/>
  </r>
  <r>
    <s v="ID-642"/>
    <s v="Bianca Cedeño"/>
    <x v="6"/>
    <d v="2025-06-19T00:00:00"/>
    <s v="Pendiente"/>
    <n v="1"/>
    <n v="3422"/>
    <s v="Insular"/>
    <x v="628"/>
  </r>
  <r>
    <s v="ID-643"/>
    <s v="Esteban Quintero"/>
    <x v="6"/>
    <d v="2025-07-16T00:00:00"/>
    <s v="En proceso"/>
    <n v="4"/>
    <n v="2589"/>
    <s v="Amazonía"/>
    <x v="629"/>
  </r>
  <r>
    <s v="ID-644"/>
    <s v="Lorena Chicaiza"/>
    <x v="6"/>
    <d v="2025-04-26T00:00:00"/>
    <s v="Pendiente"/>
    <n v="4"/>
    <n v="630"/>
    <s v="Insular"/>
    <x v="630"/>
  </r>
  <r>
    <s v="ID-645"/>
    <s v="Kleber Villacis"/>
    <x v="6"/>
    <d v="2025-08-25T00:00:00"/>
    <s v="Pendiente"/>
    <n v="3"/>
    <n v="4913"/>
    <s v="Amazonía"/>
    <x v="631"/>
  </r>
  <r>
    <s v="ID-646"/>
    <s v="Ivan Alcivar"/>
    <x v="9"/>
    <d v="2025-03-15T00:00:00"/>
    <s v="En proceso"/>
    <n v="2"/>
    <n v="4204"/>
    <s v="Sierra"/>
    <x v="405"/>
  </r>
  <r>
    <s v="ID-647"/>
    <s v="Sebastian Yanez"/>
    <x v="9"/>
    <d v="2025-06-13T00:00:00"/>
    <s v="En proceso"/>
    <n v="9"/>
    <n v="1043"/>
    <s v="Insular"/>
    <x v="632"/>
  </r>
  <r>
    <s v="ID-648"/>
    <s v="Orlando Guamán"/>
    <x v="11"/>
    <d v="2025-09-04T00:00:00"/>
    <s v="Pendiente"/>
    <n v="1"/>
    <n v="4278"/>
    <s v="Amazonía"/>
    <x v="343"/>
  </r>
  <r>
    <s v="ID-649"/>
    <s v="Orlando Guamán"/>
    <x v="11"/>
    <d v="2025-09-16T00:00:00"/>
    <s v="Pendiente"/>
    <n v="5"/>
    <n v="1661"/>
    <s v="Insular"/>
    <x v="633"/>
  </r>
  <r>
    <s v="ID-650"/>
    <s v="Pamela Rosero"/>
    <x v="7"/>
    <d v="2025-05-19T00:00:00"/>
    <s v="Pendiente"/>
    <n v="2"/>
    <n v="2195"/>
    <s v="Amazonía"/>
    <x v="634"/>
  </r>
  <r>
    <s v="ID-651"/>
    <s v="Esteban Quintero"/>
    <x v="8"/>
    <d v="2025-01-21T00:00:00"/>
    <s v="En proceso"/>
    <n v="6"/>
    <n v="3751"/>
    <s v="Insular"/>
    <x v="635"/>
  </r>
  <r>
    <s v="ID-652"/>
    <s v="Cristopher Vera"/>
    <x v="10"/>
    <d v="2025-03-05T00:00:00"/>
    <s v="Pendiente"/>
    <n v="5"/>
    <n v="543"/>
    <s v="Insular"/>
    <x v="636"/>
  </r>
  <r>
    <s v="ID-653"/>
    <s v="Bianca Cedeño"/>
    <x v="7"/>
    <d v="2025-09-20T00:00:00"/>
    <s v="Pendiente"/>
    <n v="9"/>
    <n v="560"/>
    <s v="Amazonía"/>
    <x v="637"/>
  </r>
  <r>
    <s v="ID-654"/>
    <s v="Kleber Villacis"/>
    <x v="5"/>
    <d v="2025-06-03T00:00:00"/>
    <s v="En proceso"/>
    <n v="4"/>
    <n v="3154"/>
    <s v="Sierra"/>
    <x v="638"/>
  </r>
  <r>
    <s v="ID-655"/>
    <s v="Fabiana Aguirre"/>
    <x v="11"/>
    <d v="2025-12-13T00:00:00"/>
    <s v="En proceso"/>
    <n v="6"/>
    <n v="1527"/>
    <s v="Insular"/>
    <x v="639"/>
  </r>
  <r>
    <s v="ID-656"/>
    <s v="Bianca Cedeño"/>
    <x v="8"/>
    <d v="2025-07-01T00:00:00"/>
    <s v="Pendiente"/>
    <n v="7"/>
    <n v="165"/>
    <s v="Amazonía"/>
    <x v="640"/>
  </r>
  <r>
    <s v="ID-657"/>
    <s v="Tatiana Viteri"/>
    <x v="9"/>
    <d v="2025-04-08T00:00:00"/>
    <s v="Pendiente"/>
    <n v="9"/>
    <n v="2389"/>
    <s v="Sierra"/>
    <x v="641"/>
  </r>
  <r>
    <s v="ID-658"/>
    <s v="Bianca Cedeño"/>
    <x v="8"/>
    <d v="2025-03-24T00:00:00"/>
    <s v="Pendiente"/>
    <n v="2"/>
    <n v="2879"/>
    <s v="Insular"/>
    <x v="642"/>
  </r>
  <r>
    <s v="ID-659"/>
    <s v="Mateo Santillan"/>
    <x v="8"/>
    <d v="2025-09-19T00:00:00"/>
    <s v="Pendiente"/>
    <n v="4"/>
    <n v="131"/>
    <s v="Insular"/>
    <x v="643"/>
  </r>
  <r>
    <s v="ID-660"/>
    <s v="Tatiana Viteri"/>
    <x v="8"/>
    <d v="2025-05-20T00:00:00"/>
    <s v="En proceso"/>
    <n v="10"/>
    <n v="3923"/>
    <s v="Insular"/>
    <x v="644"/>
  </r>
  <r>
    <s v="ID-661"/>
    <s v="Renata Villamar"/>
    <x v="7"/>
    <d v="2025-03-10T00:00:00"/>
    <s v="En proceso"/>
    <n v="7"/>
    <n v="2944"/>
    <s v="Sierra"/>
    <x v="645"/>
  </r>
  <r>
    <s v="ID-662"/>
    <s v="Pamela Rosero"/>
    <x v="6"/>
    <d v="2025-04-27T00:00:00"/>
    <s v="Pendiente"/>
    <n v="7"/>
    <n v="2148"/>
    <s v="Sierra"/>
    <x v="646"/>
  </r>
  <r>
    <s v="ID-663"/>
    <s v="Mateo Santillan"/>
    <x v="5"/>
    <d v="2025-02-10T00:00:00"/>
    <s v="En proceso"/>
    <n v="1"/>
    <n v="342"/>
    <s v="Sierra"/>
    <x v="647"/>
  </r>
  <r>
    <s v="ID-664"/>
    <s v="Helena Paredes"/>
    <x v="8"/>
    <d v="2025-04-08T00:00:00"/>
    <s v="En proceso"/>
    <n v="8"/>
    <n v="2633"/>
    <s v="Amazonía"/>
    <x v="648"/>
  </r>
  <r>
    <s v="ID-665"/>
    <s v="Diana Zambrano"/>
    <x v="8"/>
    <d v="2025-12-26T00:00:00"/>
    <s v="Pendiente"/>
    <n v="7"/>
    <n v="3005"/>
    <s v="Amazonía"/>
    <x v="649"/>
  </r>
  <r>
    <s v="ID-666"/>
    <s v="Cristopher Vera"/>
    <x v="5"/>
    <d v="2025-03-14T00:00:00"/>
    <s v="Pendiente"/>
    <n v="3"/>
    <n v="1740"/>
    <s v="Amazonía"/>
    <x v="85"/>
  </r>
  <r>
    <s v="ID-667"/>
    <s v="Orlando Guamán"/>
    <x v="6"/>
    <d v="2025-09-16T00:00:00"/>
    <s v="Pendiente"/>
    <n v="1"/>
    <n v="2937"/>
    <s v="Sierra"/>
    <x v="650"/>
  </r>
  <r>
    <s v="ID-668"/>
    <s v="Kleber Villacis"/>
    <x v="6"/>
    <d v="2025-01-21T00:00:00"/>
    <s v="En proceso"/>
    <n v="3"/>
    <n v="2055"/>
    <s v="Sierra"/>
    <x v="651"/>
  </r>
  <r>
    <s v="ID-669"/>
    <s v="Esteban Quintero"/>
    <x v="8"/>
    <d v="2025-05-01T00:00:00"/>
    <s v="Pendiente"/>
    <n v="10"/>
    <n v="3349"/>
    <s v="Sierra"/>
    <x v="652"/>
  </r>
  <r>
    <s v="ID-670"/>
    <s v="Ivan Alcivar"/>
    <x v="11"/>
    <d v="2025-11-12T00:00:00"/>
    <s v="Pendiente"/>
    <n v="2"/>
    <n v="2432"/>
    <s v="Sierra"/>
    <x v="413"/>
  </r>
  <r>
    <s v="ID-671"/>
    <s v="Helena Paredes"/>
    <x v="10"/>
    <d v="2025-03-10T00:00:00"/>
    <s v="En proceso"/>
    <n v="6"/>
    <n v="3714"/>
    <s v="Amazonía"/>
    <x v="653"/>
  </r>
  <r>
    <s v="ID-672"/>
    <s v="Renata Villamar"/>
    <x v="11"/>
    <d v="2025-03-05T00:00:00"/>
    <s v="En proceso"/>
    <n v="7"/>
    <n v="2967"/>
    <s v="Insular"/>
    <x v="654"/>
  </r>
  <r>
    <s v="ID-673"/>
    <s v="Ivan Alcivar"/>
    <x v="8"/>
    <d v="2025-12-21T00:00:00"/>
    <s v="Pendiente"/>
    <n v="10"/>
    <n v="4754"/>
    <s v="Sierra"/>
    <x v="655"/>
  </r>
  <r>
    <s v="ID-674"/>
    <s v="Esteban Quintero"/>
    <x v="7"/>
    <d v="2025-09-24T00:00:00"/>
    <s v="En proceso"/>
    <n v="7"/>
    <n v="21"/>
    <s v="Sierra"/>
    <x v="656"/>
  </r>
  <r>
    <s v="ID-675"/>
    <s v="Quincy Delgado"/>
    <x v="7"/>
    <d v="2025-04-20T00:00:00"/>
    <s v="En proceso"/>
    <n v="9"/>
    <n v="3452"/>
    <s v="Insular"/>
    <x v="657"/>
  </r>
  <r>
    <s v="ID-676"/>
    <s v="Renata Villamar"/>
    <x v="8"/>
    <d v="2025-05-16T00:00:00"/>
    <s v="Pendiente"/>
    <n v="4"/>
    <n v="1165"/>
    <s v="Amazonía"/>
    <x v="658"/>
  </r>
  <r>
    <s v="ID-677"/>
    <s v="Fabiana Aguirre"/>
    <x v="10"/>
    <d v="2025-05-01T00:00:00"/>
    <s v="Pendiente"/>
    <n v="10"/>
    <n v="3018"/>
    <s v="Amazonía"/>
    <x v="659"/>
  </r>
  <r>
    <s v="ID-678"/>
    <s v="Pamela Rosero"/>
    <x v="5"/>
    <d v="2025-06-21T00:00:00"/>
    <s v="En proceso"/>
    <n v="2"/>
    <n v="268"/>
    <s v="Insular"/>
    <x v="660"/>
  </r>
  <r>
    <s v="ID-679"/>
    <s v="Mateo Santillan"/>
    <x v="11"/>
    <d v="2025-07-20T00:00:00"/>
    <s v="En proceso"/>
    <n v="4"/>
    <n v="2928"/>
    <s v="Amazonía"/>
    <x v="661"/>
  </r>
  <r>
    <s v="ID-680"/>
    <s v="Sebastian Yanez"/>
    <x v="8"/>
    <d v="2025-05-27T00:00:00"/>
    <s v="En proceso"/>
    <n v="7"/>
    <n v="2410"/>
    <s v="Insular"/>
    <x v="662"/>
  </r>
  <r>
    <s v="ID-681"/>
    <s v="Cristopher Vera"/>
    <x v="5"/>
    <d v="2025-05-28T00:00:00"/>
    <s v="En proceso"/>
    <n v="3"/>
    <n v="3901"/>
    <s v="Sierra"/>
    <x v="663"/>
  </r>
  <r>
    <s v="ID-682"/>
    <s v="Mateo Santillan"/>
    <x v="9"/>
    <d v="2025-11-04T00:00:00"/>
    <s v="En proceso"/>
    <n v="8"/>
    <n v="3950"/>
    <s v="Amazonía"/>
    <x v="664"/>
  </r>
  <r>
    <s v="ID-683"/>
    <s v="Diana Zambrano"/>
    <x v="8"/>
    <d v="2025-09-10T00:00:00"/>
    <s v="Pendiente"/>
    <n v="2"/>
    <n v="2921"/>
    <s v="Insular"/>
    <x v="665"/>
  </r>
  <r>
    <s v="ID-684"/>
    <s v="Helena Paredes"/>
    <x v="5"/>
    <d v="2025-10-12T00:00:00"/>
    <s v="En proceso"/>
    <n v="8"/>
    <n v="2498"/>
    <s v="Insular"/>
    <x v="666"/>
  </r>
  <r>
    <s v="ID-685"/>
    <s v="Helena Paredes"/>
    <x v="9"/>
    <d v="2025-07-17T00:00:00"/>
    <s v="Pendiente"/>
    <n v="10"/>
    <n v="3199"/>
    <s v="Amazonía"/>
    <x v="667"/>
  </r>
  <r>
    <s v="ID-686"/>
    <s v="Bianca Cedeño"/>
    <x v="7"/>
    <d v="2025-06-04T00:00:00"/>
    <s v="En proceso"/>
    <n v="9"/>
    <n v="1884"/>
    <s v="Sierra"/>
    <x v="668"/>
  </r>
  <r>
    <s v="ID-687"/>
    <s v="Orlando Guamán"/>
    <x v="7"/>
    <d v="2025-05-19T00:00:00"/>
    <s v="En proceso"/>
    <n v="7"/>
    <n v="4209"/>
    <s v="Sierra"/>
    <x v="669"/>
  </r>
  <r>
    <s v="ID-688"/>
    <s v="Nicole Carrion"/>
    <x v="9"/>
    <d v="2025-03-26T00:00:00"/>
    <s v="En proceso"/>
    <n v="10"/>
    <n v="2208"/>
    <s v="Amazonía"/>
    <x v="670"/>
  </r>
  <r>
    <s v="ID-689"/>
    <s v="Jessenia Toapanta"/>
    <x v="5"/>
    <d v="2025-08-25T00:00:00"/>
    <s v="En proceso"/>
    <n v="5"/>
    <n v="1691"/>
    <s v="Sierra"/>
    <x v="671"/>
  </r>
  <r>
    <s v="ID-690"/>
    <s v="Lorena Chicaiza"/>
    <x v="6"/>
    <d v="2025-12-19T00:00:00"/>
    <s v="En proceso"/>
    <n v="8"/>
    <n v="4810"/>
    <s v="Insular"/>
    <x v="672"/>
  </r>
  <r>
    <s v="ID-691"/>
    <s v="Renata Villamar"/>
    <x v="8"/>
    <d v="2025-03-21T00:00:00"/>
    <s v="En proceso"/>
    <n v="1"/>
    <n v="2590"/>
    <s v="Sierra"/>
    <x v="673"/>
  </r>
  <r>
    <s v="ID-692"/>
    <s v="Esteban Quintero"/>
    <x v="7"/>
    <d v="2025-06-15T00:00:00"/>
    <s v="Pendiente"/>
    <n v="6"/>
    <n v="2318"/>
    <s v="Sierra"/>
    <x v="674"/>
  </r>
  <r>
    <s v="ID-693"/>
    <s v="Orlando Guamán"/>
    <x v="5"/>
    <d v="2025-02-26T00:00:00"/>
    <s v="En proceso"/>
    <n v="2"/>
    <n v="154"/>
    <s v="Amazonía"/>
    <x v="675"/>
  </r>
  <r>
    <s v="ID-694"/>
    <s v="Kleber Villacis"/>
    <x v="5"/>
    <d v="2025-12-24T00:00:00"/>
    <s v="En proceso"/>
    <n v="7"/>
    <n v="3544"/>
    <s v="Amazonía"/>
    <x v="676"/>
  </r>
  <r>
    <s v="ID-695"/>
    <s v="Sebastian Yanez"/>
    <x v="6"/>
    <d v="2025-11-15T00:00:00"/>
    <s v="En proceso"/>
    <n v="8"/>
    <n v="3822"/>
    <s v="Insular"/>
    <x v="677"/>
  </r>
  <r>
    <s v="ID-696"/>
    <s v="Ivan Alcivar"/>
    <x v="8"/>
    <d v="2025-12-07T00:00:00"/>
    <s v="Pendiente"/>
    <n v="8"/>
    <n v="3606"/>
    <s v="Sierra"/>
    <x v="678"/>
  </r>
  <r>
    <s v="ID-697"/>
    <s v="Nicole Carrion"/>
    <x v="8"/>
    <d v="2025-11-21T00:00:00"/>
    <s v="En proceso"/>
    <n v="2"/>
    <n v="4349"/>
    <s v="Amazonía"/>
    <x v="679"/>
  </r>
  <r>
    <s v="ID-698"/>
    <s v="Gonzalo Mera"/>
    <x v="7"/>
    <d v="2025-03-18T00:00:00"/>
    <s v="En proceso"/>
    <n v="9"/>
    <n v="3846"/>
    <s v="Sierra"/>
    <x v="680"/>
  </r>
  <r>
    <s v="ID-699"/>
    <s v="Helena Paredes"/>
    <x v="5"/>
    <d v="2025-01-03T00:00:00"/>
    <s v="Pendiente"/>
    <n v="9"/>
    <n v="3703"/>
    <s v="Amazonía"/>
    <x v="681"/>
  </r>
  <r>
    <s v="ID-700"/>
    <s v="Nicole Carrion"/>
    <x v="7"/>
    <d v="2025-07-04T00:00:00"/>
    <s v="En proceso"/>
    <n v="10"/>
    <n v="1870"/>
    <s v="Amazonía"/>
    <x v="682"/>
  </r>
  <r>
    <s v="ID-701"/>
    <s v="Mateo Santillan"/>
    <x v="7"/>
    <d v="2025-05-10T00:00:00"/>
    <s v="Pendiente"/>
    <n v="8"/>
    <n v="111"/>
    <s v="Amazonía"/>
    <x v="683"/>
  </r>
  <r>
    <s v="ID-702"/>
    <s v="Helena Paredes"/>
    <x v="5"/>
    <d v="2025-04-04T00:00:00"/>
    <s v="Pendiente"/>
    <n v="7"/>
    <n v="1512"/>
    <s v="Insular"/>
    <x v="684"/>
  </r>
  <r>
    <s v="ID-703"/>
    <s v="Jessenia Toapanta"/>
    <x v="5"/>
    <d v="2025-04-14T00:00:00"/>
    <s v="Pendiente"/>
    <n v="9"/>
    <n v="3011"/>
    <s v="Amazonía"/>
    <x v="685"/>
  </r>
  <r>
    <s v="ID-704"/>
    <s v="Ivan Alcivar"/>
    <x v="8"/>
    <d v="2025-10-07T00:00:00"/>
    <s v="En proceso"/>
    <n v="5"/>
    <n v="2869"/>
    <s v="Sierra"/>
    <x v="686"/>
  </r>
  <r>
    <s v="ID-705"/>
    <s v="Bianca Cedeño"/>
    <x v="8"/>
    <d v="2025-05-22T00:00:00"/>
    <s v="En proceso"/>
    <n v="4"/>
    <n v="3161"/>
    <s v="Insular"/>
    <x v="687"/>
  </r>
  <r>
    <s v="ID-706"/>
    <s v="Cristopher Vera"/>
    <x v="11"/>
    <d v="2025-11-10T00:00:00"/>
    <s v="En proceso"/>
    <n v="3"/>
    <n v="2303"/>
    <s v="Sierra"/>
    <x v="688"/>
  </r>
  <r>
    <s v="ID-707"/>
    <s v="Orlando Guamán"/>
    <x v="6"/>
    <d v="2025-06-20T00:00:00"/>
    <s v="En proceso"/>
    <n v="9"/>
    <n v="2525"/>
    <s v="Insular"/>
    <x v="689"/>
  </r>
  <r>
    <s v="ID-708"/>
    <s v="Tatiana Viteri"/>
    <x v="8"/>
    <d v="2025-05-16T00:00:00"/>
    <s v="Pendiente"/>
    <n v="4"/>
    <n v="2400"/>
    <s v="Sierra"/>
    <x v="690"/>
  </r>
  <r>
    <s v="ID-709"/>
    <s v="Fabiana Aguirre"/>
    <x v="8"/>
    <d v="2025-07-01T00:00:00"/>
    <s v="En proceso"/>
    <n v="2"/>
    <n v="4314"/>
    <s v="Sierra"/>
    <x v="691"/>
  </r>
  <r>
    <s v="ID-710"/>
    <s v="Renata Villamar"/>
    <x v="6"/>
    <d v="2025-08-08T00:00:00"/>
    <s v="Pendiente"/>
    <n v="2"/>
    <n v="2014"/>
    <s v="Insular"/>
    <x v="692"/>
  </r>
  <r>
    <s v="ID-711"/>
    <s v="Lorena Chicaiza"/>
    <x v="11"/>
    <d v="2025-01-22T00:00:00"/>
    <s v="En proceso"/>
    <n v="3"/>
    <n v="3023"/>
    <s v="Sierra"/>
    <x v="693"/>
  </r>
  <r>
    <s v="ID-712"/>
    <s v="Renata Villamar"/>
    <x v="10"/>
    <d v="2025-12-04T00:00:00"/>
    <s v="En proceso"/>
    <n v="2"/>
    <n v="1242"/>
    <s v="Insular"/>
    <x v="694"/>
  </r>
  <r>
    <s v="ID-713"/>
    <s v="Pamela Rosero"/>
    <x v="6"/>
    <d v="2025-06-06T00:00:00"/>
    <s v="Pendiente"/>
    <n v="5"/>
    <n v="4351"/>
    <s v="Insular"/>
    <x v="695"/>
  </r>
  <r>
    <s v="ID-714"/>
    <s v="Esteban Quintero"/>
    <x v="8"/>
    <d v="2025-03-28T00:00:00"/>
    <s v="Pendiente"/>
    <n v="4"/>
    <n v="1426"/>
    <s v="Amazonía"/>
    <x v="696"/>
  </r>
  <r>
    <s v="ID-715"/>
    <s v="Helena Paredes"/>
    <x v="8"/>
    <d v="2025-09-22T00:00:00"/>
    <s v="En proceso"/>
    <n v="3"/>
    <n v="301"/>
    <s v="Sierra"/>
    <x v="697"/>
  </r>
  <r>
    <s v="ID-716"/>
    <s v="Ivan Alcivar"/>
    <x v="8"/>
    <d v="2025-04-28T00:00:00"/>
    <s v="Pendiente"/>
    <n v="10"/>
    <n v="172"/>
    <s v="Amazonía"/>
    <x v="698"/>
  </r>
  <r>
    <s v="ID-717"/>
    <s v="Sebastian Yanez"/>
    <x v="7"/>
    <d v="2025-10-09T00:00:00"/>
    <s v="En proceso"/>
    <n v="5"/>
    <n v="4047"/>
    <s v="Amazonía"/>
    <x v="699"/>
  </r>
  <r>
    <s v="ID-718"/>
    <s v="Helena Paredes"/>
    <x v="8"/>
    <d v="2025-04-14T00:00:00"/>
    <s v="En proceso"/>
    <n v="4"/>
    <n v="1315"/>
    <s v="Insular"/>
    <x v="700"/>
  </r>
  <r>
    <s v="ID-719"/>
    <s v="Kleber Villacis"/>
    <x v="11"/>
    <d v="2025-02-21T00:00:00"/>
    <s v="Pendiente"/>
    <n v="2"/>
    <n v="120"/>
    <s v="Sierra"/>
    <x v="574"/>
  </r>
  <r>
    <s v="ID-720"/>
    <s v="Bianca Cedeño"/>
    <x v="7"/>
    <d v="2025-10-04T00:00:00"/>
    <s v="Pendiente"/>
    <n v="2"/>
    <n v="4951"/>
    <s v="Insular"/>
    <x v="701"/>
  </r>
  <r>
    <s v="ID-721"/>
    <s v="Esteban Quintero"/>
    <x v="9"/>
    <d v="2025-04-10T00:00:00"/>
    <s v="Pendiente"/>
    <n v="6"/>
    <n v="4183"/>
    <s v="Amazonía"/>
    <x v="702"/>
  </r>
  <r>
    <s v="ID-722"/>
    <s v="Quincy Delgado"/>
    <x v="11"/>
    <d v="2025-07-23T00:00:00"/>
    <s v="En proceso"/>
    <n v="4"/>
    <n v="2461"/>
    <s v="Amazonía"/>
    <x v="703"/>
  </r>
  <r>
    <s v="ID-723"/>
    <s v="Ivan Alcivar"/>
    <x v="8"/>
    <d v="2025-01-18T00:00:00"/>
    <s v="En proceso"/>
    <n v="3"/>
    <n v="3258"/>
    <s v="Amazonía"/>
    <x v="704"/>
  </r>
  <r>
    <s v="ID-724"/>
    <s v="Esteban Quintero"/>
    <x v="8"/>
    <d v="2025-05-19T00:00:00"/>
    <s v="Pendiente"/>
    <n v="10"/>
    <n v="1413"/>
    <s v="Insular"/>
    <x v="705"/>
  </r>
  <r>
    <s v="ID-725"/>
    <s v="Renata Villamar"/>
    <x v="11"/>
    <d v="2025-07-10T00:00:00"/>
    <s v="Pendiente"/>
    <n v="1"/>
    <n v="555"/>
    <s v="Insular"/>
    <x v="219"/>
  </r>
  <r>
    <s v="ID-726"/>
    <s v="Tatiana Viteri"/>
    <x v="7"/>
    <d v="2025-07-01T00:00:00"/>
    <s v="Pendiente"/>
    <n v="6"/>
    <n v="659"/>
    <s v="Amazonía"/>
    <x v="706"/>
  </r>
  <r>
    <s v="ID-727"/>
    <s v="Kleber Villacis"/>
    <x v="5"/>
    <d v="2025-01-15T00:00:00"/>
    <s v="En proceso"/>
    <n v="9"/>
    <n v="531"/>
    <s v="Amazonía"/>
    <x v="707"/>
  </r>
  <r>
    <s v="ID-728"/>
    <s v="Fabiana Aguirre"/>
    <x v="5"/>
    <d v="2025-07-16T00:00:00"/>
    <s v="Pendiente"/>
    <n v="8"/>
    <n v="298"/>
    <s v="Amazonía"/>
    <x v="708"/>
  </r>
  <r>
    <s v="ID-729"/>
    <s v="Jessenia Toapanta"/>
    <x v="7"/>
    <d v="2025-02-11T00:00:00"/>
    <s v="Pendiente"/>
    <n v="1"/>
    <n v="3904"/>
    <s v="Amazonía"/>
    <x v="709"/>
  </r>
  <r>
    <s v="ID-730"/>
    <s v="Fabiana Aguirre"/>
    <x v="8"/>
    <d v="2025-12-04T00:00:00"/>
    <s v="En proceso"/>
    <n v="4"/>
    <n v="1671"/>
    <s v="Insular"/>
    <x v="710"/>
  </r>
  <r>
    <s v="ID-731"/>
    <s v="Esteban Quintero"/>
    <x v="8"/>
    <d v="2025-09-13T00:00:00"/>
    <s v="En proceso"/>
    <n v="3"/>
    <n v="2679"/>
    <s v="Insular"/>
    <x v="711"/>
  </r>
  <r>
    <s v="ID-732"/>
    <s v="Mateo Santillan"/>
    <x v="8"/>
    <d v="2025-12-25T00:00:00"/>
    <s v="En proceso"/>
    <n v="7"/>
    <n v="2386"/>
    <s v="Sierra"/>
    <x v="712"/>
  </r>
  <r>
    <s v="ID-733"/>
    <s v="Helena Paredes"/>
    <x v="10"/>
    <d v="2025-11-13T00:00:00"/>
    <s v="En proceso"/>
    <n v="1"/>
    <n v="65"/>
    <s v="Amazonía"/>
    <x v="713"/>
  </r>
  <r>
    <s v="ID-734"/>
    <s v="Bianca Cedeño"/>
    <x v="8"/>
    <d v="2025-07-05T00:00:00"/>
    <s v="Pendiente"/>
    <n v="1"/>
    <n v="1293"/>
    <s v="Sierra"/>
    <x v="714"/>
  </r>
  <r>
    <s v="ID-735"/>
    <s v="Quincy Delgado"/>
    <x v="7"/>
    <d v="2025-10-12T00:00:00"/>
    <s v="En proceso"/>
    <n v="6"/>
    <n v="518"/>
    <s v="Insular"/>
    <x v="715"/>
  </r>
  <r>
    <s v="ID-736"/>
    <s v="Nicole Carrion"/>
    <x v="9"/>
    <d v="2025-04-18T00:00:00"/>
    <s v="En proceso"/>
    <n v="2"/>
    <n v="3472"/>
    <s v="Insular"/>
    <x v="716"/>
  </r>
  <r>
    <s v="ID-737"/>
    <s v="Renata Villamar"/>
    <x v="11"/>
    <d v="2025-04-17T00:00:00"/>
    <s v="En proceso"/>
    <n v="2"/>
    <n v="4758"/>
    <s v="Amazonía"/>
    <x v="717"/>
  </r>
  <r>
    <s v="ID-738"/>
    <s v="Pamela Rosero"/>
    <x v="7"/>
    <d v="2025-11-05T00:00:00"/>
    <s v="Pendiente"/>
    <n v="9"/>
    <n v="303"/>
    <s v="Amazonía"/>
    <x v="499"/>
  </r>
  <r>
    <s v="ID-739"/>
    <s v="Renata Villamar"/>
    <x v="8"/>
    <d v="2025-12-14T00:00:00"/>
    <s v="En proceso"/>
    <n v="4"/>
    <n v="4789"/>
    <s v="Amazonía"/>
    <x v="718"/>
  </r>
  <r>
    <s v="ID-740"/>
    <s v="Renata Villamar"/>
    <x v="6"/>
    <d v="2025-04-24T00:00:00"/>
    <s v="En proceso"/>
    <n v="4"/>
    <n v="4336"/>
    <s v="Sierra"/>
    <x v="719"/>
  </r>
  <r>
    <s v="ID-741"/>
    <s v="Lorena Chicaiza"/>
    <x v="8"/>
    <d v="2025-01-25T00:00:00"/>
    <s v="En proceso"/>
    <n v="8"/>
    <n v="3820"/>
    <s v="Sierra"/>
    <x v="720"/>
  </r>
  <r>
    <s v="ID-742"/>
    <s v="Pamela Rosero"/>
    <x v="10"/>
    <d v="2025-08-04T00:00:00"/>
    <s v="En proceso"/>
    <n v="1"/>
    <n v="4461"/>
    <s v="Insular"/>
    <x v="721"/>
  </r>
  <r>
    <s v="ID-743"/>
    <s v="Pamela Rosero"/>
    <x v="9"/>
    <d v="2025-11-20T00:00:00"/>
    <s v="En proceso"/>
    <n v="7"/>
    <n v="1327"/>
    <s v="Insular"/>
    <x v="722"/>
  </r>
  <r>
    <s v="ID-744"/>
    <s v="Lorena Chicaiza"/>
    <x v="7"/>
    <d v="2025-06-17T00:00:00"/>
    <s v="Pendiente"/>
    <n v="6"/>
    <n v="775"/>
    <s v="Sierra"/>
    <x v="723"/>
  </r>
  <r>
    <s v="ID-745"/>
    <s v="Orlando Guamán"/>
    <x v="6"/>
    <d v="2025-11-08T00:00:00"/>
    <s v="En proceso"/>
    <n v="2"/>
    <n v="3010"/>
    <s v="Sierra"/>
    <x v="724"/>
  </r>
  <r>
    <s v="ID-746"/>
    <s v="Lorena Chicaiza"/>
    <x v="10"/>
    <d v="2025-06-04T00:00:00"/>
    <s v="Pendiente"/>
    <n v="10"/>
    <n v="4582"/>
    <s v="Amazonía"/>
    <x v="725"/>
  </r>
  <r>
    <s v="ID-747"/>
    <s v="Quincy Delgado"/>
    <x v="9"/>
    <d v="2025-02-02T00:00:00"/>
    <s v="En proceso"/>
    <n v="8"/>
    <n v="873"/>
    <s v="Amazonía"/>
    <x v="726"/>
  </r>
  <r>
    <s v="ID-748"/>
    <s v="Fabiana Aguirre"/>
    <x v="8"/>
    <d v="2025-08-25T00:00:00"/>
    <s v="En proceso"/>
    <n v="2"/>
    <n v="3528"/>
    <s v="Amazonía"/>
    <x v="727"/>
  </r>
  <r>
    <s v="ID-749"/>
    <s v="Pamela Rosero"/>
    <x v="5"/>
    <d v="2025-06-24T00:00:00"/>
    <s v="En proceso"/>
    <n v="5"/>
    <n v="3106"/>
    <s v="Insular"/>
    <x v="728"/>
  </r>
  <r>
    <s v="ID-750"/>
    <s v="Jessenia Toapanta"/>
    <x v="8"/>
    <d v="2025-01-05T00:00:00"/>
    <s v="En proceso"/>
    <n v="8"/>
    <n v="1446"/>
    <s v="Insular"/>
    <x v="729"/>
  </r>
  <r>
    <s v="ID-751"/>
    <s v="Kleber Villacis"/>
    <x v="8"/>
    <d v="2025-05-17T00:00:00"/>
    <s v="Pendiente"/>
    <n v="2"/>
    <n v="4204"/>
    <s v="Amazonía"/>
    <x v="405"/>
  </r>
  <r>
    <s v="ID-752"/>
    <s v="Fabiana Aguirre"/>
    <x v="9"/>
    <d v="2025-04-20T00:00:00"/>
    <s v="En proceso"/>
    <n v="4"/>
    <n v="3414"/>
    <s v="Sierra"/>
    <x v="730"/>
  </r>
  <r>
    <s v="ID-753"/>
    <s v="Esteban Quintero"/>
    <x v="10"/>
    <d v="2025-05-17T00:00:00"/>
    <s v="Pendiente"/>
    <n v="2"/>
    <n v="4886"/>
    <s v="Insular"/>
    <x v="731"/>
  </r>
  <r>
    <s v="ID-754"/>
    <s v="Renata Villamar"/>
    <x v="10"/>
    <d v="2025-01-09T00:00:00"/>
    <s v="Pendiente"/>
    <n v="9"/>
    <n v="811"/>
    <s v="Insular"/>
    <x v="732"/>
  </r>
  <r>
    <s v="ID-755"/>
    <s v="Esteban Quintero"/>
    <x v="7"/>
    <d v="2025-04-10T00:00:00"/>
    <s v="Pendiente"/>
    <n v="10"/>
    <n v="2137"/>
    <s v="Insular"/>
    <x v="733"/>
  </r>
  <r>
    <s v="ID-756"/>
    <s v="Tatiana Viteri"/>
    <x v="8"/>
    <d v="2025-03-04T00:00:00"/>
    <s v="En proceso"/>
    <n v="5"/>
    <n v="1208"/>
    <s v="Sierra"/>
    <x v="734"/>
  </r>
  <r>
    <s v="ID-757"/>
    <s v="Gonzalo Mera"/>
    <x v="5"/>
    <d v="2025-03-17T00:00:00"/>
    <s v="Pendiente"/>
    <n v="4"/>
    <n v="4147"/>
    <s v="Amazonía"/>
    <x v="735"/>
  </r>
  <r>
    <s v="ID-758"/>
    <s v="Fabiana Aguirre"/>
    <x v="8"/>
    <d v="2025-01-16T00:00:00"/>
    <s v="En proceso"/>
    <n v="5"/>
    <n v="3456"/>
    <s v="Insular"/>
    <x v="736"/>
  </r>
  <r>
    <s v="ID-759"/>
    <s v="Helena Paredes"/>
    <x v="11"/>
    <d v="2025-07-10T00:00:00"/>
    <s v="En proceso"/>
    <n v="5"/>
    <n v="431"/>
    <s v="Sierra"/>
    <x v="737"/>
  </r>
  <r>
    <s v="ID-760"/>
    <s v="Quincy Delgado"/>
    <x v="9"/>
    <d v="2025-12-06T00:00:00"/>
    <s v="En proceso"/>
    <n v="7"/>
    <n v="2672"/>
    <s v="Sierra"/>
    <x v="738"/>
  </r>
  <r>
    <s v="ID-761"/>
    <s v="Kleber Villacis"/>
    <x v="11"/>
    <d v="2025-10-24T00:00:00"/>
    <s v="En proceso"/>
    <n v="5"/>
    <n v="1669"/>
    <s v="Amazonía"/>
    <x v="739"/>
  </r>
  <r>
    <s v="ID-762"/>
    <s v="Bianca Cedeño"/>
    <x v="8"/>
    <d v="2025-09-27T00:00:00"/>
    <s v="Pendiente"/>
    <n v="10"/>
    <n v="197"/>
    <s v="Insular"/>
    <x v="740"/>
  </r>
  <r>
    <s v="ID-763"/>
    <s v="Gonzalo Mera"/>
    <x v="9"/>
    <d v="2025-10-18T00:00:00"/>
    <s v="En proceso"/>
    <n v="10"/>
    <n v="4845"/>
    <s v="Sierra"/>
    <x v="741"/>
  </r>
  <r>
    <s v="ID-764"/>
    <s v="Gonzalo Mera"/>
    <x v="10"/>
    <d v="2025-03-26T00:00:00"/>
    <s v="Pendiente"/>
    <n v="4"/>
    <n v="3601"/>
    <s v="Insular"/>
    <x v="742"/>
  </r>
  <r>
    <s v="ID-765"/>
    <s v="Gonzalo Mera"/>
    <x v="11"/>
    <d v="2025-09-12T00:00:00"/>
    <s v="Pendiente"/>
    <n v="8"/>
    <n v="3209"/>
    <s v="Sierra"/>
    <x v="743"/>
  </r>
  <r>
    <s v="ID-766"/>
    <s v="Kleber Villacis"/>
    <x v="8"/>
    <d v="2025-10-15T00:00:00"/>
    <s v="Pendiente"/>
    <n v="5"/>
    <n v="1774"/>
    <s v="Sierra"/>
    <x v="744"/>
  </r>
  <r>
    <s v="ID-767"/>
    <s v="Kleber Villacis"/>
    <x v="9"/>
    <d v="2025-09-06T00:00:00"/>
    <s v="Pendiente"/>
    <n v="9"/>
    <n v="1216"/>
    <s v="Sierra"/>
    <x v="745"/>
  </r>
  <r>
    <s v="ID-768"/>
    <s v="Orlando Guamán"/>
    <x v="6"/>
    <d v="2025-09-10T00:00:00"/>
    <s v="En proceso"/>
    <n v="8"/>
    <n v="4775"/>
    <s v="Amazonía"/>
    <x v="746"/>
  </r>
  <r>
    <s v="ID-769"/>
    <s v="Bianca Cedeño"/>
    <x v="7"/>
    <d v="2025-07-08T00:00:00"/>
    <s v="Pendiente"/>
    <n v="5"/>
    <n v="4566"/>
    <s v="Amazonía"/>
    <x v="208"/>
  </r>
  <r>
    <s v="ID-770"/>
    <s v="Esteban Quintero"/>
    <x v="7"/>
    <d v="2025-11-09T00:00:00"/>
    <s v="En proceso"/>
    <n v="4"/>
    <n v="3985"/>
    <s v="Amazonía"/>
    <x v="747"/>
  </r>
  <r>
    <s v="ID-771"/>
    <s v="Helena Paredes"/>
    <x v="7"/>
    <d v="2025-12-04T00:00:00"/>
    <s v="En proceso"/>
    <n v="2"/>
    <n v="282"/>
    <s v="Insular"/>
    <x v="748"/>
  </r>
  <r>
    <s v="ID-772"/>
    <s v="Kleber Villacis"/>
    <x v="8"/>
    <d v="2025-01-14T00:00:00"/>
    <s v="En proceso"/>
    <n v="3"/>
    <n v="1991"/>
    <s v="Insular"/>
    <x v="749"/>
  </r>
  <r>
    <s v="ID-773"/>
    <s v="Cristopher Vera"/>
    <x v="10"/>
    <d v="2025-01-15T00:00:00"/>
    <s v="En proceso"/>
    <n v="9"/>
    <n v="1536"/>
    <s v="Amazonía"/>
    <x v="750"/>
  </r>
  <r>
    <s v="ID-774"/>
    <s v="Jessenia Toapanta"/>
    <x v="6"/>
    <d v="2025-07-09T00:00:00"/>
    <s v="Pendiente"/>
    <n v="10"/>
    <n v="2627"/>
    <s v="Sierra"/>
    <x v="751"/>
  </r>
  <r>
    <s v="ID-775"/>
    <s v="Fabiana Aguirre"/>
    <x v="8"/>
    <d v="2025-02-13T00:00:00"/>
    <s v="Pendiente"/>
    <n v="5"/>
    <n v="2823"/>
    <s v="Amazonía"/>
    <x v="752"/>
  </r>
  <r>
    <s v="ID-776"/>
    <s v="Bianca Cedeño"/>
    <x v="9"/>
    <d v="2025-11-12T00:00:00"/>
    <s v="Pendiente"/>
    <n v="10"/>
    <n v="1008"/>
    <s v="Sierra"/>
    <x v="753"/>
  </r>
  <r>
    <s v="ID-777"/>
    <s v="Sebastian Yanez"/>
    <x v="8"/>
    <d v="2025-10-05T00:00:00"/>
    <s v="En proceso"/>
    <n v="3"/>
    <n v="4861"/>
    <s v="Insular"/>
    <x v="754"/>
  </r>
  <r>
    <s v="ID-778"/>
    <s v="Nicole Carrion"/>
    <x v="11"/>
    <d v="2025-08-17T00:00:00"/>
    <s v="En proceso"/>
    <n v="5"/>
    <n v="3459"/>
    <s v="Amazonía"/>
    <x v="755"/>
  </r>
  <r>
    <s v="ID-779"/>
    <s v="Lorena Chicaiza"/>
    <x v="8"/>
    <d v="2025-11-05T00:00:00"/>
    <s v="Pendiente"/>
    <n v="8"/>
    <n v="4635"/>
    <s v="Sierra"/>
    <x v="756"/>
  </r>
  <r>
    <s v="ID-780"/>
    <s v="Quincy Delgado"/>
    <x v="9"/>
    <d v="2025-11-03T00:00:00"/>
    <s v="Pendiente"/>
    <n v="4"/>
    <n v="2604"/>
    <s v="Amazonía"/>
    <x v="757"/>
  </r>
  <r>
    <s v="ID-781"/>
    <s v="Renata Villamar"/>
    <x v="10"/>
    <d v="2025-06-06T00:00:00"/>
    <s v="Pendiente"/>
    <n v="10"/>
    <n v="374"/>
    <s v="Sierra"/>
    <x v="758"/>
  </r>
  <r>
    <s v="ID-782"/>
    <s v="Gonzalo Mera"/>
    <x v="5"/>
    <d v="2025-09-06T00:00:00"/>
    <s v="En proceso"/>
    <n v="2"/>
    <n v="2278"/>
    <s v="Amazonía"/>
    <x v="310"/>
  </r>
  <r>
    <s v="ID-783"/>
    <s v="Pamela Rosero"/>
    <x v="8"/>
    <d v="2025-12-08T00:00:00"/>
    <s v="En proceso"/>
    <n v="6"/>
    <n v="1516"/>
    <s v="Insular"/>
    <x v="759"/>
  </r>
  <r>
    <s v="ID-784"/>
    <s v="Diana Zambrano"/>
    <x v="8"/>
    <d v="2025-08-17T00:00:00"/>
    <s v="En proceso"/>
    <n v="5"/>
    <n v="2577"/>
    <s v="Insular"/>
    <x v="760"/>
  </r>
  <r>
    <s v="ID-785"/>
    <s v="Jessenia Toapanta"/>
    <x v="10"/>
    <d v="2025-10-20T00:00:00"/>
    <s v="Pendiente"/>
    <n v="2"/>
    <n v="3799"/>
    <s v="Sierra"/>
    <x v="761"/>
  </r>
  <r>
    <s v="ID-786"/>
    <s v="Orlando Guamán"/>
    <x v="11"/>
    <d v="2025-05-04T00:00:00"/>
    <s v="Pendiente"/>
    <n v="4"/>
    <n v="4844"/>
    <s v="Amazonía"/>
    <x v="762"/>
  </r>
  <r>
    <s v="ID-787"/>
    <s v="Gonzalo Mera"/>
    <x v="11"/>
    <d v="2025-11-25T00:00:00"/>
    <s v="Pendiente"/>
    <n v="1"/>
    <n v="4206"/>
    <s v="Sierra"/>
    <x v="295"/>
  </r>
  <r>
    <s v="ID-788"/>
    <s v="Jessenia Toapanta"/>
    <x v="5"/>
    <d v="2025-11-27T00:00:00"/>
    <s v="En proceso"/>
    <n v="9"/>
    <n v="1704"/>
    <s v="Sierra"/>
    <x v="763"/>
  </r>
  <r>
    <s v="ID-789"/>
    <s v="Tatiana Viteri"/>
    <x v="7"/>
    <d v="2025-05-19T00:00:00"/>
    <s v="En proceso"/>
    <n v="2"/>
    <n v="968"/>
    <s v="Sierra"/>
    <x v="764"/>
  </r>
  <r>
    <s v="ID-790"/>
    <s v="Gonzalo Mera"/>
    <x v="10"/>
    <d v="2025-05-12T00:00:00"/>
    <s v="Pendiente"/>
    <n v="4"/>
    <n v="1972"/>
    <s v="Sierra"/>
    <x v="765"/>
  </r>
  <r>
    <s v="ID-791"/>
    <s v="Jessenia Toapanta"/>
    <x v="6"/>
    <d v="2025-06-28T00:00:00"/>
    <s v="Pendiente"/>
    <n v="6"/>
    <n v="3522"/>
    <s v="Insular"/>
    <x v="766"/>
  </r>
  <r>
    <s v="ID-792"/>
    <s v="Esteban Quintero"/>
    <x v="6"/>
    <d v="2025-04-05T00:00:00"/>
    <s v="En proceso"/>
    <n v="6"/>
    <n v="765"/>
    <s v="Amazonía"/>
    <x v="767"/>
  </r>
  <r>
    <s v="ID-793"/>
    <s v="Renata Villamar"/>
    <x v="8"/>
    <d v="2025-11-05T00:00:00"/>
    <s v="Pendiente"/>
    <n v="4"/>
    <n v="2624"/>
    <s v="Amazonía"/>
    <x v="768"/>
  </r>
  <r>
    <s v="ID-794"/>
    <s v="Kleber Villacis"/>
    <x v="5"/>
    <d v="2025-04-03T00:00:00"/>
    <s v="En proceso"/>
    <n v="4"/>
    <n v="4404"/>
    <s v="Amazonía"/>
    <x v="769"/>
  </r>
  <r>
    <s v="ID-795"/>
    <s v="Nicole Carrion"/>
    <x v="11"/>
    <d v="2025-04-18T00:00:00"/>
    <s v="Pendiente"/>
    <n v="3"/>
    <n v="241"/>
    <s v="Amazonía"/>
    <x v="770"/>
  </r>
  <r>
    <s v="ID-796"/>
    <s v="Pamela Rosero"/>
    <x v="10"/>
    <d v="2025-06-09T00:00:00"/>
    <s v="Pendiente"/>
    <n v="10"/>
    <n v="537"/>
    <s v="Insular"/>
    <x v="771"/>
  </r>
  <r>
    <s v="ID-797"/>
    <s v="Lorena Chicaiza"/>
    <x v="10"/>
    <d v="2025-11-06T00:00:00"/>
    <s v="En proceso"/>
    <n v="10"/>
    <n v="4564"/>
    <s v="Sierra"/>
    <x v="772"/>
  </r>
  <r>
    <s v="ID-798"/>
    <s v="Orlando Guamán"/>
    <x v="7"/>
    <d v="2025-11-06T00:00:00"/>
    <s v="Pendiente"/>
    <n v="8"/>
    <n v="2956"/>
    <s v="Insular"/>
    <x v="773"/>
  </r>
  <r>
    <s v="ID-799"/>
    <s v="Ivan Alcivar"/>
    <x v="9"/>
    <d v="2025-12-23T00:00:00"/>
    <s v="En proceso"/>
    <n v="5"/>
    <n v="123"/>
    <s v="Amazonía"/>
    <x v="774"/>
  </r>
  <r>
    <s v="ID-800"/>
    <s v="Kleber Villacis"/>
    <x v="7"/>
    <d v="2025-01-12T00:00:00"/>
    <s v="En proceso"/>
    <n v="5"/>
    <n v="1798"/>
    <s v="Amazonía"/>
    <x v="775"/>
  </r>
  <r>
    <s v="ID-801"/>
    <s v="Ivan Alcivar"/>
    <x v="11"/>
    <d v="2025-03-23T00:00:00"/>
    <s v="Pendiente"/>
    <n v="2"/>
    <n v="2584"/>
    <s v="Sierra"/>
    <x v="776"/>
  </r>
  <r>
    <s v="ID-802"/>
    <s v="Ivan Alcivar"/>
    <x v="10"/>
    <d v="2025-08-22T00:00:00"/>
    <s v="En proceso"/>
    <n v="9"/>
    <n v="3387"/>
    <s v="Insular"/>
    <x v="522"/>
  </r>
  <r>
    <s v="ID-803"/>
    <s v="Bianca Cedeño"/>
    <x v="10"/>
    <d v="2025-04-17T00:00:00"/>
    <s v="En proceso"/>
    <n v="6"/>
    <n v="3947"/>
    <s v="Sierra"/>
    <x v="777"/>
  </r>
  <r>
    <s v="ID-804"/>
    <s v="Renata Villamar"/>
    <x v="11"/>
    <d v="2025-09-13T00:00:00"/>
    <s v="Pendiente"/>
    <n v="2"/>
    <n v="347"/>
    <s v="Insular"/>
    <x v="146"/>
  </r>
  <r>
    <s v="ID-805"/>
    <s v="Sebastian Yanez"/>
    <x v="6"/>
    <d v="2025-04-01T00:00:00"/>
    <s v="En proceso"/>
    <n v="4"/>
    <n v="2443"/>
    <s v="Amazonía"/>
    <x v="731"/>
  </r>
  <r>
    <s v="ID-806"/>
    <s v="Renata Villamar"/>
    <x v="5"/>
    <d v="2025-05-24T00:00:00"/>
    <s v="En proceso"/>
    <n v="8"/>
    <n v="1493"/>
    <s v="Insular"/>
    <x v="778"/>
  </r>
  <r>
    <s v="ID-807"/>
    <s v="Tatiana Viteri"/>
    <x v="7"/>
    <d v="2025-09-01T00:00:00"/>
    <s v="Pendiente"/>
    <n v="8"/>
    <n v="2528"/>
    <s v="Amazonía"/>
    <x v="779"/>
  </r>
  <r>
    <s v="ID-808"/>
    <s v="Gonzalo Mera"/>
    <x v="8"/>
    <d v="2025-02-15T00:00:00"/>
    <s v="En proceso"/>
    <n v="4"/>
    <n v="1942"/>
    <s v="Insular"/>
    <x v="780"/>
  </r>
  <r>
    <s v="ID-809"/>
    <s v="Ivan Alcivar"/>
    <x v="10"/>
    <d v="2025-01-25T00:00:00"/>
    <s v="Pendiente"/>
    <n v="9"/>
    <n v="4921"/>
    <s v="Amazonía"/>
    <x v="781"/>
  </r>
  <r>
    <s v="ID-810"/>
    <s v="Lorena Chicaiza"/>
    <x v="5"/>
    <d v="2025-09-12T00:00:00"/>
    <s v="En proceso"/>
    <n v="9"/>
    <n v="3035"/>
    <s v="Insular"/>
    <x v="782"/>
  </r>
  <r>
    <s v="ID-811"/>
    <s v="Mateo Santillan"/>
    <x v="5"/>
    <d v="2025-01-02T00:00:00"/>
    <s v="En proceso"/>
    <n v="3"/>
    <n v="1626"/>
    <s v="Amazonía"/>
    <x v="783"/>
  </r>
  <r>
    <s v="ID-812"/>
    <s v="Diana Zambrano"/>
    <x v="5"/>
    <d v="2025-12-18T00:00:00"/>
    <s v="En proceso"/>
    <n v="5"/>
    <n v="2380"/>
    <s v="Insular"/>
    <x v="784"/>
  </r>
  <r>
    <s v="ID-813"/>
    <s v="Gonzalo Mera"/>
    <x v="8"/>
    <d v="2025-11-11T00:00:00"/>
    <s v="Pendiente"/>
    <n v="8"/>
    <n v="834"/>
    <s v="Insular"/>
    <x v="785"/>
  </r>
  <r>
    <s v="ID-814"/>
    <s v="Renata Villamar"/>
    <x v="10"/>
    <d v="2025-03-16T00:00:00"/>
    <s v="En proceso"/>
    <n v="5"/>
    <n v="3810"/>
    <s v="Insular"/>
    <x v="786"/>
  </r>
  <r>
    <s v="ID-815"/>
    <s v="Helena Paredes"/>
    <x v="8"/>
    <d v="2025-11-23T00:00:00"/>
    <s v="En proceso"/>
    <n v="5"/>
    <n v="2019"/>
    <s v="Sierra"/>
    <x v="787"/>
  </r>
  <r>
    <s v="ID-816"/>
    <s v="Quincy Delgado"/>
    <x v="10"/>
    <d v="2025-11-23T00:00:00"/>
    <s v="Pendiente"/>
    <n v="6"/>
    <n v="2440"/>
    <s v="Sierra"/>
    <x v="788"/>
  </r>
  <r>
    <s v="ID-817"/>
    <s v="Tatiana Viteri"/>
    <x v="9"/>
    <d v="2025-08-17T00:00:00"/>
    <s v="Pendiente"/>
    <n v="6"/>
    <n v="921"/>
    <s v="Amazonía"/>
    <x v="789"/>
  </r>
  <r>
    <s v="ID-818"/>
    <s v="Gonzalo Mera"/>
    <x v="5"/>
    <d v="2025-08-08T00:00:00"/>
    <s v="En proceso"/>
    <n v="8"/>
    <n v="4595"/>
    <s v="Insular"/>
    <x v="790"/>
  </r>
  <r>
    <s v="ID-819"/>
    <s v="Mateo Santillan"/>
    <x v="8"/>
    <d v="2025-12-08T00:00:00"/>
    <s v="En proceso"/>
    <n v="7"/>
    <n v="4486"/>
    <s v="Insular"/>
    <x v="791"/>
  </r>
  <r>
    <s v="ID-820"/>
    <s v="Pamela Rosero"/>
    <x v="10"/>
    <d v="2025-07-02T00:00:00"/>
    <s v="Pendiente"/>
    <n v="2"/>
    <n v="2900"/>
    <s v="Amazonía"/>
    <x v="792"/>
  </r>
  <r>
    <s v="ID-821"/>
    <s v="Sebastian Yanez"/>
    <x v="7"/>
    <d v="2025-11-16T00:00:00"/>
    <s v="Pendiente"/>
    <n v="5"/>
    <n v="980"/>
    <s v="Insular"/>
    <x v="793"/>
  </r>
  <r>
    <s v="ID-822"/>
    <s v="Cristopher Vera"/>
    <x v="11"/>
    <d v="2025-08-17T00:00:00"/>
    <s v="Pendiente"/>
    <n v="2"/>
    <n v="1189"/>
    <s v="Insular"/>
    <x v="794"/>
  </r>
  <r>
    <s v="ID-823"/>
    <s v="Quincy Delgado"/>
    <x v="9"/>
    <d v="2025-10-14T00:00:00"/>
    <s v="En proceso"/>
    <n v="1"/>
    <n v="4823"/>
    <s v="Insular"/>
    <x v="795"/>
  </r>
  <r>
    <s v="ID-824"/>
    <s v="Helena Paredes"/>
    <x v="7"/>
    <d v="2025-06-14T00:00:00"/>
    <s v="Pendiente"/>
    <n v="4"/>
    <n v="4539"/>
    <s v="Amazonía"/>
    <x v="796"/>
  </r>
  <r>
    <s v="ID-825"/>
    <s v="Jessenia Toapanta"/>
    <x v="8"/>
    <d v="2025-04-08T00:00:00"/>
    <s v="En proceso"/>
    <n v="7"/>
    <n v="1790"/>
    <s v="Insular"/>
    <x v="797"/>
  </r>
  <r>
    <s v="ID-826"/>
    <s v="Pamela Rosero"/>
    <x v="10"/>
    <d v="2025-10-16T00:00:00"/>
    <s v="En proceso"/>
    <n v="9"/>
    <n v="4331"/>
    <s v="Insular"/>
    <x v="798"/>
  </r>
  <r>
    <s v="ID-827"/>
    <s v="Helena Paredes"/>
    <x v="8"/>
    <d v="2025-02-13T00:00:00"/>
    <s v="En proceso"/>
    <n v="10"/>
    <n v="3809"/>
    <s v="Sierra"/>
    <x v="799"/>
  </r>
  <r>
    <s v="ID-828"/>
    <s v="Tatiana Viteri"/>
    <x v="8"/>
    <d v="2025-07-01T00:00:00"/>
    <s v="Pendiente"/>
    <n v="6"/>
    <n v="3153"/>
    <s v="Amazonía"/>
    <x v="800"/>
  </r>
  <r>
    <s v="ID-829"/>
    <s v="Cristopher Vera"/>
    <x v="7"/>
    <d v="2025-07-23T00:00:00"/>
    <s v="Pendiente"/>
    <n v="6"/>
    <n v="4128"/>
    <s v="Sierra"/>
    <x v="801"/>
  </r>
  <r>
    <s v="ID-830"/>
    <s v="Orlando Guamán"/>
    <x v="8"/>
    <d v="2025-10-07T00:00:00"/>
    <s v="Pendiente"/>
    <n v="1"/>
    <n v="4838"/>
    <s v="Insular"/>
    <x v="802"/>
  </r>
  <r>
    <s v="ID-831"/>
    <s v="Mateo Santillan"/>
    <x v="6"/>
    <d v="2025-08-08T00:00:00"/>
    <s v="Pendiente"/>
    <n v="6"/>
    <n v="2222"/>
    <s v="Insular"/>
    <x v="803"/>
  </r>
  <r>
    <s v="ID-832"/>
    <s v="Cristopher Vera"/>
    <x v="11"/>
    <d v="2025-03-22T00:00:00"/>
    <s v="En proceso"/>
    <n v="10"/>
    <n v="4503"/>
    <s v="Insular"/>
    <x v="804"/>
  </r>
  <r>
    <s v="ID-833"/>
    <s v="Cristopher Vera"/>
    <x v="8"/>
    <d v="2025-03-04T00:00:00"/>
    <s v="Pendiente"/>
    <n v="4"/>
    <n v="3792"/>
    <s v="Sierra"/>
    <x v="805"/>
  </r>
  <r>
    <s v="ID-834"/>
    <s v="Helena Paredes"/>
    <x v="6"/>
    <d v="2025-05-17T00:00:00"/>
    <s v="Pendiente"/>
    <n v="3"/>
    <n v="3489"/>
    <s v="Sierra"/>
    <x v="806"/>
  </r>
  <r>
    <s v="ID-835"/>
    <s v="Tatiana Viteri"/>
    <x v="11"/>
    <d v="2025-12-26T00:00:00"/>
    <s v="En proceso"/>
    <n v="4"/>
    <n v="841"/>
    <s v="Insular"/>
    <x v="807"/>
  </r>
  <r>
    <s v="ID-836"/>
    <s v="Cristopher Vera"/>
    <x v="8"/>
    <d v="2025-04-22T00:00:00"/>
    <s v="Pendiente"/>
    <n v="10"/>
    <n v="4384"/>
    <s v="Insular"/>
    <x v="808"/>
  </r>
  <r>
    <s v="ID-837"/>
    <s v="Tatiana Viteri"/>
    <x v="10"/>
    <d v="2025-01-09T00:00:00"/>
    <s v="Pendiente"/>
    <n v="4"/>
    <n v="1560"/>
    <s v="Insular"/>
    <x v="809"/>
  </r>
  <r>
    <s v="ID-838"/>
    <s v="Bianca Cedeño"/>
    <x v="7"/>
    <d v="2025-02-20T00:00:00"/>
    <s v="Pendiente"/>
    <n v="6"/>
    <n v="1060"/>
    <s v="Amazonía"/>
    <x v="810"/>
  </r>
  <r>
    <s v="ID-839"/>
    <s v="Tatiana Viteri"/>
    <x v="10"/>
    <d v="2025-09-12T00:00:00"/>
    <s v="En proceso"/>
    <n v="5"/>
    <n v="444"/>
    <s v="Amazonía"/>
    <x v="811"/>
  </r>
  <r>
    <s v="ID-840"/>
    <s v="Helena Paredes"/>
    <x v="10"/>
    <d v="2025-04-28T00:00:00"/>
    <s v="En proceso"/>
    <n v="7"/>
    <n v="3576"/>
    <s v="Sierra"/>
    <x v="812"/>
  </r>
  <r>
    <s v="ID-841"/>
    <s v="Diana Zambrano"/>
    <x v="8"/>
    <d v="2025-08-12T00:00:00"/>
    <s v="Pendiente"/>
    <n v="9"/>
    <n v="3192"/>
    <s v="Sierra"/>
    <x v="813"/>
  </r>
  <r>
    <s v="ID-842"/>
    <s v="Esteban Quintero"/>
    <x v="11"/>
    <d v="2025-08-16T00:00:00"/>
    <s v="Pendiente"/>
    <n v="3"/>
    <n v="3312"/>
    <s v="Sierra"/>
    <x v="814"/>
  </r>
  <r>
    <s v="ID-843"/>
    <s v="Renata Villamar"/>
    <x v="5"/>
    <d v="2025-08-23T00:00:00"/>
    <s v="Pendiente"/>
    <n v="2"/>
    <n v="1808"/>
    <s v="Sierra"/>
    <x v="815"/>
  </r>
  <r>
    <s v="ID-844"/>
    <s v="Fabiana Aguirre"/>
    <x v="5"/>
    <d v="2025-01-15T00:00:00"/>
    <s v="Pendiente"/>
    <n v="5"/>
    <n v="2857"/>
    <s v="Amazonía"/>
    <x v="816"/>
  </r>
  <r>
    <s v="ID-845"/>
    <s v="Sebastian Yanez"/>
    <x v="8"/>
    <d v="2025-09-12T00:00:00"/>
    <s v="En proceso"/>
    <n v="2"/>
    <n v="4484"/>
    <s v="Sierra"/>
    <x v="817"/>
  </r>
  <r>
    <s v="ID-846"/>
    <s v="Gonzalo Mera"/>
    <x v="9"/>
    <d v="2025-08-07T00:00:00"/>
    <s v="En proceso"/>
    <n v="8"/>
    <n v="1061"/>
    <s v="Amazonía"/>
    <x v="818"/>
  </r>
  <r>
    <s v="ID-847"/>
    <s v="Diana Zambrano"/>
    <x v="9"/>
    <d v="2025-04-05T00:00:00"/>
    <s v="Pendiente"/>
    <n v="9"/>
    <n v="732"/>
    <s v="Amazonía"/>
    <x v="380"/>
  </r>
  <r>
    <s v="ID-848"/>
    <s v="Gonzalo Mera"/>
    <x v="11"/>
    <d v="2025-01-10T00:00:00"/>
    <s v="En proceso"/>
    <n v="7"/>
    <n v="3004"/>
    <s v="Insular"/>
    <x v="819"/>
  </r>
  <r>
    <s v="ID-849"/>
    <s v="Pamela Rosero"/>
    <x v="8"/>
    <d v="2025-11-10T00:00:00"/>
    <s v="En proceso"/>
    <n v="5"/>
    <n v="1235"/>
    <s v="Sierra"/>
    <x v="820"/>
  </r>
  <r>
    <s v="ID-850"/>
    <s v="Mateo Santillan"/>
    <x v="8"/>
    <d v="2025-10-21T00:00:00"/>
    <s v="Pendiente"/>
    <n v="2"/>
    <n v="66"/>
    <s v="Insular"/>
    <x v="821"/>
  </r>
  <r>
    <s v="ID-851"/>
    <s v="Esteban Quintero"/>
    <x v="8"/>
    <d v="2025-05-14T00:00:00"/>
    <s v="En proceso"/>
    <n v="7"/>
    <n v="2975"/>
    <s v="Amazonía"/>
    <x v="822"/>
  </r>
  <r>
    <s v="ID-852"/>
    <s v="Quincy Delgado"/>
    <x v="9"/>
    <d v="2025-01-15T00:00:00"/>
    <s v="Pendiente"/>
    <n v="5"/>
    <n v="4797"/>
    <s v="Amazonía"/>
    <x v="823"/>
  </r>
  <r>
    <s v="ID-853"/>
    <s v="Diana Zambrano"/>
    <x v="5"/>
    <d v="2025-10-09T00:00:00"/>
    <s v="En proceso"/>
    <n v="2"/>
    <n v="4183"/>
    <s v="Amazonía"/>
    <x v="824"/>
  </r>
  <r>
    <s v="ID-854"/>
    <s v="Nicole Carrion"/>
    <x v="5"/>
    <d v="2025-10-03T00:00:00"/>
    <s v="En proceso"/>
    <n v="9"/>
    <n v="1106"/>
    <s v="Insular"/>
    <x v="825"/>
  </r>
  <r>
    <s v="ID-855"/>
    <s v="Jessenia Toapanta"/>
    <x v="10"/>
    <d v="2025-07-23T00:00:00"/>
    <s v="Pendiente"/>
    <n v="10"/>
    <n v="4334"/>
    <s v="Insular"/>
    <x v="826"/>
  </r>
  <r>
    <s v="ID-856"/>
    <s v="Fabiana Aguirre"/>
    <x v="11"/>
    <d v="2025-08-03T00:00:00"/>
    <s v="Pendiente"/>
    <n v="2"/>
    <n v="4033"/>
    <s v="Insular"/>
    <x v="827"/>
  </r>
  <r>
    <s v="ID-857"/>
    <s v="Helena Paredes"/>
    <x v="11"/>
    <d v="2025-02-07T00:00:00"/>
    <s v="Pendiente"/>
    <n v="5"/>
    <n v="4146"/>
    <s v="Sierra"/>
    <x v="828"/>
  </r>
  <r>
    <s v="ID-858"/>
    <s v="Quincy Delgado"/>
    <x v="7"/>
    <d v="2025-03-11T00:00:00"/>
    <s v="Pendiente"/>
    <n v="2"/>
    <n v="4959"/>
    <s v="Amazonía"/>
    <x v="829"/>
  </r>
  <r>
    <s v="ID-859"/>
    <s v="Fabiana Aguirre"/>
    <x v="11"/>
    <d v="2025-06-04T00:00:00"/>
    <s v="Pendiente"/>
    <n v="1"/>
    <n v="606"/>
    <s v="Insular"/>
    <x v="830"/>
  </r>
  <r>
    <s v="ID-860"/>
    <s v="Tatiana Viteri"/>
    <x v="10"/>
    <d v="2025-06-02T00:00:00"/>
    <s v="Pendiente"/>
    <n v="2"/>
    <n v="1490"/>
    <s v="Amazonía"/>
    <x v="831"/>
  </r>
  <r>
    <s v="ID-861"/>
    <s v="Quincy Delgado"/>
    <x v="8"/>
    <d v="2025-07-07T00:00:00"/>
    <s v="En proceso"/>
    <n v="7"/>
    <n v="1902"/>
    <s v="Sierra"/>
    <x v="832"/>
  </r>
  <r>
    <s v="ID-862"/>
    <s v="Kleber Villacis"/>
    <x v="8"/>
    <d v="2025-09-16T00:00:00"/>
    <s v="En proceso"/>
    <n v="4"/>
    <n v="2440"/>
    <s v="Amazonía"/>
    <x v="833"/>
  </r>
  <r>
    <s v="ID-863"/>
    <s v="Bianca Cedeño"/>
    <x v="11"/>
    <d v="2025-09-15T00:00:00"/>
    <s v="Pendiente"/>
    <n v="2"/>
    <n v="2531"/>
    <s v="Amazonía"/>
    <x v="834"/>
  </r>
  <r>
    <s v="ID-864"/>
    <s v="Jessenia Toapanta"/>
    <x v="9"/>
    <d v="2025-04-14T00:00:00"/>
    <s v="En proceso"/>
    <n v="6"/>
    <n v="2926"/>
    <s v="Sierra"/>
    <x v="835"/>
  </r>
  <r>
    <s v="ID-865"/>
    <s v="Bianca Cedeño"/>
    <x v="8"/>
    <d v="2025-08-09T00:00:00"/>
    <s v="Pendiente"/>
    <n v="10"/>
    <n v="3211"/>
    <s v="Sierra"/>
    <x v="836"/>
  </r>
  <r>
    <s v="ID-866"/>
    <s v="Cristopher Vera"/>
    <x v="5"/>
    <d v="2025-12-21T00:00:00"/>
    <s v="Pendiente"/>
    <n v="6"/>
    <n v="4291"/>
    <s v="Insular"/>
    <x v="837"/>
  </r>
  <r>
    <s v="ID-867"/>
    <s v="Fabiana Aguirre"/>
    <x v="9"/>
    <d v="2025-01-01T00:00:00"/>
    <s v="En proceso"/>
    <n v="6"/>
    <n v="926"/>
    <s v="Amazonía"/>
    <x v="450"/>
  </r>
  <r>
    <s v="ID-868"/>
    <s v="Tatiana Viteri"/>
    <x v="7"/>
    <d v="2025-09-11T00:00:00"/>
    <s v="En proceso"/>
    <n v="8"/>
    <n v="4141"/>
    <s v="Sierra"/>
    <x v="838"/>
  </r>
  <r>
    <s v="ID-869"/>
    <s v="Gonzalo Mera"/>
    <x v="8"/>
    <d v="2025-02-13T00:00:00"/>
    <s v="En proceso"/>
    <n v="8"/>
    <n v="3868"/>
    <s v="Sierra"/>
    <x v="839"/>
  </r>
  <r>
    <s v="ID-870"/>
    <s v="Tatiana Viteri"/>
    <x v="8"/>
    <d v="2025-09-25T00:00:00"/>
    <s v="En proceso"/>
    <n v="3"/>
    <n v="1327"/>
    <s v="Amazonía"/>
    <x v="840"/>
  </r>
  <r>
    <s v="ID-871"/>
    <s v="Fabiana Aguirre"/>
    <x v="9"/>
    <d v="2025-02-18T00:00:00"/>
    <s v="En proceso"/>
    <n v="7"/>
    <n v="1550"/>
    <s v="Amazonía"/>
    <x v="841"/>
  </r>
  <r>
    <s v="ID-872"/>
    <s v="Cristopher Vera"/>
    <x v="10"/>
    <d v="2025-05-22T00:00:00"/>
    <s v="Pendiente"/>
    <n v="10"/>
    <n v="929"/>
    <s v="Insular"/>
    <x v="842"/>
  </r>
  <r>
    <s v="ID-873"/>
    <s v="Diana Zambrano"/>
    <x v="5"/>
    <d v="2025-09-22T00:00:00"/>
    <s v="En proceso"/>
    <n v="4"/>
    <n v="4653"/>
    <s v="Sierra"/>
    <x v="843"/>
  </r>
  <r>
    <s v="ID-874"/>
    <s v="Mateo Santillan"/>
    <x v="10"/>
    <d v="2025-06-01T00:00:00"/>
    <s v="En proceso"/>
    <n v="7"/>
    <n v="4290"/>
    <s v="Amazonía"/>
    <x v="844"/>
  </r>
  <r>
    <s v="ID-875"/>
    <s v="Ivan Alcivar"/>
    <x v="8"/>
    <d v="2025-07-12T00:00:00"/>
    <s v="Pendiente"/>
    <n v="6"/>
    <n v="200"/>
    <s v="Insular"/>
    <x v="845"/>
  </r>
  <r>
    <s v="ID-876"/>
    <s v="Diana Zambrano"/>
    <x v="9"/>
    <d v="2025-12-20T00:00:00"/>
    <s v="En proceso"/>
    <n v="5"/>
    <n v="4033"/>
    <s v="Sierra"/>
    <x v="846"/>
  </r>
  <r>
    <s v="ID-877"/>
    <s v="Quincy Delgado"/>
    <x v="8"/>
    <d v="2025-11-08T00:00:00"/>
    <s v="En proceso"/>
    <n v="10"/>
    <n v="1364"/>
    <s v="Insular"/>
    <x v="847"/>
  </r>
  <r>
    <s v="ID-878"/>
    <s v="Ivan Alcivar"/>
    <x v="9"/>
    <d v="2025-12-07T00:00:00"/>
    <s v="Pendiente"/>
    <n v="10"/>
    <n v="3994"/>
    <s v="Sierra"/>
    <x v="848"/>
  </r>
  <r>
    <s v="ID-879"/>
    <s v="Fabiana Aguirre"/>
    <x v="8"/>
    <d v="2025-01-10T00:00:00"/>
    <s v="Pendiente"/>
    <n v="7"/>
    <n v="2637"/>
    <s v="Sierra"/>
    <x v="849"/>
  </r>
  <r>
    <s v="ID-880"/>
    <s v="Kleber Villacis"/>
    <x v="8"/>
    <d v="2025-01-07T00:00:00"/>
    <s v="En proceso"/>
    <n v="7"/>
    <n v="4269"/>
    <s v="Amazonía"/>
    <x v="850"/>
  </r>
  <r>
    <s v="ID-881"/>
    <s v="Quincy Delgado"/>
    <x v="7"/>
    <d v="2025-07-27T00:00:00"/>
    <s v="En proceso"/>
    <n v="9"/>
    <n v="4739"/>
    <s v="Insular"/>
    <x v="851"/>
  </r>
  <r>
    <s v="ID-882"/>
    <s v="Orlando Guamán"/>
    <x v="8"/>
    <d v="2025-11-15T00:00:00"/>
    <s v="Pendiente"/>
    <n v="6"/>
    <n v="1219"/>
    <s v="Sierra"/>
    <x v="852"/>
  </r>
  <r>
    <s v="ID-883"/>
    <s v="Cristopher Vera"/>
    <x v="10"/>
    <d v="2025-02-15T00:00:00"/>
    <s v="Pendiente"/>
    <n v="2"/>
    <n v="4655"/>
    <s v="Sierra"/>
    <x v="853"/>
  </r>
  <r>
    <s v="ID-884"/>
    <s v="Mateo Santillan"/>
    <x v="10"/>
    <d v="2025-05-09T00:00:00"/>
    <s v="En proceso"/>
    <n v="7"/>
    <n v="2414"/>
    <s v="Sierra"/>
    <x v="854"/>
  </r>
  <r>
    <s v="ID-885"/>
    <s v="Mateo Santillan"/>
    <x v="11"/>
    <d v="2025-02-24T00:00:00"/>
    <s v="En proceso"/>
    <n v="3"/>
    <n v="615"/>
    <s v="Amazonía"/>
    <x v="855"/>
  </r>
  <r>
    <s v="ID-886"/>
    <s v="Tatiana Viteri"/>
    <x v="11"/>
    <d v="2025-10-27T00:00:00"/>
    <s v="Pendiente"/>
    <n v="7"/>
    <n v="1724"/>
    <s v="Insular"/>
    <x v="856"/>
  </r>
  <r>
    <s v="ID-887"/>
    <s v="Helena Paredes"/>
    <x v="9"/>
    <d v="2025-08-26T00:00:00"/>
    <s v="En proceso"/>
    <n v="4"/>
    <n v="2055"/>
    <s v="Insular"/>
    <x v="857"/>
  </r>
  <r>
    <s v="ID-888"/>
    <s v="Sebastian Yanez"/>
    <x v="7"/>
    <d v="2025-08-02T00:00:00"/>
    <s v="En proceso"/>
    <n v="10"/>
    <n v="4227"/>
    <s v="Insular"/>
    <x v="858"/>
  </r>
  <r>
    <s v="ID-889"/>
    <s v="Jessenia Toapanta"/>
    <x v="6"/>
    <d v="2025-05-01T00:00:00"/>
    <s v="En proceso"/>
    <n v="7"/>
    <n v="4713"/>
    <s v="Amazonía"/>
    <x v="859"/>
  </r>
  <r>
    <s v="ID-890"/>
    <s v="Mateo Santillan"/>
    <x v="9"/>
    <d v="2025-06-15T00:00:00"/>
    <s v="Pendiente"/>
    <n v="6"/>
    <n v="1305"/>
    <s v="Sierra"/>
    <x v="860"/>
  </r>
  <r>
    <s v="ID-891"/>
    <s v="Ivan Alcivar"/>
    <x v="9"/>
    <d v="2025-01-18T00:00:00"/>
    <s v="Pendiente"/>
    <n v="7"/>
    <n v="593"/>
    <s v="Amazonía"/>
    <x v="861"/>
  </r>
  <r>
    <s v="ID-892"/>
    <s v="Orlando Guamán"/>
    <x v="10"/>
    <d v="2025-05-13T00:00:00"/>
    <s v="En proceso"/>
    <n v="6"/>
    <n v="526"/>
    <s v="Amazonía"/>
    <x v="862"/>
  </r>
  <r>
    <s v="ID-893"/>
    <s v="Renata Villamar"/>
    <x v="5"/>
    <d v="2025-11-14T00:00:00"/>
    <s v="En proceso"/>
    <n v="2"/>
    <n v="2868"/>
    <s v="Sierra"/>
    <x v="863"/>
  </r>
  <r>
    <s v="ID-894"/>
    <s v="Bianca Cedeño"/>
    <x v="6"/>
    <d v="2025-06-07T00:00:00"/>
    <s v="En proceso"/>
    <n v="6"/>
    <n v="742"/>
    <s v="Amazonía"/>
    <x v="864"/>
  </r>
  <r>
    <s v="ID-895"/>
    <s v="Pamela Rosero"/>
    <x v="8"/>
    <d v="2025-03-18T00:00:00"/>
    <s v="Pendiente"/>
    <n v="2"/>
    <n v="1049"/>
    <s v="Sierra"/>
    <x v="865"/>
  </r>
  <r>
    <s v="ID-896"/>
    <s v="Lorena Chicaiza"/>
    <x v="9"/>
    <d v="2025-04-15T00:00:00"/>
    <s v="En proceso"/>
    <n v="1"/>
    <n v="2051"/>
    <s v="Insular"/>
    <x v="866"/>
  </r>
  <r>
    <s v="ID-897"/>
    <s v="Fabiana Aguirre"/>
    <x v="10"/>
    <d v="2025-06-08T00:00:00"/>
    <s v="En proceso"/>
    <n v="1"/>
    <n v="839"/>
    <s v="Amazonía"/>
    <x v="867"/>
  </r>
  <r>
    <s v="ID-898"/>
    <s v="Lorena Chicaiza"/>
    <x v="6"/>
    <d v="2025-06-06T00:00:00"/>
    <s v="En proceso"/>
    <n v="10"/>
    <n v="813"/>
    <s v="Sierra"/>
    <x v="501"/>
  </r>
  <r>
    <s v="ID-899"/>
    <s v="Orlando Guamán"/>
    <x v="6"/>
    <d v="2025-08-28T00:00:00"/>
    <s v="En proceso"/>
    <n v="3"/>
    <n v="4202"/>
    <s v="Sierra"/>
    <x v="868"/>
  </r>
  <r>
    <s v="ID-900"/>
    <s v="Orlando Guamán"/>
    <x v="5"/>
    <d v="2025-01-10T00:00:00"/>
    <s v="En proceso"/>
    <n v="5"/>
    <n v="4598"/>
    <s v="Insular"/>
    <x v="869"/>
  </r>
  <r>
    <s v="ID-901"/>
    <s v="Mouse Logitech M185"/>
    <x v="11"/>
    <d v="2025-11-20T00:00:00"/>
    <s v="Completado"/>
    <n v="10"/>
    <n v="3291"/>
    <s v="Sierra"/>
    <x v="870"/>
  </r>
  <r>
    <s v="ID-902"/>
    <s v="Mouse Gamer Redragon"/>
    <x v="9"/>
    <d v="2025-02-13T00:00:00"/>
    <s v="Completado"/>
    <n v="7"/>
    <n v="4654"/>
    <s v="Amazonía"/>
    <x v="871"/>
  </r>
  <r>
    <s v="ID-903"/>
    <s v="Monitor Samsung 24&quot;"/>
    <x v="11"/>
    <d v="2025-01-09T00:00:00"/>
    <s v="Completado"/>
    <n v="7"/>
    <n v="3877"/>
    <s v="Galápagos"/>
    <x v="872"/>
  </r>
  <r>
    <s v="ID-904"/>
    <s v="Monitor LG UltraWide"/>
    <x v="8"/>
    <d v="2025-01-20T00:00:00"/>
    <s v="Completado"/>
    <n v="4"/>
    <n v="4825"/>
    <s v="Galápagos"/>
    <x v="873"/>
  </r>
  <r>
    <s v="ID-905"/>
    <s v="Teclado Logitech K120"/>
    <x v="9"/>
    <d v="2025-11-19T00:00:00"/>
    <s v="Completado"/>
    <n v="5"/>
    <n v="234"/>
    <s v="Amazonía"/>
    <x v="874"/>
  </r>
  <r>
    <s v="ID-906"/>
    <s v="Webcam Logitech C920"/>
    <x v="7"/>
    <d v="2025-05-03T00:00:00"/>
    <s v="Completado"/>
    <n v="3"/>
    <n v="4085"/>
    <s v="Galápagos"/>
    <x v="875"/>
  </r>
  <r>
    <s v="ID-907"/>
    <s v="Teclado Mecánico Redragon"/>
    <x v="8"/>
    <d v="2025-01-10T00:00:00"/>
    <s v="Completado"/>
    <n v="1"/>
    <n v="4288"/>
    <s v="Sierra"/>
    <x v="876"/>
  </r>
  <r>
    <s v="ID-908"/>
    <s v="Impresora HP Smart Tank"/>
    <x v="7"/>
    <d v="2025-03-21T00:00:00"/>
    <s v="Completado"/>
    <n v="8"/>
    <n v="39"/>
    <s v="Galápagos"/>
    <x v="877"/>
  </r>
  <r>
    <s v="ID-909"/>
    <s v="Webcam Logitech C920"/>
    <x v="9"/>
    <d v="2025-10-02T00:00:00"/>
    <s v="Completado"/>
    <n v="3"/>
    <n v="4308"/>
    <s v="Amazonía"/>
    <x v="878"/>
  </r>
  <r>
    <s v="ID-910"/>
    <s v="Disco Duro Externo 1TB"/>
    <x v="6"/>
    <d v="2025-09-01T00:00:00"/>
    <s v="Completado"/>
    <n v="1"/>
    <n v="1503"/>
    <s v="Galápagos"/>
    <x v="879"/>
  </r>
  <r>
    <s v="ID-911"/>
    <s v="Disco Duro Externo 1TB"/>
    <x v="10"/>
    <d v="2025-05-24T00:00:00"/>
    <s v="Completado"/>
    <n v="10"/>
    <n v="4750"/>
    <s v="Amazonía"/>
    <x v="880"/>
  </r>
  <r>
    <s v="ID-912"/>
    <s v="Monitor LG UltraWide"/>
    <x v="6"/>
    <d v="2025-03-17T00:00:00"/>
    <s v="Completado"/>
    <n v="1"/>
    <n v="3592"/>
    <s v="Galápagos"/>
    <x v="881"/>
  </r>
  <r>
    <s v="ID-913"/>
    <s v="Webcam Logitech C920"/>
    <x v="8"/>
    <d v="2025-04-26T00:00:00"/>
    <s v="Completado"/>
    <n v="6"/>
    <n v="1351"/>
    <s v="Amazonía"/>
    <x v="882"/>
  </r>
  <r>
    <s v="ID-914"/>
    <s v="Webcam Logitech C920"/>
    <x v="6"/>
    <d v="2025-07-09T00:00:00"/>
    <s v="Completado"/>
    <n v="4"/>
    <n v="2668"/>
    <s v="Amazonía"/>
    <x v="883"/>
  </r>
  <r>
    <s v="ID-915"/>
    <s v="Disco Duro Externo 1TB"/>
    <x v="11"/>
    <d v="2025-07-22T00:00:00"/>
    <s v="Completado"/>
    <n v="6"/>
    <n v="1058"/>
    <s v="Galápagos"/>
    <x v="884"/>
  </r>
  <r>
    <s v="ID-916"/>
    <s v="Teclado Logitech K120"/>
    <x v="8"/>
    <d v="2025-09-08T00:00:00"/>
    <s v="Completado"/>
    <n v="5"/>
    <n v="1319"/>
    <s v="Galápagos"/>
    <x v="885"/>
  </r>
  <r>
    <s v="ID-917"/>
    <s v="Webcam Logitech C920"/>
    <x v="8"/>
    <d v="2025-02-07T00:00:00"/>
    <s v="Completado"/>
    <n v="7"/>
    <n v="2101"/>
    <s v="Sierra"/>
    <x v="886"/>
  </r>
  <r>
    <s v="ID-918"/>
    <s v="Disco Duro Externo 1TB"/>
    <x v="9"/>
    <d v="2025-10-26T00:00:00"/>
    <s v="Completado"/>
    <n v="5"/>
    <n v="3377"/>
    <s v="Galápagos"/>
    <x v="887"/>
  </r>
  <r>
    <s v="ID-919"/>
    <s v="Monitor LG UltraWide"/>
    <x v="10"/>
    <d v="2025-04-07T00:00:00"/>
    <s v="Completado"/>
    <n v="1"/>
    <n v="3954"/>
    <s v="Amazonía"/>
    <x v="706"/>
  </r>
  <r>
    <s v="ID-920"/>
    <s v="Monitor LG UltraWide"/>
    <x v="7"/>
    <d v="2025-04-25T00:00:00"/>
    <s v="Completado"/>
    <n v="3"/>
    <n v="3959"/>
    <s v="Sierra"/>
    <x v="888"/>
  </r>
  <r>
    <s v="ID-921"/>
    <s v="Mouse Gamer Redragon"/>
    <x v="8"/>
    <d v="2025-10-02T00:00:00"/>
    <s v="Completado"/>
    <n v="10"/>
    <n v="2356"/>
    <s v="Amazonía"/>
    <x v="889"/>
  </r>
  <r>
    <s v="ID-922"/>
    <s v="Monitor LG UltraWide"/>
    <x v="7"/>
    <d v="2025-12-27T00:00:00"/>
    <s v="Completado"/>
    <n v="7"/>
    <n v="4408"/>
    <s v="Sierra"/>
    <x v="890"/>
  </r>
  <r>
    <s v="ID-923"/>
    <s v="Mouse Gamer Redragon"/>
    <x v="9"/>
    <d v="2025-05-06T00:00:00"/>
    <s v="Completado"/>
    <n v="9"/>
    <n v="4253"/>
    <s v="Galápagos"/>
    <x v="891"/>
  </r>
  <r>
    <s v="ID-924"/>
    <s v="Monitor LG UltraWide"/>
    <x v="5"/>
    <d v="2025-09-10T00:00:00"/>
    <s v="Completado"/>
    <n v="8"/>
    <n v="2330"/>
    <s v="Amazonía"/>
    <x v="892"/>
  </r>
  <r>
    <s v="ID-925"/>
    <s v="Teclado Logitech K120"/>
    <x v="5"/>
    <d v="2025-01-12T00:00:00"/>
    <s v="Completado"/>
    <n v="7"/>
    <n v="2894"/>
    <s v="Galápagos"/>
    <x v="893"/>
  </r>
  <r>
    <s v="ID-926"/>
    <s v="Teclado Mecánico Redragon"/>
    <x v="5"/>
    <d v="2025-09-12T00:00:00"/>
    <s v="Completado"/>
    <n v="2"/>
    <n v="1559"/>
    <s v="Sierra"/>
    <x v="894"/>
  </r>
  <r>
    <s v="ID-927"/>
    <s v="Monitor Samsung 24&quot;"/>
    <x v="10"/>
    <d v="2025-04-21T00:00:00"/>
    <s v="Completado"/>
    <n v="3"/>
    <n v="2734"/>
    <s v="Amazonía"/>
    <x v="895"/>
  </r>
  <r>
    <s v="ID-928"/>
    <s v="Webcam Logitech C920"/>
    <x v="6"/>
    <d v="2025-06-22T00:00:00"/>
    <s v="Completado"/>
    <n v="4"/>
    <n v="2191"/>
    <s v="Galápagos"/>
    <x v="896"/>
  </r>
  <r>
    <s v="ID-929"/>
    <s v="Impresora Epson L3250"/>
    <x v="10"/>
    <d v="2025-07-11T00:00:00"/>
    <s v="Completado"/>
    <n v="10"/>
    <n v="4494"/>
    <s v="Galápagos"/>
    <x v="897"/>
  </r>
  <r>
    <s v="ID-930"/>
    <s v="Teclado Logitech K120"/>
    <x v="11"/>
    <d v="2025-09-10T00:00:00"/>
    <s v="Completado"/>
    <n v="3"/>
    <n v="588"/>
    <s v="Amazonía"/>
    <x v="449"/>
  </r>
  <r>
    <s v="ID-0975"/>
    <s v="Karen Tipantuña"/>
    <x v="12"/>
    <d v="2026-01-21T00:00:00"/>
    <s v="Completado"/>
    <n v="2"/>
    <n v="1400"/>
    <s v="Sierra"/>
    <x v="898"/>
  </r>
  <r>
    <s v="ID-0987"/>
    <s v="Leonardo Toasa"/>
    <x v="13"/>
    <d v="2026-05-24T00:00:00"/>
    <s v="En proceso"/>
    <n v="6"/>
    <n v="2000"/>
    <s v="Sierra"/>
    <x v="8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08EC2E-4C17-45C7-B769-38506AC398FB}" name="TablaDiná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 rowHeaderCaption="PRODUCTOS">
  <location ref="E27:G42" firstHeaderRow="0" firstDataRow="1" firstDataCol="1"/>
  <pivotFields count="10">
    <pivotField showAll="0"/>
    <pivotField showAll="0"/>
    <pivotField axis="axisRow" showAll="0">
      <items count="15">
        <item x="4"/>
        <item x="13"/>
        <item x="11"/>
        <item x="5"/>
        <item x="7"/>
        <item x="0"/>
        <item x="1"/>
        <item x="10"/>
        <item x="12"/>
        <item x="8"/>
        <item x="3"/>
        <item x="2"/>
        <item x="9"/>
        <item x="6"/>
        <item t="default"/>
      </items>
    </pivotField>
    <pivotField numFmtId="14" showAll="0"/>
    <pivotField showAll="0"/>
    <pivotField showAll="0"/>
    <pivotField showAll="0"/>
    <pivotField showAll="0"/>
    <pivotField dataField="1" showAll="0">
      <items count="901">
        <item h="1" x="600"/>
        <item h="1" x="192"/>
        <item h="1" x="77"/>
        <item h="1" x="713"/>
        <item h="1" x="68"/>
        <item x="321"/>
        <item h="1" x="821"/>
        <item h="1" x="656"/>
        <item h="1" x="25"/>
        <item h="1" x="205"/>
        <item h="1" x="368"/>
        <item h="1" x="158"/>
        <item h="1" x="483"/>
        <item h="1" x="275"/>
        <item h="1" x="171"/>
        <item h="1" x="88"/>
        <item h="1" x="574"/>
        <item h="1" x="329"/>
        <item h="1" x="562"/>
        <item h="1" x="13"/>
        <item h="1" x="675"/>
        <item h="1" x="877"/>
        <item h="1" x="647"/>
        <item h="1" x="359"/>
        <item h="1" x="62"/>
        <item h="1" x="617"/>
        <item h="1" x="149"/>
        <item h="1" x="180"/>
        <item h="1" x="643"/>
        <item h="1" x="660"/>
        <item h="1" x="219"/>
        <item h="1" x="748"/>
        <item h="1" x="552"/>
        <item h="1" x="830"/>
        <item h="1" x="774"/>
        <item h="1" x="41"/>
        <item h="1" x="469"/>
        <item h="1" x="146"/>
        <item h="1" x="297"/>
        <item h="1" x="770"/>
        <item h="1" x="119"/>
        <item h="1" x="376"/>
        <item h="1" x="391"/>
        <item h="1" x="53"/>
        <item h="1" x="350"/>
        <item h="1" x="437"/>
        <item h="1" x="531"/>
        <item h="1" x="408"/>
        <item h="1" x="867"/>
        <item h="1" x="613"/>
        <item h="1" x="84"/>
        <item h="1" x="683"/>
        <item h="1" x="697"/>
        <item h="1" x="394"/>
        <item h="1" x="316"/>
        <item h="1" x="525"/>
        <item h="1" x="480"/>
        <item h="1" x="375"/>
        <item h="1" x="404"/>
        <item h="1" x="4"/>
        <item h="1" x="472"/>
        <item h="1" x="319"/>
        <item h="1" x="482"/>
        <item h="1" x="640"/>
        <item h="1" x="874"/>
        <item h="1" x="845"/>
        <item h="1" x="608"/>
        <item h="1" x="714"/>
        <item h="1" x="403"/>
        <item h="1" x="441"/>
        <item h="1" x="215"/>
        <item h="1" x="306"/>
        <item h="1" x="571"/>
        <item h="1" x="593"/>
        <item h="1" x="133"/>
        <item h="1" x="168"/>
        <item h="1" x="542"/>
        <item h="1" x="148"/>
        <item h="1" x="432"/>
        <item h="1" x="421"/>
        <item h="1" x="879"/>
        <item h="1" x="523"/>
        <item h="1" x="339"/>
        <item h="1" x="81"/>
        <item h="1" x="567"/>
        <item h="1" x="243"/>
        <item h="1" x="422"/>
        <item h="1" x="324"/>
        <item h="1" x="698"/>
        <item h="1" x="50"/>
        <item h="1" x="201"/>
        <item h="1" x="449"/>
        <item h="1" x="338"/>
        <item h="1" x="855"/>
        <item h="1" x="169"/>
        <item h="1" x="526"/>
        <item h="1" x="764"/>
        <item h="1" x="740"/>
        <item h="1" x="188"/>
        <item h="1" x="70"/>
        <item h="1" x="513"/>
        <item h="1" x="620"/>
        <item h="1" x="451"/>
        <item h="1" x="37"/>
        <item h="1" x="866"/>
        <item h="1" x="865"/>
        <item h="1" x="381"/>
        <item h="1" x="399"/>
        <item h="1" x="272"/>
        <item h="1" x="737"/>
        <item h="1" x="444"/>
        <item h="1" x="31"/>
        <item h="1" x="811"/>
        <item h="1" x="227"/>
        <item h="1" x="206"/>
        <item h="1" x="210"/>
        <item h="1" x="181"/>
        <item h="1" x="537"/>
        <item h="1" x="794"/>
        <item h="1" x="708"/>
        <item h="1" x="599"/>
        <item h="1" x="170"/>
        <item h="1" x="466"/>
        <item h="1" x="269"/>
        <item h="1" x="279"/>
        <item h="1" x="372"/>
        <item h="1" x="563"/>
        <item h="1" x="694"/>
        <item h="1" x="325"/>
        <item h="1" x="86"/>
        <item h="1" x="630"/>
        <item h="1" x="157"/>
        <item h="1" x="673"/>
        <item h="1" x="258"/>
        <item h="1" x="498"/>
        <item h="1" x="235"/>
        <item h="1" x="10"/>
        <item h="1" x="514"/>
        <item h="1" x="130"/>
        <item h="1" x="546"/>
        <item h="1" x="621"/>
        <item h="1" x="446"/>
        <item h="1" x="636"/>
        <item h="1" x="7"/>
        <item h="1" x="499"/>
        <item h="1" x="346"/>
        <item h="1" x="485"/>
        <item h="1" x="448"/>
        <item h="1" x="898"/>
        <item h="1" x="356"/>
        <item h="1" x="595"/>
        <item h="1" x="156"/>
        <item h="1" x="91"/>
        <item h="1" x="333"/>
        <item h="1" x="229"/>
        <item h="1" x="650"/>
        <item h="1" x="586"/>
        <item h="1" x="831"/>
        <item h="1" x="507"/>
        <item h="1" x="305"/>
        <item h="1" x="715"/>
        <item h="1" x="894"/>
        <item h="1" x="355"/>
        <item h="1" x="185"/>
        <item h="1" x="862"/>
        <item h="1" x="222"/>
        <item h="1" x="176"/>
        <item h="1" x="532"/>
        <item h="1" x="93"/>
        <item h="1" x="2"/>
        <item h="1" x="396"/>
        <item h="1" x="172"/>
        <item h="1" x="566"/>
        <item h="1" x="470"/>
        <item h="1" x="83"/>
        <item h="1" x="440"/>
        <item h="1" x="607"/>
        <item h="1" x="488"/>
        <item h="1" x="400"/>
        <item h="1" x="807"/>
        <item h="1" x="385"/>
        <item h="1" x="628"/>
        <item h="1" x="56"/>
        <item h="1" x="211"/>
        <item h="1" x="377"/>
        <item h="1" x="64"/>
        <item h="1" x="152"/>
        <item h="1" x="353"/>
        <item h="1" x="312"/>
        <item h="1" x="313"/>
        <item h="1" x="881"/>
        <item h="1" x="504"/>
        <item h="1" x="815"/>
        <item h="1" x="89"/>
        <item h="1" x="491"/>
        <item h="1" x="758"/>
        <item h="1" x="286"/>
        <item h="1" x="481"/>
        <item h="1" x="115"/>
        <item h="1" x="36"/>
        <item h="1" x="601"/>
        <item h="1" x="270"/>
        <item h="1" x="709"/>
        <item h="1" x="154"/>
        <item h="1" x="706"/>
        <item h="1" x="425"/>
        <item h="1" x="516"/>
        <item h="1" x="840"/>
        <item h="1" x="412"/>
        <item h="1" x="257"/>
        <item h="1" x="692"/>
        <item h="1" x="200"/>
        <item h="1" x="127"/>
        <item h="1" x="457"/>
        <item h="1" x="341"/>
        <item h="1" x="173"/>
        <item h="1" x="384"/>
        <item h="1" x="861"/>
        <item h="1" x="398"/>
        <item h="1" x="295"/>
        <item h="1" x="186"/>
        <item h="1" x="337"/>
        <item h="1" x="21"/>
        <item h="1" x="606"/>
        <item h="1" x="343"/>
        <item h="1" x="233"/>
        <item h="1" x="22"/>
        <item h="1" x="876"/>
        <item h="1" x="1"/>
        <item h="1" x="363"/>
        <item h="1" x="518"/>
        <item h="1" x="464"/>
        <item h="1" x="510"/>
        <item h="1" x="259"/>
        <item h="1" x="634"/>
        <item h="1" x="187"/>
        <item h="1" x="864"/>
        <item h="1" x="72"/>
        <item h="1" x="721"/>
        <item h="1" x="45"/>
        <item h="1" x="6"/>
        <item h="1" x="199"/>
        <item h="1" x="310"/>
        <item h="1" x="627"/>
        <item h="1" x="369"/>
        <item h="1" x="767"/>
        <item h="1" x="387"/>
        <item h="1" x="557"/>
        <item h="1" x="723"/>
        <item h="1" x="658"/>
        <item h="1" x="8"/>
        <item h="1" x="707"/>
        <item h="1" x="795"/>
        <item h="1" x="802"/>
        <item h="1" x="576"/>
        <item h="1" x="413"/>
        <item h="1" x="69"/>
        <item h="1" x="783"/>
        <item h="1" x="382"/>
        <item h="1" x="793"/>
        <item h="1" x="418"/>
        <item h="1" x="131"/>
        <item h="1" x="383"/>
        <item h="1" x="18"/>
        <item h="1" x="614"/>
        <item h="1" x="637"/>
        <item h="1" x="834"/>
        <item h="1" x="357"/>
        <item h="1" x="390"/>
        <item h="1" x="361"/>
        <item h="1" x="776"/>
        <item h="1" x="85"/>
        <item h="1" x="603"/>
        <item h="1" x="700"/>
        <item h="1" x="572"/>
        <item h="1" x="771"/>
        <item h="1" x="166"/>
        <item h="1" x="116"/>
        <item h="1" x="265"/>
        <item h="1" x="107"/>
        <item h="1" x="789"/>
        <item h="1" x="450"/>
        <item h="1" x="570"/>
        <item h="1" x="245"/>
        <item h="1" x="124"/>
        <item h="1" x="604"/>
        <item h="1" x="209"/>
        <item h="1" x="696"/>
        <item h="1" x="863"/>
        <item h="1" x="431"/>
        <item h="1" x="642"/>
        <item h="1" x="315"/>
        <item h="1" x="792"/>
        <item h="1" x="109"/>
        <item h="1" x="665"/>
        <item h="1" x="521"/>
        <item h="1" x="303"/>
        <item h="1" x="551"/>
        <item h="1" x="749"/>
        <item h="1" x="724"/>
        <item h="1" x="578"/>
        <item h="1" x="734"/>
        <item h="1" x="386"/>
        <item h="1" x="284"/>
        <item h="1" x="151"/>
        <item h="1" x="651"/>
        <item h="1" x="820"/>
        <item h="1" x="48"/>
        <item h="1" x="331"/>
        <item h="1" x="809"/>
        <item h="1" x="573"/>
        <item h="1" x="584"/>
        <item h="1" x="884"/>
        <item h="1" x="810"/>
        <item h="1" x="61"/>
        <item h="1" x="125"/>
        <item h="1" x="60"/>
        <item h="1" x="326"/>
        <item h="1" x="276"/>
        <item h="1" x="471"/>
        <item h="1" x="334"/>
        <item h="1" x="97"/>
        <item h="1" x="473"/>
        <item h="1" x="323"/>
        <item h="1" x="380"/>
        <item h="1" x="885"/>
        <item h="1" x="568"/>
        <item h="1" x="785"/>
        <item h="1" x="710"/>
        <item h="1" x="439"/>
        <item h="1" x="429"/>
        <item h="1" x="216"/>
        <item h="1" x="688"/>
        <item h="1" x="277"/>
        <item h="1" x="167"/>
        <item h="1" x="716"/>
        <item h="1" x="490"/>
        <item h="1" x="560"/>
        <item h="1" x="38"/>
        <item h="1" x="726"/>
        <item h="1" x="727"/>
        <item h="1" x="370"/>
        <item h="1" x="590"/>
        <item h="1" x="224"/>
        <item h="1" x="264"/>
        <item h="1" x="117"/>
        <item h="1" x="118"/>
        <item h="1" x="545"/>
        <item h="1" x="43"/>
        <item h="1" x="585"/>
        <item h="1" x="732"/>
        <item h="1" x="544"/>
        <item h="1" x="852"/>
        <item h="1" x="442"/>
        <item h="1" x="336"/>
        <item h="1" x="112"/>
        <item h="1" x="16"/>
        <item h="1" x="761"/>
        <item h="1" x="349"/>
        <item h="1" x="458"/>
        <item h="1" x="780"/>
        <item h="1" x="247"/>
        <item h="1" x="155"/>
        <item h="1" x="860"/>
        <item h="1" x="246"/>
        <item h="1" x="765"/>
        <item h="1" x="289"/>
        <item h="1" x="500"/>
        <item h="1" x="711"/>
        <item h="1" x="263"/>
        <item h="1" x="827"/>
        <item h="1" x="882"/>
        <item h="1" x="430"/>
        <item h="1" x="501"/>
        <item h="1" x="165"/>
        <item h="1" x="895"/>
        <item h="1" x="468"/>
        <item h="1" x="462"/>
        <item h="1" x="857"/>
        <item h="1" x="612"/>
        <item h="1" x="539"/>
        <item h="1" x="0"/>
        <item h="1" x="633"/>
        <item h="1" x="366"/>
        <item h="1" x="739"/>
        <item h="1" x="824"/>
        <item h="1" x="17"/>
        <item h="1" x="405"/>
        <item h="1" x="51"/>
        <item h="1" x="577"/>
        <item h="1" x="671"/>
        <item h="1" x="818"/>
        <item h="1" x="164"/>
        <item h="1" x="494"/>
        <item h="1" x="691"/>
        <item h="1" x="553"/>
        <item h="1" x="679"/>
        <item h="1" x="616"/>
        <item h="1" x="896"/>
        <item h="1" x="47"/>
        <item h="1" x="159"/>
        <item h="1" x="197"/>
        <item h="1" x="744"/>
        <item h="1" x="358"/>
        <item h="1" x="193"/>
        <item h="1" x="581"/>
        <item h="1" x="817"/>
        <item h="1" x="775"/>
        <item h="1" x="290"/>
        <item h="1" x="693"/>
        <item h="1" x="611"/>
        <item h="1" x="371"/>
        <item h="1" x="759"/>
        <item h="1" x="538"/>
        <item h="1" x="639"/>
        <item h="1" x="524"/>
        <item h="1" x="503"/>
        <item h="1" x="722"/>
        <item h="1" x="842"/>
        <item h="1" x="853"/>
        <item h="1" x="602"/>
        <item h="1" x="59"/>
        <item h="1" x="632"/>
        <item h="1" x="202"/>
        <item h="1" x="717"/>
        <item h="1" x="322"/>
        <item h="1" x="582"/>
        <item h="1" x="690"/>
        <item h="1" x="104"/>
        <item h="1" x="520"/>
        <item h="1" x="558"/>
        <item h="1" x="87"/>
        <item h="1" x="347"/>
        <item h="1" x="833"/>
        <item h="1" x="731"/>
        <item h="1" x="704"/>
        <item h="1" x="434"/>
        <item h="1" x="5"/>
        <item h="1" x="703"/>
        <item h="1" x="42"/>
        <item h="1" x="701"/>
        <item h="1" x="177"/>
        <item h="1" x="829"/>
        <item h="1" x="417"/>
        <item h="1" x="814"/>
        <item h="1" x="825"/>
        <item h="1" x="332"/>
        <item h="1" x="753"/>
        <item h="1" x="787"/>
        <item h="1" x="147"/>
        <item h="1" x="153"/>
        <item h="1" x="528"/>
        <item h="1" x="597"/>
        <item h="1" x="66"/>
        <item h="1" x="362"/>
        <item h="1" x="629"/>
        <item h="1" x="757"/>
        <item h="1" x="63"/>
        <item h="1" x="806"/>
        <item h="1" x="768"/>
        <item h="1" x="226"/>
        <item h="1" x="135"/>
        <item h="1" x="684"/>
        <item h="1" x="423"/>
        <item h="1" x="883"/>
        <item h="1" x="495"/>
        <item h="1" x="463"/>
        <item h="1" x="266"/>
        <item h="1" x="841"/>
        <item h="1" x="416"/>
        <item h="1" x="414"/>
        <item h="1" x="212"/>
        <item h="1" x="745"/>
        <item h="1" x="128"/>
        <item h="1" x="3"/>
        <item h="1" x="19"/>
        <item h="1" x="484"/>
        <item h="1" x="605"/>
        <item h="1" x="487"/>
        <item h="1" x="274"/>
        <item h="1" x="541"/>
        <item h="1" x="335"/>
        <item h="1" x="145"/>
        <item h="1" x="139"/>
        <item h="1" x="610"/>
        <item h="1" x="292"/>
        <item h="1" x="729"/>
        <item h="1" x="543"/>
        <item h="1" x="55"/>
        <item h="1" x="99"/>
        <item h="1" x="663"/>
        <item h="1" x="661"/>
        <item h="1" x="320"/>
        <item h="1" x="622"/>
        <item h="1" x="479"/>
        <item h="1" x="888"/>
        <item h="1" x="784"/>
        <item h="1" x="82"/>
        <item h="1" x="778"/>
        <item h="1" x="899"/>
        <item h="1" x="302"/>
        <item h="1" x="856"/>
        <item h="1" x="23"/>
        <item h="1" x="95"/>
        <item h="1" x="460"/>
        <item h="1" x="255"/>
        <item h="1" x="875"/>
        <item h="1" x="506"/>
        <item h="1" x="318"/>
        <item h="1" x="33"/>
        <item h="1" x="178"/>
        <item h="1" x="475"/>
        <item h="1" x="797"/>
        <item h="1" x="401"/>
        <item h="1" x="78"/>
        <item h="1" x="868"/>
        <item h="1" x="379"/>
        <item h="1" x="638"/>
        <item h="1" x="687"/>
        <item h="1" x="354"/>
        <item h="1" x="183"/>
        <item h="1" x="559"/>
        <item h="1" x="760"/>
        <item h="1" x="549"/>
        <item h="1" x="878"/>
        <item h="1" x="14"/>
        <item h="1" x="348"/>
        <item h="1" x="309"/>
        <item h="1" x="293"/>
        <item h="1" x="308"/>
        <item h="1" x="126"/>
        <item h="1" x="832"/>
        <item h="1" x="803"/>
        <item h="1" x="240"/>
        <item h="1" x="397"/>
        <item h="1" x="194"/>
        <item h="1" x="389"/>
        <item h="1" x="847"/>
        <item h="1" x="730"/>
        <item h="1" x="447"/>
        <item h="1" x="750"/>
        <item h="1" x="478"/>
        <item h="1" x="674"/>
        <item h="1" x="474"/>
        <item h="1" x="214"/>
        <item h="1" x="20"/>
        <item h="1" x="752"/>
        <item h="1" x="705"/>
        <item h="1" x="565"/>
        <item h="1" x="594"/>
        <item h="1" x="816"/>
        <item h="1" x="411"/>
        <item h="1" x="686"/>
        <item h="1" x="742"/>
        <item h="1" x="108"/>
        <item h="1" x="40"/>
        <item h="1" x="244"/>
        <item h="1" x="754"/>
        <item h="1" x="788"/>
        <item h="1" x="189"/>
        <item h="1" x="261"/>
        <item h="1" x="886"/>
        <item h="1" x="631"/>
        <item h="1" x="598"/>
        <item h="1" x="65"/>
        <item h="1" x="489"/>
        <item h="1" x="646"/>
        <item h="1" x="32"/>
        <item h="1" x="71"/>
        <item h="1" x="805"/>
        <item h="1" x="132"/>
        <item h="1" x="763"/>
        <item h="1" x="282"/>
        <item h="1" x="406"/>
        <item h="1" x="340"/>
        <item h="1" x="550"/>
        <item h="1" x="728"/>
        <item h="1" x="555"/>
        <item h="1" x="435"/>
        <item h="1" x="101"/>
        <item h="1" x="747"/>
        <item h="1" x="9"/>
        <item h="1" x="234"/>
        <item h="1" x="49"/>
        <item h="1" x="547"/>
        <item h="1" x="254"/>
        <item h="1" x="54"/>
        <item h="1" x="281"/>
        <item h="1" x="618"/>
        <item h="1" x="278"/>
        <item h="1" x="735"/>
        <item h="1" x="378"/>
        <item h="1" x="251"/>
        <item h="1" x="712"/>
        <item h="1" x="587"/>
        <item h="1" x="662"/>
        <item h="1" x="143"/>
        <item h="1" x="887"/>
        <item h="1" x="854"/>
        <item h="1" x="668"/>
        <item h="1" x="365"/>
        <item h="1" x="296"/>
        <item h="1" x="736"/>
        <item h="1" x="755"/>
        <item h="1" x="719"/>
        <item h="1" x="238"/>
        <item h="1" x="217"/>
        <item h="1" x="111"/>
        <item h="1" x="835"/>
        <item h="1" x="184"/>
        <item h="1" x="769"/>
        <item h="1" x="427"/>
        <item h="1" x="438"/>
        <item h="1" x="445"/>
        <item h="1" x="596"/>
        <item h="1" x="476"/>
        <item h="1" x="30"/>
        <item h="1" x="419"/>
        <item h="1" x="796"/>
        <item h="1" x="345"/>
        <item h="1" x="175"/>
        <item h="1" x="436"/>
        <item h="1" x="625"/>
        <item h="1" x="454"/>
        <item h="1" x="849"/>
        <item h="1" x="367"/>
        <item h="1" x="843"/>
        <item h="1" x="892"/>
        <item h="1" x="682"/>
        <item h="1" x="738"/>
        <item h="1" x="307"/>
        <item h="1" x="424"/>
        <item h="1" x="182"/>
        <item h="1" x="800"/>
        <item h="1" x="106"/>
        <item h="1" x="138"/>
        <item h="1" x="287"/>
        <item h="1" x="786"/>
        <item h="1" x="508"/>
        <item h="1" x="718"/>
        <item h="1" x="203"/>
        <item h="1" x="58"/>
        <item h="1" x="453"/>
        <item h="1" x="204"/>
        <item h="1" x="873"/>
        <item h="1" x="762"/>
        <item h="1" x="352"/>
        <item h="1" x="162"/>
        <item h="1" x="311"/>
        <item h="1" x="232"/>
        <item h="1" x="52"/>
        <item h="1" x="225"/>
        <item h="1" x="486"/>
        <item h="1" x="94"/>
        <item h="1" x="144"/>
        <item h="1" x="426"/>
        <item h="1" x="666"/>
        <item h="1" x="301"/>
        <item h="1" x="517"/>
        <item h="1" x="110"/>
        <item h="1" x="846"/>
        <item h="1" x="779"/>
        <item h="1" x="699"/>
        <item h="1" x="120"/>
        <item h="1" x="893"/>
        <item h="1" x="609"/>
        <item h="1" x="252"/>
        <item h="1" x="467"/>
        <item h="1" x="519"/>
        <item h="1" x="39"/>
        <item h="1" x="511"/>
        <item h="1" x="645"/>
        <item h="1" x="828"/>
        <item h="1" x="654"/>
        <item h="1" x="142"/>
        <item h="1" x="822"/>
        <item h="1" x="223"/>
        <item h="1" x="218"/>
        <item h="1" x="220"/>
        <item h="1" x="90"/>
        <item h="1" x="534"/>
        <item h="1" x="819"/>
        <item h="1" x="649"/>
        <item h="1" x="92"/>
        <item h="1" x="648"/>
        <item h="1" x="766"/>
        <item h="1" x="207"/>
        <item h="1" x="230"/>
        <item h="1" x="497"/>
        <item h="1" x="342"/>
        <item h="1" x="733"/>
        <item h="1" x="641"/>
        <item h="1" x="179"/>
        <item h="1" x="74"/>
        <item h="1" x="129"/>
        <item h="1" x="695"/>
        <item h="1" x="57"/>
        <item h="1" x="561"/>
        <item h="1" x="670"/>
        <item h="1" x="260"/>
        <item h="1" x="236"/>
        <item h="1" x="515"/>
        <item h="1" x="653"/>
        <item h="1" x="288"/>
        <item h="1" x="28"/>
        <item h="1" x="635"/>
        <item h="1" x="34"/>
        <item h="1" x="689"/>
        <item h="1" x="208"/>
        <item h="1" x="465"/>
        <item h="1" x="26"/>
        <item h="1" x="869"/>
        <item h="1" x="267"/>
        <item h="1" x="456"/>
        <item h="1" x="300"/>
        <item h="1" x="98"/>
        <item h="1" x="409"/>
        <item h="1" x="283"/>
        <item h="1" x="889"/>
        <item h="1" x="773"/>
        <item h="1" x="777"/>
        <item h="1" x="388"/>
        <item h="1" x="75"/>
        <item h="1" x="823"/>
        <item h="1" x="402"/>
        <item h="1" x="137"/>
        <item h="1" x="461"/>
        <item h="1" x="103"/>
        <item h="1" x="452"/>
        <item h="1" x="496"/>
        <item h="1" x="44"/>
        <item h="1" x="801"/>
        <item h="1" x="676"/>
        <item h="1" x="812"/>
        <item h="1" x="702"/>
        <item h="1" x="29"/>
        <item h="1" x="529"/>
        <item h="1" x="256"/>
        <item h="1" x="79"/>
        <item h="1" x="73"/>
        <item h="1" x="393"/>
        <item h="1" x="743"/>
        <item h="1" x="123"/>
        <item h="1" x="837"/>
        <item h="1" x="344"/>
        <item h="1" x="195"/>
        <item h="1" x="113"/>
        <item h="1" x="548"/>
        <item h="1" x="533"/>
        <item h="1" x="374"/>
        <item h="1" x="198"/>
        <item h="1" x="102"/>
        <item h="1" x="455"/>
        <item h="1" x="751"/>
        <item h="1" x="150"/>
        <item h="1" x="564"/>
        <item h="1" x="190"/>
        <item h="1" x="239"/>
        <item h="1" x="105"/>
        <item h="1" x="237"/>
        <item h="1" x="262"/>
        <item h="1" x="685"/>
        <item h="1" x="872"/>
        <item h="1" x="591"/>
        <item h="1" x="12"/>
        <item h="1" x="782"/>
        <item h="1" x="231"/>
        <item h="1" x="213"/>
        <item h="1" x="100"/>
        <item h="1" x="27"/>
        <item h="1" x="136"/>
        <item h="1" x="122"/>
        <item h="1" x="160"/>
        <item h="1" x="392"/>
        <item h="1" x="298"/>
        <item h="1" x="163"/>
        <item h="1" x="624"/>
        <item h="1" x="395"/>
        <item h="1" x="76"/>
        <item h="1" x="554"/>
        <item h="1" x="556"/>
        <item h="1" x="299"/>
        <item h="1" x="813"/>
        <item h="1" x="678"/>
        <item h="1" x="535"/>
        <item h="1" x="619"/>
        <item h="1" x="433"/>
        <item h="1" x="67"/>
        <item h="1" x="415"/>
        <item h="1" x="477"/>
        <item h="1" x="669"/>
        <item h="1" x="121"/>
        <item h="1" x="575"/>
        <item h="1" x="420"/>
        <item h="1" x="850"/>
        <item h="1" x="373"/>
        <item h="1" x="294"/>
        <item h="1" x="844"/>
        <item h="1" x="46"/>
        <item h="1" x="174"/>
        <item h="1" x="659"/>
        <item h="1" x="459"/>
        <item h="1" x="96"/>
        <item h="1" x="522"/>
        <item h="1" x="720"/>
        <item h="1" x="677"/>
        <item h="1" x="890"/>
        <item h="1" x="839"/>
        <item h="1" x="657"/>
        <item h="1" x="273"/>
        <item h="1" x="191"/>
        <item h="1" x="791"/>
        <item h="1" x="360"/>
        <item h="1" x="615"/>
        <item h="1" x="241"/>
        <item h="1" x="664"/>
        <item h="1" x="579"/>
        <item h="1" x="11"/>
        <item h="1" x="161"/>
        <item h="1" x="228"/>
        <item h="1" x="314"/>
        <item h="1" x="15"/>
        <item h="1" x="667"/>
        <item h="1" x="836"/>
        <item h="1" x="530"/>
        <item h="1" x="248"/>
        <item h="1" x="327"/>
        <item h="1" x="443"/>
        <item h="1" x="871"/>
        <item h="1" x="870"/>
        <item h="1" x="492"/>
        <item h="1" x="859"/>
        <item h="1" x="838"/>
        <item h="1" x="681"/>
        <item h="1" x="364"/>
        <item h="1" x="196"/>
        <item h="1" x="652"/>
        <item h="1" x="623"/>
        <item h="1" x="80"/>
        <item h="1" x="527"/>
        <item h="1" x="626"/>
        <item h="1" x="580"/>
        <item h="1" x="583"/>
        <item h="1" x="35"/>
        <item h="1" x="250"/>
        <item h="1" x="680"/>
        <item h="1" x="242"/>
        <item h="1" x="114"/>
        <item h="1" x="280"/>
        <item h="1" x="592"/>
        <item h="1" x="285"/>
        <item h="1" x="410"/>
        <item h="1" x="330"/>
        <item h="1" x="291"/>
        <item h="1" x="790"/>
        <item h="1" x="756"/>
        <item h="1" x="540"/>
        <item h="1" x="140"/>
        <item h="1" x="317"/>
        <item h="1" x="512"/>
        <item h="1" x="799"/>
        <item h="1" x="24"/>
        <item h="1" x="746"/>
        <item h="1" x="891"/>
        <item h="1" x="672"/>
        <item h="1" x="798"/>
        <item h="1" x="644"/>
        <item h="1" x="351"/>
        <item h="1" x="253"/>
        <item h="1" x="304"/>
        <item h="1" x="848"/>
        <item h="1" x="268"/>
        <item h="1" x="141"/>
        <item h="1" x="502"/>
        <item h="1" x="589"/>
        <item h="1" x="407"/>
        <item h="1" x="569"/>
        <item h="1" x="509"/>
        <item h="1" x="858"/>
        <item h="1" x="851"/>
        <item h="1" x="493"/>
        <item h="1" x="826"/>
        <item h="1" x="536"/>
        <item h="1" x="808"/>
        <item h="1" x="249"/>
        <item h="1" x="221"/>
        <item h="1" x="781"/>
        <item h="1" x="271"/>
        <item h="1" x="897"/>
        <item h="1" x="804"/>
        <item h="1" x="505"/>
        <item h="1" x="772"/>
        <item h="1" x="328"/>
        <item h="1" x="725"/>
        <item h="1" x="880"/>
        <item h="1" x="655"/>
        <item h="1" x="741"/>
        <item h="1" x="428"/>
        <item h="1" x="134"/>
        <item h="1" x="588"/>
        <item t="default"/>
      </items>
    </pivotField>
    <pivotField dataField="1" dragToRow="0" dragToCol="0" dragToPage="0" showAll="0" defaultSubtotal="0"/>
  </pivotFields>
  <rowFields count="1">
    <field x="2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_VENDIDO" fld="8" baseField="2" baseItem="0" numFmtId="173"/>
    <dataField name="PORCENTAJE" fld="9" showDataAs="percentOfCol" baseField="0" baseItem="0" numFmtId="10"/>
  </dataFields>
  <formats count="5">
    <format dxfId="10">
      <pivotArea collapsedLevelsAreSubtotals="1" fieldPosition="0">
        <references count="2">
          <reference field="4294967294" count="1" selected="0">
            <x v="1"/>
          </reference>
          <reference field="2" count="0"/>
        </references>
      </pivotArea>
    </format>
    <format dxfId="11">
      <pivotArea collapsedLevelsAreSubtotals="1" fieldPosition="0">
        <references count="2">
          <reference field="4294967294" count="1" selected="0">
            <x v="1"/>
          </reference>
          <reference field="2" count="1">
            <x v="1"/>
          </reference>
        </references>
      </pivotArea>
    </format>
    <format dxfId="12">
      <pivotArea field="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1"/>
          </reference>
          <reference field="2" count="1">
            <x v="8"/>
          </reference>
        </references>
      </pivotArea>
    </format>
  </formats>
  <chartFormats count="2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7221795-0158-4527-8CBC-AA33CC910330}" autoFormatId="16" applyNumberFormats="0" applyBorderFormats="0" applyFontFormats="0" applyPatternFormats="0" applyAlignmentFormats="0" applyWidthHeightFormats="0">
  <queryTableRefresh nextId="10">
    <queryTableFields count="9">
      <queryTableField id="1" name="ID Registro" tableColumnId="1"/>
      <queryTableField id="2" name="Cliente" tableColumnId="2"/>
      <queryTableField id="3" name="Producto" tableColumnId="3"/>
      <queryTableField id="4" name="Fecha" tableColumnId="4"/>
      <queryTableField id="5" name="Estado" tableColumnId="5"/>
      <queryTableField id="6" name="Cantidad" tableColumnId="6"/>
      <queryTableField id="7" name="Precio" tableColumnId="7"/>
      <queryTableField id="8" name="Región" tableColumnId="8"/>
      <queryTableField id="9" name="Total_Final" tableColumnId="9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5C2D3A-1D86-4225-9647-2EC044BFB0AC}" name="Tabla43" displayName="Tabla43" ref="B6:I105" totalsRowShown="0" headerRowDxfId="68">
  <autoFilter ref="B6:I105" xr:uid="{73E2E166-0FF0-44C7-8670-ADD6D650C98E}"/>
  <tableColumns count="8">
    <tableColumn id="1" xr3:uid="{6C7B9B05-32FA-42BE-8034-59197683C78A}" name="ID Registro"/>
    <tableColumn id="2" xr3:uid="{71BE777F-451F-440C-9F19-F0D6825011E3}" name="Cliente"/>
    <tableColumn id="3" xr3:uid="{3E9B7AFE-EACC-4336-A40F-EE2E71E13E17}" name="Producto"/>
    <tableColumn id="4" xr3:uid="{DBFF3490-0993-4AD5-8820-A2538FD2AF68}" name="Fecha"/>
    <tableColumn id="5" xr3:uid="{7D000DA4-5C60-424B-A31A-275375797094}" name="Estado"/>
    <tableColumn id="6" xr3:uid="{A97CECF2-CFEB-4860-A0F8-9DC70FB02D2C}" name="Cantidad"/>
    <tableColumn id="7" xr3:uid="{8C125D22-4CD5-4A7E-AF62-1844DFC54462}" name="Precio"/>
    <tableColumn id="8" xr3:uid="{9A836E52-DAA0-48BD-8B98-FF4590804331}" name="Reg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E2E166-0FF0-44C7-8670-ADD6D650C98E}" name="Tabla4" displayName="Tabla4" ref="B6:I941" totalsRowShown="0" headerRowDxfId="69">
  <autoFilter ref="B6:I941" xr:uid="{73E2E166-0FF0-44C7-8670-ADD6D650C98E}"/>
  <tableColumns count="8">
    <tableColumn id="1" xr3:uid="{E707F3D0-089D-4598-A82A-7DFC38E5FEA7}" name="ID Registro"/>
    <tableColumn id="2" xr3:uid="{30ACB6BA-AD7A-462B-B0FC-D9EF89730B88}" name="Cliente"/>
    <tableColumn id="3" xr3:uid="{875C6000-0DCE-4ED2-BD86-62CC113AF154}" name="Producto"/>
    <tableColumn id="4" xr3:uid="{4F10A225-7EAE-4923-BD45-53F937F76C9C}" name="Fecha"/>
    <tableColumn id="5" xr3:uid="{E9413DED-AE22-4D0B-B9DC-B8ADD012420F}" name="Estado"/>
    <tableColumn id="6" xr3:uid="{80C65D19-0342-4C68-B06B-D85A5F56AC9F}" name="Cantidad"/>
    <tableColumn id="7" xr3:uid="{AC633959-AABA-471C-956B-2D62606F80E5}" name="Precio"/>
    <tableColumn id="8" xr3:uid="{6BB7A4D0-3EC1-46C5-8F32-6BB8837DA1E5}" name="Regió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0FC276-EAD1-4A4A-AA37-8146F4682511}" name="Tabla5" displayName="Tabla5" ref="B5:D983" totalsRowShown="0" dataDxfId="57" tableBorderDxfId="61">
  <autoFilter ref="B5:D983" xr:uid="{BF0FC276-EAD1-4A4A-AA37-8146F4682511}"/>
  <tableColumns count="3">
    <tableColumn id="1" xr3:uid="{64C24CAF-61A6-43CC-A8EA-A9DC6B9C86F8}" name="ID Registro" dataDxfId="60"/>
    <tableColumn id="2" xr3:uid="{9A1F021F-F8F0-421B-9BCF-A23EC37F4026}" name="Fecha" dataDxfId="59"/>
    <tableColumn id="3" xr3:uid="{00F1F462-64EF-4146-9D8C-C536679944F5}" name="Observaciones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38C1EC-C13F-4207-8049-C10C9137404D}" name="Tabla54" displayName="Tabla54" ref="B5:D6" insertRow="1" totalsRowShown="0" headerRowDxfId="67" dataDxfId="66" tableBorderDxfId="65">
  <autoFilter ref="B5:D6" xr:uid="{8A7EE066-6B9C-41BB-B5E2-AEE57EF0F761}"/>
  <tableColumns count="3">
    <tableColumn id="1" xr3:uid="{1BCCC18D-6985-4C9E-B76F-A29EFF7137C3}" name="ID Registro" dataDxfId="64"/>
    <tableColumn id="2" xr3:uid="{818D6B8F-31EE-40EF-AAA4-C3FA521B877A}" name="Fecha" dataDxfId="63"/>
    <tableColumn id="3" xr3:uid="{97302DD6-438D-4564-9BC6-1E2D40853740}" name="Observaciones" dataDxfId="6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A41E26-88CF-41CE-9C0F-221EA13AC3AD}" name="BASE_LIMPIA" displayName="BASE_LIMPIA" ref="B6:J938" tableType="queryTable" totalsRowShown="0">
  <autoFilter ref="B6:J938" xr:uid="{0AA41E26-88CF-41CE-9C0F-221EA13AC3AD}"/>
  <tableColumns count="9">
    <tableColumn id="1" xr3:uid="{CD99165C-0E46-4AEA-AF0A-00BC7B47A56A}" uniqueName="1" name="ID Registro" queryTableFieldId="1" dataDxfId="56"/>
    <tableColumn id="2" xr3:uid="{E170F240-727E-4A1D-B09D-D72D6551C6AF}" uniqueName="2" name="Cliente" queryTableFieldId="2" dataDxfId="55"/>
    <tableColumn id="3" xr3:uid="{3421ED74-D23F-4486-AAB9-08B3BE61D54F}" uniqueName="3" name="Producto" queryTableFieldId="3" dataDxfId="54"/>
    <tableColumn id="4" xr3:uid="{0D885E34-210E-4544-953A-3286DE37E514}" uniqueName="4" name="Fecha" queryTableFieldId="4" dataDxfId="53"/>
    <tableColumn id="5" xr3:uid="{8112A529-F4E5-484D-B21D-179B30DCF1EA}" uniqueName="5" name="Estado" queryTableFieldId="5" dataDxfId="52"/>
    <tableColumn id="6" xr3:uid="{CBED00AA-DC24-4B8A-9AD2-79B1C3C1EF38}" uniqueName="6" name="Cantidad" queryTableFieldId="6"/>
    <tableColumn id="7" xr3:uid="{F1FE2368-7A60-4A34-BE17-25D652A01A4D}" uniqueName="7" name="Precio" queryTableFieldId="7" dataDxfId="51"/>
    <tableColumn id="8" xr3:uid="{078D748A-83C2-42EB-92BD-234CA66E9FC9}" uniqueName="8" name="Región" queryTableFieldId="8" dataDxfId="50"/>
    <tableColumn id="9" xr3:uid="{ABD4A04F-595D-4585-858D-A3750B7D464B}" uniqueName="9" name="Total_Final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0887-8846-4934-9878-4F6BB1759B15}">
  <sheetPr codeName="Hoja1"/>
  <dimension ref="B2:H53"/>
  <sheetViews>
    <sheetView zoomScale="55" zoomScaleNormal="55" workbookViewId="0">
      <selection activeCell="J13" sqref="J13"/>
    </sheetView>
  </sheetViews>
  <sheetFormatPr baseColWidth="10" defaultRowHeight="15" x14ac:dyDescent="0.25"/>
  <cols>
    <col min="2" max="2" width="25.5703125" customWidth="1"/>
  </cols>
  <sheetData>
    <row r="2" spans="2:8" x14ac:dyDescent="0.25">
      <c r="B2" s="2" t="s">
        <v>5</v>
      </c>
      <c r="E2" s="2" t="s">
        <v>56</v>
      </c>
      <c r="H2" s="2" t="s">
        <v>1057</v>
      </c>
    </row>
    <row r="4" spans="2:8" x14ac:dyDescent="0.25">
      <c r="B4" s="3" t="s">
        <v>6</v>
      </c>
      <c r="C4" s="22" t="s">
        <v>1003</v>
      </c>
      <c r="E4" t="s">
        <v>57</v>
      </c>
      <c r="H4" t="s">
        <v>84</v>
      </c>
    </row>
    <row r="5" spans="2:8" x14ac:dyDescent="0.25">
      <c r="B5" s="21" t="s">
        <v>7</v>
      </c>
      <c r="C5" s="22" t="s">
        <v>202</v>
      </c>
      <c r="E5" t="s">
        <v>58</v>
      </c>
      <c r="H5" t="s">
        <v>101</v>
      </c>
    </row>
    <row r="6" spans="2:8" x14ac:dyDescent="0.25">
      <c r="B6" s="3" t="s">
        <v>8</v>
      </c>
      <c r="E6" t="s">
        <v>59</v>
      </c>
      <c r="H6" t="s">
        <v>1058</v>
      </c>
    </row>
    <row r="7" spans="2:8" x14ac:dyDescent="0.25">
      <c r="B7" s="3" t="s">
        <v>9</v>
      </c>
      <c r="C7" s="22" t="s">
        <v>202</v>
      </c>
      <c r="E7" t="s">
        <v>60</v>
      </c>
      <c r="H7" t="s">
        <v>76</v>
      </c>
    </row>
    <row r="8" spans="2:8" x14ac:dyDescent="0.25">
      <c r="B8" s="3" t="s">
        <v>10</v>
      </c>
    </row>
    <row r="9" spans="2:8" ht="30" x14ac:dyDescent="0.25">
      <c r="B9" s="3" t="s">
        <v>11</v>
      </c>
      <c r="C9" s="22" t="s">
        <v>1003</v>
      </c>
    </row>
    <row r="10" spans="2:8" ht="30" x14ac:dyDescent="0.25">
      <c r="B10" s="3" t="s">
        <v>12</v>
      </c>
    </row>
    <row r="11" spans="2:8" ht="30" x14ac:dyDescent="0.25">
      <c r="B11" s="3" t="s">
        <v>13</v>
      </c>
      <c r="C11" s="22" t="s">
        <v>202</v>
      </c>
    </row>
    <row r="12" spans="2:8" x14ac:dyDescent="0.25">
      <c r="B12" s="3" t="s">
        <v>14</v>
      </c>
    </row>
    <row r="13" spans="2:8" ht="30" x14ac:dyDescent="0.25">
      <c r="B13" s="3" t="s">
        <v>15</v>
      </c>
      <c r="C13" s="22" t="s">
        <v>202</v>
      </c>
    </row>
    <row r="14" spans="2:8" ht="30" x14ac:dyDescent="0.25">
      <c r="B14" s="3" t="s">
        <v>16</v>
      </c>
    </row>
    <row r="15" spans="2:8" x14ac:dyDescent="0.25">
      <c r="B15" s="3" t="s">
        <v>17</v>
      </c>
      <c r="C15" s="22" t="s">
        <v>1003</v>
      </c>
    </row>
    <row r="16" spans="2:8" x14ac:dyDescent="0.25">
      <c r="B16" s="3" t="s">
        <v>18</v>
      </c>
    </row>
    <row r="17" spans="2:3" x14ac:dyDescent="0.25">
      <c r="B17" s="3" t="s">
        <v>19</v>
      </c>
      <c r="C17" s="22" t="s">
        <v>1003</v>
      </c>
    </row>
    <row r="18" spans="2:3" x14ac:dyDescent="0.25">
      <c r="B18" s="3" t="s">
        <v>20</v>
      </c>
    </row>
    <row r="19" spans="2:3" x14ac:dyDescent="0.25">
      <c r="B19" s="3" t="s">
        <v>21</v>
      </c>
    </row>
    <row r="20" spans="2:3" x14ac:dyDescent="0.25">
      <c r="B20" s="3" t="s">
        <v>22</v>
      </c>
    </row>
    <row r="21" spans="2:3" x14ac:dyDescent="0.25">
      <c r="B21" s="3" t="s">
        <v>23</v>
      </c>
      <c r="C21" s="22" t="s">
        <v>1003</v>
      </c>
    </row>
    <row r="22" spans="2:3" x14ac:dyDescent="0.25">
      <c r="B22" s="3" t="s">
        <v>24</v>
      </c>
    </row>
    <row r="23" spans="2:3" x14ac:dyDescent="0.25">
      <c r="B23" s="3" t="s">
        <v>25</v>
      </c>
    </row>
    <row r="24" spans="2:3" x14ac:dyDescent="0.25">
      <c r="B24" s="3" t="s">
        <v>26</v>
      </c>
    </row>
    <row r="25" spans="2:3" x14ac:dyDescent="0.25">
      <c r="B25" s="3" t="s">
        <v>27</v>
      </c>
      <c r="C25" s="22" t="s">
        <v>1003</v>
      </c>
    </row>
    <row r="26" spans="2:3" x14ac:dyDescent="0.25">
      <c r="B26" s="3" t="s">
        <v>28</v>
      </c>
    </row>
    <row r="27" spans="2:3" x14ac:dyDescent="0.25">
      <c r="B27" s="3" t="s">
        <v>29</v>
      </c>
    </row>
    <row r="28" spans="2:3" x14ac:dyDescent="0.25">
      <c r="B28" s="3" t="s">
        <v>30</v>
      </c>
    </row>
    <row r="29" spans="2:3" x14ac:dyDescent="0.25">
      <c r="B29" s="3" t="s">
        <v>31</v>
      </c>
    </row>
    <row r="30" spans="2:3" ht="30" x14ac:dyDescent="0.25">
      <c r="B30" s="3" t="s">
        <v>32</v>
      </c>
    </row>
    <row r="31" spans="2:3" x14ac:dyDescent="0.25">
      <c r="B31" s="3" t="s">
        <v>33</v>
      </c>
      <c r="C31" s="22" t="s">
        <v>202</v>
      </c>
    </row>
    <row r="32" spans="2:3" x14ac:dyDescent="0.25">
      <c r="B32" s="3" t="s">
        <v>34</v>
      </c>
    </row>
    <row r="33" spans="2:2" x14ac:dyDescent="0.25">
      <c r="B33" s="3" t="s">
        <v>35</v>
      </c>
    </row>
    <row r="34" spans="2:2" ht="30" x14ac:dyDescent="0.25">
      <c r="B34" s="3" t="s">
        <v>36</v>
      </c>
    </row>
    <row r="35" spans="2:2" x14ac:dyDescent="0.25">
      <c r="B35" s="3" t="s">
        <v>37</v>
      </c>
    </row>
    <row r="36" spans="2:2" x14ac:dyDescent="0.25">
      <c r="B36" s="3" t="s">
        <v>38</v>
      </c>
    </row>
    <row r="37" spans="2:2" x14ac:dyDescent="0.25">
      <c r="B37" s="3" t="s">
        <v>39</v>
      </c>
    </row>
    <row r="38" spans="2:2" x14ac:dyDescent="0.25">
      <c r="B38" s="3" t="s">
        <v>40</v>
      </c>
    </row>
    <row r="39" spans="2:2" x14ac:dyDescent="0.25">
      <c r="B39" s="3" t="s">
        <v>41</v>
      </c>
    </row>
    <row r="40" spans="2:2" x14ac:dyDescent="0.25">
      <c r="B40" s="3" t="s">
        <v>42</v>
      </c>
    </row>
    <row r="41" spans="2:2" x14ac:dyDescent="0.25">
      <c r="B41" s="3" t="s">
        <v>43</v>
      </c>
    </row>
    <row r="42" spans="2:2" x14ac:dyDescent="0.25">
      <c r="B42" s="3" t="s">
        <v>44</v>
      </c>
    </row>
    <row r="43" spans="2:2" x14ac:dyDescent="0.25">
      <c r="B43" s="3" t="s">
        <v>45</v>
      </c>
    </row>
    <row r="44" spans="2:2" x14ac:dyDescent="0.25">
      <c r="B44" s="3" t="s">
        <v>46</v>
      </c>
    </row>
    <row r="45" spans="2:2" x14ac:dyDescent="0.25">
      <c r="B45" s="3" t="s">
        <v>47</v>
      </c>
    </row>
    <row r="46" spans="2:2" x14ac:dyDescent="0.25">
      <c r="B46" s="3" t="s">
        <v>48</v>
      </c>
    </row>
    <row r="47" spans="2:2" x14ac:dyDescent="0.25">
      <c r="B47" s="3" t="s">
        <v>49</v>
      </c>
    </row>
    <row r="48" spans="2:2" x14ac:dyDescent="0.25">
      <c r="B48" s="3" t="s">
        <v>50</v>
      </c>
    </row>
    <row r="49" spans="2:2" x14ac:dyDescent="0.25">
      <c r="B49" s="3" t="s">
        <v>51</v>
      </c>
    </row>
    <row r="50" spans="2:2" x14ac:dyDescent="0.25">
      <c r="B50" s="3" t="s">
        <v>52</v>
      </c>
    </row>
    <row r="51" spans="2:2" x14ac:dyDescent="0.25">
      <c r="B51" s="3" t="s">
        <v>53</v>
      </c>
    </row>
    <row r="52" spans="2:2" x14ac:dyDescent="0.25">
      <c r="B52" s="3" t="s">
        <v>54</v>
      </c>
    </row>
    <row r="53" spans="2:2" x14ac:dyDescent="0.25">
      <c r="B53" s="3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4FD22-A184-49FC-8569-DBA94512421C}">
  <sheetPr codeName="Hoja5"/>
  <dimension ref="B4"/>
  <sheetViews>
    <sheetView showGridLines="0" showRowColHeaders="0" tabSelected="1" zoomScale="68" zoomScaleNormal="68" workbookViewId="0">
      <selection activeCell="R10" sqref="R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5" x14ac:dyDescent="0.25"/>
  <sheetData>
    <row r="4" spans="2:2" x14ac:dyDescent="0.25">
      <c r="B4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EC49F-1960-4D28-AD81-7F257C57114C}">
  <sheetPr codeName="Hoja2"/>
  <dimension ref="C10:J31"/>
  <sheetViews>
    <sheetView showGridLines="0" showRowColHeaders="0" showRuler="0" zoomScale="71" zoomScaleNormal="71" workbookViewId="0">
      <selection activeCell="M32" sqref="M3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5" x14ac:dyDescent="0.25"/>
  <cols>
    <col min="5" max="5" width="13.42578125" customWidth="1"/>
  </cols>
  <sheetData>
    <row r="10" spans="3:10" ht="18.75" x14ac:dyDescent="0.3">
      <c r="C10" s="6" t="s">
        <v>0</v>
      </c>
      <c r="J10" s="5" t="s">
        <v>63</v>
      </c>
    </row>
    <row r="14" spans="3:10" ht="18.75" x14ac:dyDescent="0.3">
      <c r="C14" s="6" t="s">
        <v>1</v>
      </c>
    </row>
    <row r="17" spans="3:5" ht="18.75" x14ac:dyDescent="0.3">
      <c r="C17" s="6" t="s">
        <v>2</v>
      </c>
    </row>
    <row r="20" spans="3:5" ht="18.75" x14ac:dyDescent="0.3">
      <c r="C20" s="6" t="s">
        <v>3</v>
      </c>
      <c r="E20" s="7"/>
    </row>
    <row r="23" spans="3:5" ht="18.75" x14ac:dyDescent="0.3">
      <c r="C23" s="6" t="s">
        <v>4</v>
      </c>
    </row>
    <row r="25" spans="3:5" x14ac:dyDescent="0.25">
      <c r="E25" s="8"/>
    </row>
    <row r="26" spans="3:5" ht="18.75" x14ac:dyDescent="0.3">
      <c r="C26" s="6" t="s">
        <v>61</v>
      </c>
    </row>
    <row r="28" spans="3:5" ht="18.75" x14ac:dyDescent="0.3">
      <c r="C28" s="6" t="s">
        <v>64</v>
      </c>
      <c r="E28" s="9"/>
    </row>
    <row r="30" spans="3:5" ht="15.75" x14ac:dyDescent="0.25">
      <c r="C30" s="1"/>
    </row>
    <row r="31" spans="3:5" ht="18.75" x14ac:dyDescent="0.3">
      <c r="C31" s="6" t="s">
        <v>62</v>
      </c>
    </row>
  </sheetData>
  <dataValidations count="1">
    <dataValidation type="whole" allowBlank="1" showInputMessage="1" showErrorMessage="1" sqref="E25" xr:uid="{A2E3F23E-6E36-4154-8345-F6EC6CD2B1C9}">
      <formula1>1</formula1>
      <formula2>100</formula2>
    </dataValidation>
  </dataValidation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B3845B-46AE-48F9-A0C1-C3C5822D2670}">
          <x14:formula1>
            <xm:f>VALIDACION!$B$3:$B$53</xm:f>
          </x14:formula1>
          <xm:sqref>E17</xm:sqref>
        </x14:dataValidation>
        <x14:dataValidation type="list" allowBlank="1" showInputMessage="1" showErrorMessage="1" xr:uid="{AB7178BB-4AF7-4F7D-A245-DCFE5321CF29}">
          <x14:formula1>
            <xm:f>VALIDACION!$E$3:$E$7</xm:f>
          </x14:formula1>
          <xm:sqref>E23</xm:sqref>
        </x14:dataValidation>
        <x14:dataValidation type="list" allowBlank="1" showInputMessage="1" showErrorMessage="1" xr:uid="{8D1239C4-01BB-4AFB-8940-F1346CAA1261}">
          <x14:formula1>
            <xm:f>VALIDACION!$H$3:$H$7</xm:f>
          </x14:formula1>
          <xm:sqref>E31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30F1-DC2F-4FF7-8609-8C0B191C04A1}">
  <sheetPr codeName="Hoja8"/>
  <dimension ref="B6:I907"/>
  <sheetViews>
    <sheetView showGridLines="0" zoomScale="69" zoomScaleNormal="69" workbookViewId="0">
      <selection activeCell="J28" sqref="J28"/>
    </sheetView>
  </sheetViews>
  <sheetFormatPr baseColWidth="10" defaultRowHeight="15" x14ac:dyDescent="0.25"/>
  <cols>
    <col min="2" max="2" width="15.28515625" customWidth="1"/>
    <col min="3" max="3" width="33.85546875" customWidth="1"/>
    <col min="4" max="4" width="28.85546875" customWidth="1"/>
    <col min="5" max="5" width="25.85546875" customWidth="1"/>
    <col min="6" max="6" width="23" customWidth="1"/>
    <col min="7" max="7" width="13.28515625" customWidth="1"/>
    <col min="8" max="9" width="26.5703125" customWidth="1"/>
  </cols>
  <sheetData>
    <row r="6" spans="2:9" ht="18.75" x14ac:dyDescent="0.3">
      <c r="B6" s="4" t="s">
        <v>0</v>
      </c>
      <c r="C6" s="4" t="s">
        <v>1</v>
      </c>
      <c r="D6" s="4" t="s">
        <v>2</v>
      </c>
      <c r="E6" s="4" t="s">
        <v>3</v>
      </c>
      <c r="F6" s="4" t="s">
        <v>4</v>
      </c>
      <c r="G6" s="4" t="s">
        <v>61</v>
      </c>
      <c r="H6" s="4" t="s">
        <v>64</v>
      </c>
      <c r="I6" s="4" t="s">
        <v>62</v>
      </c>
    </row>
    <row r="7" spans="2:9" x14ac:dyDescent="0.25">
      <c r="B7" t="s">
        <v>102</v>
      </c>
      <c r="C7" t="s">
        <v>95</v>
      </c>
      <c r="D7" t="s">
        <v>80</v>
      </c>
      <c r="E7" s="7">
        <v>45704</v>
      </c>
      <c r="F7" t="s">
        <v>60</v>
      </c>
      <c r="G7">
        <v>4</v>
      </c>
      <c r="H7">
        <v>3479</v>
      </c>
      <c r="I7" t="s">
        <v>76</v>
      </c>
    </row>
    <row r="8" spans="2:9" x14ac:dyDescent="0.25">
      <c r="B8" t="s">
        <v>103</v>
      </c>
      <c r="C8" t="s">
        <v>91</v>
      </c>
      <c r="D8" t="s">
        <v>88</v>
      </c>
      <c r="E8" s="7">
        <v>45725</v>
      </c>
      <c r="F8" t="s">
        <v>60</v>
      </c>
      <c r="G8">
        <v>9</v>
      </c>
      <c r="H8">
        <v>194</v>
      </c>
      <c r="I8" t="s">
        <v>76</v>
      </c>
    </row>
    <row r="9" spans="2:9" x14ac:dyDescent="0.25">
      <c r="B9" t="s">
        <v>104</v>
      </c>
      <c r="C9" t="s">
        <v>89</v>
      </c>
      <c r="D9" t="s">
        <v>80</v>
      </c>
      <c r="E9" s="7">
        <v>45880</v>
      </c>
      <c r="F9" t="s">
        <v>60</v>
      </c>
      <c r="G9">
        <v>10</v>
      </c>
      <c r="H9">
        <v>3876</v>
      </c>
      <c r="I9" t="s">
        <v>81</v>
      </c>
    </row>
    <row r="10" spans="2:9" x14ac:dyDescent="0.25">
      <c r="B10" t="s">
        <v>105</v>
      </c>
      <c r="C10" t="s">
        <v>91</v>
      </c>
      <c r="D10" t="s">
        <v>83</v>
      </c>
      <c r="E10" s="7">
        <v>45680</v>
      </c>
      <c r="F10" t="s">
        <v>57</v>
      </c>
      <c r="G10">
        <v>8</v>
      </c>
      <c r="H10">
        <v>954</v>
      </c>
      <c r="I10" t="s">
        <v>81</v>
      </c>
    </row>
    <row r="11" spans="2:9" x14ac:dyDescent="0.25">
      <c r="B11" t="s">
        <v>106</v>
      </c>
      <c r="C11" t="s">
        <v>89</v>
      </c>
      <c r="D11" t="s">
        <v>83</v>
      </c>
      <c r="E11" s="7">
        <v>45992</v>
      </c>
      <c r="F11" t="s">
        <v>57</v>
      </c>
      <c r="G11">
        <v>4</v>
      </c>
      <c r="H11">
        <v>1599</v>
      </c>
      <c r="I11" t="s">
        <v>81</v>
      </c>
    </row>
    <row r="12" spans="2:9" x14ac:dyDescent="0.25">
      <c r="B12" t="s">
        <v>107</v>
      </c>
      <c r="C12" t="s">
        <v>86</v>
      </c>
      <c r="D12" t="s">
        <v>78</v>
      </c>
      <c r="E12" s="7">
        <v>45914</v>
      </c>
      <c r="F12" t="s">
        <v>60</v>
      </c>
      <c r="G12">
        <v>6</v>
      </c>
      <c r="H12">
        <v>2359</v>
      </c>
      <c r="I12" t="s">
        <v>81</v>
      </c>
    </row>
    <row r="13" spans="2:9" x14ac:dyDescent="0.25">
      <c r="B13" t="s">
        <v>108</v>
      </c>
      <c r="C13" t="s">
        <v>87</v>
      </c>
      <c r="D13" t="s">
        <v>80</v>
      </c>
      <c r="E13" s="7">
        <v>45659</v>
      </c>
      <c r="F13" t="s">
        <v>57</v>
      </c>
      <c r="G13">
        <v>2</v>
      </c>
      <c r="H13">
        <v>3596</v>
      </c>
      <c r="I13" t="s">
        <v>81</v>
      </c>
    </row>
    <row r="14" spans="2:9" x14ac:dyDescent="0.25">
      <c r="B14" t="s">
        <v>109</v>
      </c>
      <c r="C14" t="s">
        <v>91</v>
      </c>
      <c r="D14" t="s">
        <v>75</v>
      </c>
      <c r="E14" s="7">
        <v>45672</v>
      </c>
      <c r="F14" t="s">
        <v>57</v>
      </c>
      <c r="G14">
        <v>5</v>
      </c>
      <c r="H14">
        <v>2015</v>
      </c>
      <c r="I14" t="s">
        <v>76</v>
      </c>
    </row>
    <row r="15" spans="2:9" x14ac:dyDescent="0.25">
      <c r="B15" t="s">
        <v>110</v>
      </c>
      <c r="C15" t="s">
        <v>89</v>
      </c>
      <c r="D15" t="s">
        <v>75</v>
      </c>
      <c r="E15" s="7">
        <v>45997</v>
      </c>
      <c r="F15" t="s">
        <v>57</v>
      </c>
      <c r="G15">
        <v>10</v>
      </c>
      <c r="H15">
        <v>3115</v>
      </c>
      <c r="I15" t="s">
        <v>84</v>
      </c>
    </row>
    <row r="16" spans="2:9" x14ac:dyDescent="0.25">
      <c r="B16" t="s">
        <v>111</v>
      </c>
      <c r="C16" t="s">
        <v>90</v>
      </c>
      <c r="D16" t="s">
        <v>78</v>
      </c>
      <c r="E16" s="7">
        <v>45755</v>
      </c>
      <c r="F16" t="s">
        <v>57</v>
      </c>
      <c r="G16">
        <v>8</v>
      </c>
      <c r="H16">
        <v>3756</v>
      </c>
      <c r="I16" t="s">
        <v>76</v>
      </c>
    </row>
    <row r="17" spans="2:9" x14ac:dyDescent="0.25">
      <c r="B17" t="s">
        <v>112</v>
      </c>
      <c r="C17" t="s">
        <v>100</v>
      </c>
      <c r="D17" t="s">
        <v>88</v>
      </c>
      <c r="E17" s="7">
        <v>45669</v>
      </c>
      <c r="F17" t="s">
        <v>57</v>
      </c>
      <c r="G17">
        <v>10</v>
      </c>
      <c r="H17">
        <v>4612</v>
      </c>
      <c r="I17" t="s">
        <v>81</v>
      </c>
    </row>
    <row r="18" spans="2:9" x14ac:dyDescent="0.25">
      <c r="B18" t="s">
        <v>113</v>
      </c>
      <c r="C18" t="s">
        <v>79</v>
      </c>
      <c r="D18" t="s">
        <v>88</v>
      </c>
      <c r="E18" s="7">
        <v>45666</v>
      </c>
      <c r="F18" t="s">
        <v>57</v>
      </c>
      <c r="G18">
        <v>3</v>
      </c>
      <c r="H18">
        <v>2698</v>
      </c>
      <c r="I18" t="s">
        <v>76</v>
      </c>
    </row>
    <row r="19" spans="2:9" x14ac:dyDescent="0.25">
      <c r="B19" t="s">
        <v>114</v>
      </c>
      <c r="C19" t="s">
        <v>96</v>
      </c>
      <c r="D19" t="s">
        <v>75</v>
      </c>
      <c r="E19" s="7">
        <v>45931</v>
      </c>
      <c r="F19" t="s">
        <v>60</v>
      </c>
      <c r="G19">
        <v>4</v>
      </c>
      <c r="H19">
        <v>3825</v>
      </c>
      <c r="I19" t="s">
        <v>76</v>
      </c>
    </row>
    <row r="20" spans="2:9" x14ac:dyDescent="0.25">
      <c r="B20" t="s">
        <v>115</v>
      </c>
      <c r="C20" t="s">
        <v>79</v>
      </c>
      <c r="D20" t="s">
        <v>75</v>
      </c>
      <c r="E20" s="7">
        <v>45978</v>
      </c>
      <c r="F20" t="s">
        <v>57</v>
      </c>
      <c r="G20">
        <v>8</v>
      </c>
      <c r="H20">
        <v>183</v>
      </c>
      <c r="I20" t="s">
        <v>81</v>
      </c>
    </row>
    <row r="21" spans="2:9" x14ac:dyDescent="0.25">
      <c r="B21" t="s">
        <v>116</v>
      </c>
      <c r="C21" t="s">
        <v>89</v>
      </c>
      <c r="D21" t="s">
        <v>78</v>
      </c>
      <c r="E21" s="7">
        <v>45731</v>
      </c>
      <c r="F21" t="s">
        <v>57</v>
      </c>
      <c r="G21">
        <v>8</v>
      </c>
      <c r="H21">
        <v>2720</v>
      </c>
      <c r="I21" t="s">
        <v>76</v>
      </c>
    </row>
    <row r="22" spans="2:9" x14ac:dyDescent="0.25">
      <c r="B22" t="s">
        <v>117</v>
      </c>
      <c r="C22" t="s">
        <v>86</v>
      </c>
      <c r="D22" t="s">
        <v>78</v>
      </c>
      <c r="E22" s="7">
        <v>45936</v>
      </c>
      <c r="F22" t="s">
        <v>57</v>
      </c>
      <c r="G22">
        <v>5</v>
      </c>
      <c r="H22">
        <v>3781</v>
      </c>
      <c r="I22" t="s">
        <v>76</v>
      </c>
    </row>
    <row r="23" spans="2:9" x14ac:dyDescent="0.25">
      <c r="B23" t="s">
        <v>118</v>
      </c>
      <c r="C23" t="s">
        <v>79</v>
      </c>
      <c r="D23" t="s">
        <v>78</v>
      </c>
      <c r="E23" s="7">
        <v>45733</v>
      </c>
      <c r="F23" t="s">
        <v>60</v>
      </c>
      <c r="G23">
        <v>9</v>
      </c>
      <c r="H23">
        <v>4507</v>
      </c>
      <c r="I23" t="s">
        <v>81</v>
      </c>
    </row>
    <row r="24" spans="2:9" x14ac:dyDescent="0.25">
      <c r="B24" t="s">
        <v>119</v>
      </c>
      <c r="C24" t="s">
        <v>96</v>
      </c>
      <c r="D24" t="s">
        <v>75</v>
      </c>
      <c r="E24" s="7">
        <v>46007</v>
      </c>
      <c r="F24" t="s">
        <v>60</v>
      </c>
      <c r="G24">
        <v>8</v>
      </c>
      <c r="H24">
        <v>2381</v>
      </c>
      <c r="I24" t="s">
        <v>76</v>
      </c>
    </row>
    <row r="25" spans="2:9" x14ac:dyDescent="0.25">
      <c r="B25" t="s">
        <v>120</v>
      </c>
      <c r="C25" t="s">
        <v>95</v>
      </c>
      <c r="D25" t="s">
        <v>78</v>
      </c>
      <c r="E25" s="7">
        <v>45726</v>
      </c>
      <c r="F25" t="s">
        <v>60</v>
      </c>
      <c r="G25">
        <v>8</v>
      </c>
      <c r="H25">
        <v>3680</v>
      </c>
      <c r="I25" t="s">
        <v>81</v>
      </c>
    </row>
    <row r="26" spans="2:9" x14ac:dyDescent="0.25">
      <c r="B26" t="s">
        <v>121</v>
      </c>
      <c r="C26" t="s">
        <v>97</v>
      </c>
      <c r="D26" t="s">
        <v>83</v>
      </c>
      <c r="E26" s="7">
        <v>45968</v>
      </c>
      <c r="F26" t="s">
        <v>57</v>
      </c>
      <c r="G26">
        <v>3</v>
      </c>
      <c r="H26">
        <v>1061</v>
      </c>
      <c r="I26" t="s">
        <v>81</v>
      </c>
    </row>
    <row r="27" spans="2:9" x14ac:dyDescent="0.25">
      <c r="B27" t="s">
        <v>122</v>
      </c>
      <c r="C27" t="s">
        <v>98</v>
      </c>
      <c r="D27" t="s">
        <v>78</v>
      </c>
      <c r="E27" s="7">
        <v>45927</v>
      </c>
      <c r="F27" t="s">
        <v>60</v>
      </c>
      <c r="G27">
        <v>8</v>
      </c>
      <c r="H27">
        <v>958</v>
      </c>
      <c r="I27" t="s">
        <v>84</v>
      </c>
    </row>
    <row r="28" spans="2:9" x14ac:dyDescent="0.25">
      <c r="B28" t="s">
        <v>123</v>
      </c>
      <c r="C28" t="s">
        <v>97</v>
      </c>
      <c r="D28" t="s">
        <v>78</v>
      </c>
      <c r="E28" s="7">
        <v>45752</v>
      </c>
      <c r="F28" t="s">
        <v>57</v>
      </c>
      <c r="G28">
        <v>1</v>
      </c>
      <c r="H28">
        <v>1165</v>
      </c>
      <c r="I28" t="s">
        <v>76</v>
      </c>
    </row>
    <row r="29" spans="2:9" x14ac:dyDescent="0.25">
      <c r="B29" t="s">
        <v>124</v>
      </c>
      <c r="C29" t="s">
        <v>89</v>
      </c>
      <c r="D29" t="s">
        <v>88</v>
      </c>
      <c r="E29" s="7">
        <v>45927</v>
      </c>
      <c r="F29" t="s">
        <v>60</v>
      </c>
      <c r="G29">
        <v>3</v>
      </c>
      <c r="H29">
        <v>3288</v>
      </c>
      <c r="I29" t="s">
        <v>81</v>
      </c>
    </row>
    <row r="30" spans="2:9" x14ac:dyDescent="0.25">
      <c r="B30" t="s">
        <v>125</v>
      </c>
      <c r="C30" t="s">
        <v>90</v>
      </c>
      <c r="D30" t="s">
        <v>83</v>
      </c>
      <c r="E30" s="7">
        <v>45669</v>
      </c>
      <c r="F30" t="s">
        <v>60</v>
      </c>
      <c r="G30">
        <v>1</v>
      </c>
      <c r="H30">
        <v>298</v>
      </c>
      <c r="I30" t="s">
        <v>84</v>
      </c>
    </row>
    <row r="31" spans="2:9" x14ac:dyDescent="0.25">
      <c r="B31" t="s">
        <v>126</v>
      </c>
      <c r="C31" t="s">
        <v>77</v>
      </c>
      <c r="D31" t="s">
        <v>75</v>
      </c>
      <c r="E31" s="7">
        <v>45660</v>
      </c>
      <c r="F31" t="s">
        <v>57</v>
      </c>
      <c r="G31">
        <v>3</v>
      </c>
      <c r="H31">
        <v>3919</v>
      </c>
      <c r="I31" t="s">
        <v>84</v>
      </c>
    </row>
    <row r="32" spans="2:9" x14ac:dyDescent="0.25">
      <c r="B32" t="s">
        <v>127</v>
      </c>
      <c r="C32" t="s">
        <v>87</v>
      </c>
      <c r="D32" t="s">
        <v>75</v>
      </c>
      <c r="E32" s="7">
        <v>45820</v>
      </c>
      <c r="F32" t="s">
        <v>57</v>
      </c>
      <c r="G32">
        <v>10</v>
      </c>
      <c r="H32">
        <v>2294</v>
      </c>
      <c r="I32" t="s">
        <v>84</v>
      </c>
    </row>
    <row r="33" spans="2:9" x14ac:dyDescent="0.25">
      <c r="B33" t="s">
        <v>128</v>
      </c>
      <c r="C33" t="s">
        <v>95</v>
      </c>
      <c r="D33" t="s">
        <v>80</v>
      </c>
      <c r="E33" s="7">
        <v>45758</v>
      </c>
      <c r="F33" t="s">
        <v>57</v>
      </c>
      <c r="G33">
        <v>6</v>
      </c>
      <c r="H33">
        <v>2324</v>
      </c>
      <c r="I33" t="s">
        <v>76</v>
      </c>
    </row>
    <row r="34" spans="2:9" x14ac:dyDescent="0.25">
      <c r="B34" t="s">
        <v>129</v>
      </c>
      <c r="C34" t="s">
        <v>97</v>
      </c>
      <c r="D34" t="s">
        <v>83</v>
      </c>
      <c r="E34" s="7">
        <v>45984</v>
      </c>
      <c r="F34" t="s">
        <v>57</v>
      </c>
      <c r="G34">
        <v>2</v>
      </c>
      <c r="H34">
        <v>2270</v>
      </c>
      <c r="I34" t="s">
        <v>84</v>
      </c>
    </row>
    <row r="35" spans="2:9" x14ac:dyDescent="0.25">
      <c r="B35" t="s">
        <v>130</v>
      </c>
      <c r="C35" t="s">
        <v>85</v>
      </c>
      <c r="D35" t="s">
        <v>75</v>
      </c>
      <c r="E35" s="7">
        <v>45963</v>
      </c>
      <c r="F35" t="s">
        <v>60</v>
      </c>
      <c r="G35">
        <v>7</v>
      </c>
      <c r="H35">
        <v>4206</v>
      </c>
      <c r="I35" t="s">
        <v>76</v>
      </c>
    </row>
    <row r="36" spans="2:9" x14ac:dyDescent="0.25">
      <c r="B36" t="s">
        <v>131</v>
      </c>
      <c r="C36" t="s">
        <v>85</v>
      </c>
      <c r="D36" t="s">
        <v>80</v>
      </c>
      <c r="E36" s="7">
        <v>45700</v>
      </c>
      <c r="F36" t="s">
        <v>57</v>
      </c>
      <c r="G36">
        <v>7</v>
      </c>
      <c r="H36">
        <v>1567</v>
      </c>
      <c r="I36" t="s">
        <v>84</v>
      </c>
    </row>
    <row r="37" spans="2:9" x14ac:dyDescent="0.25">
      <c r="B37" t="s">
        <v>132</v>
      </c>
      <c r="C37" t="s">
        <v>79</v>
      </c>
      <c r="D37" t="s">
        <v>83</v>
      </c>
      <c r="E37" s="7">
        <v>45918</v>
      </c>
      <c r="F37" t="s">
        <v>60</v>
      </c>
      <c r="G37">
        <v>10</v>
      </c>
      <c r="H37">
        <v>1566</v>
      </c>
      <c r="I37" t="s">
        <v>81</v>
      </c>
    </row>
    <row r="38" spans="2:9" x14ac:dyDescent="0.25">
      <c r="B38" t="s">
        <v>133</v>
      </c>
      <c r="C38" t="s">
        <v>94</v>
      </c>
      <c r="D38" t="s">
        <v>75</v>
      </c>
      <c r="E38" s="7">
        <v>45669</v>
      </c>
      <c r="F38" t="s">
        <v>60</v>
      </c>
      <c r="G38">
        <v>8</v>
      </c>
      <c r="H38">
        <v>2774</v>
      </c>
      <c r="I38" t="s">
        <v>81</v>
      </c>
    </row>
    <row r="39" spans="2:9" x14ac:dyDescent="0.25">
      <c r="B39" t="s">
        <v>134</v>
      </c>
      <c r="C39" t="s">
        <v>85</v>
      </c>
      <c r="D39" t="s">
        <v>75</v>
      </c>
      <c r="E39" s="7">
        <v>45986</v>
      </c>
      <c r="F39" t="s">
        <v>57</v>
      </c>
      <c r="G39">
        <v>3</v>
      </c>
      <c r="H39">
        <v>2596</v>
      </c>
      <c r="I39" t="s">
        <v>84</v>
      </c>
    </row>
    <row r="40" spans="2:9" x14ac:dyDescent="0.25">
      <c r="B40" t="s">
        <v>135</v>
      </c>
      <c r="C40" t="s">
        <v>92</v>
      </c>
      <c r="D40" t="s">
        <v>78</v>
      </c>
      <c r="E40" s="7">
        <v>45995</v>
      </c>
      <c r="F40" t="s">
        <v>57</v>
      </c>
      <c r="G40">
        <v>7</v>
      </c>
      <c r="H40">
        <v>4742</v>
      </c>
      <c r="I40" t="s">
        <v>84</v>
      </c>
    </row>
    <row r="41" spans="2:9" x14ac:dyDescent="0.25">
      <c r="B41" t="s">
        <v>136</v>
      </c>
      <c r="C41" t="s">
        <v>89</v>
      </c>
      <c r="D41" t="s">
        <v>80</v>
      </c>
      <c r="E41" s="7">
        <v>45891</v>
      </c>
      <c r="F41" t="s">
        <v>57</v>
      </c>
      <c r="G41">
        <v>7</v>
      </c>
      <c r="H41">
        <v>1791</v>
      </c>
      <c r="I41" t="s">
        <v>81</v>
      </c>
    </row>
    <row r="42" spans="2:9" x14ac:dyDescent="0.25">
      <c r="B42" t="s">
        <v>137</v>
      </c>
      <c r="C42" t="s">
        <v>93</v>
      </c>
      <c r="D42" t="s">
        <v>75</v>
      </c>
      <c r="E42" s="7">
        <v>45724</v>
      </c>
      <c r="F42" t="s">
        <v>57</v>
      </c>
      <c r="G42">
        <v>1</v>
      </c>
      <c r="H42">
        <v>2588</v>
      </c>
      <c r="I42" t="s">
        <v>76</v>
      </c>
    </row>
    <row r="43" spans="2:9" x14ac:dyDescent="0.25">
      <c r="B43" t="s">
        <v>138</v>
      </c>
      <c r="C43" t="s">
        <v>87</v>
      </c>
      <c r="D43" t="s">
        <v>88</v>
      </c>
      <c r="E43" s="7">
        <v>45886</v>
      </c>
      <c r="F43" t="s">
        <v>57</v>
      </c>
      <c r="G43">
        <v>5</v>
      </c>
      <c r="H43">
        <v>4851</v>
      </c>
      <c r="I43" t="s">
        <v>84</v>
      </c>
    </row>
    <row r="44" spans="2:9" x14ac:dyDescent="0.25">
      <c r="B44" t="s">
        <v>139</v>
      </c>
      <c r="C44" t="s">
        <v>98</v>
      </c>
      <c r="D44" t="s">
        <v>88</v>
      </c>
      <c r="E44" s="7">
        <v>45887</v>
      </c>
      <c r="F44" t="s">
        <v>60</v>
      </c>
      <c r="G44">
        <v>10</v>
      </c>
      <c r="H44">
        <v>2636</v>
      </c>
      <c r="I44" t="s">
        <v>81</v>
      </c>
    </row>
    <row r="45" spans="2:9" x14ac:dyDescent="0.25">
      <c r="B45" t="s">
        <v>140</v>
      </c>
      <c r="C45" t="s">
        <v>74</v>
      </c>
      <c r="D45" t="s">
        <v>80</v>
      </c>
      <c r="E45" s="7">
        <v>45892</v>
      </c>
      <c r="F45" t="s">
        <v>60</v>
      </c>
      <c r="G45">
        <v>1</v>
      </c>
      <c r="H45">
        <v>3778</v>
      </c>
      <c r="I45" t="s">
        <v>76</v>
      </c>
    </row>
    <row r="46" spans="2:9" x14ac:dyDescent="0.25">
      <c r="B46" t="s">
        <v>141</v>
      </c>
      <c r="C46" t="s">
        <v>99</v>
      </c>
      <c r="D46" t="s">
        <v>75</v>
      </c>
      <c r="E46" s="7">
        <v>45669</v>
      </c>
      <c r="F46" t="s">
        <v>60</v>
      </c>
      <c r="G46">
        <v>5</v>
      </c>
      <c r="H46">
        <v>2492</v>
      </c>
      <c r="I46" t="s">
        <v>76</v>
      </c>
    </row>
    <row r="47" spans="2:9" x14ac:dyDescent="0.25">
      <c r="B47" t="s">
        <v>142</v>
      </c>
      <c r="C47" t="s">
        <v>100</v>
      </c>
      <c r="D47" t="s">
        <v>78</v>
      </c>
      <c r="E47" s="7">
        <v>45936</v>
      </c>
      <c r="F47" t="s">
        <v>57</v>
      </c>
      <c r="G47">
        <v>4</v>
      </c>
      <c r="H47">
        <v>1785</v>
      </c>
      <c r="I47" t="s">
        <v>76</v>
      </c>
    </row>
    <row r="48" spans="2:9" x14ac:dyDescent="0.25">
      <c r="B48" t="s">
        <v>143</v>
      </c>
      <c r="C48" t="s">
        <v>94</v>
      </c>
      <c r="D48" t="s">
        <v>75</v>
      </c>
      <c r="E48" s="7">
        <v>45957</v>
      </c>
      <c r="F48" t="s">
        <v>57</v>
      </c>
      <c r="G48">
        <v>1</v>
      </c>
      <c r="H48">
        <v>1008</v>
      </c>
      <c r="I48" t="s">
        <v>76</v>
      </c>
    </row>
    <row r="49" spans="2:9" x14ac:dyDescent="0.25">
      <c r="B49" t="s">
        <v>144</v>
      </c>
      <c r="C49" t="s">
        <v>85</v>
      </c>
      <c r="D49" t="s">
        <v>83</v>
      </c>
      <c r="E49" s="7">
        <v>45799</v>
      </c>
      <c r="F49" t="s">
        <v>60</v>
      </c>
      <c r="G49">
        <v>4</v>
      </c>
      <c r="H49">
        <v>3325</v>
      </c>
      <c r="I49" t="s">
        <v>84</v>
      </c>
    </row>
    <row r="50" spans="2:9" x14ac:dyDescent="0.25">
      <c r="B50" t="s">
        <v>145</v>
      </c>
      <c r="C50" t="s">
        <v>95</v>
      </c>
      <c r="D50" t="s">
        <v>75</v>
      </c>
      <c r="E50" s="7">
        <v>45741</v>
      </c>
      <c r="F50" t="s">
        <v>60</v>
      </c>
      <c r="G50">
        <v>3</v>
      </c>
      <c r="H50">
        <v>3262</v>
      </c>
      <c r="I50" t="s">
        <v>76</v>
      </c>
    </row>
    <row r="51" spans="2:9" x14ac:dyDescent="0.25">
      <c r="B51" t="s">
        <v>146</v>
      </c>
      <c r="C51" t="s">
        <v>100</v>
      </c>
      <c r="D51" t="s">
        <v>80</v>
      </c>
      <c r="E51" s="7">
        <v>45679</v>
      </c>
      <c r="F51" t="s">
        <v>60</v>
      </c>
      <c r="G51">
        <v>3</v>
      </c>
      <c r="H51">
        <v>4139</v>
      </c>
      <c r="I51" t="s">
        <v>81</v>
      </c>
    </row>
    <row r="52" spans="2:9" x14ac:dyDescent="0.25">
      <c r="B52" t="s">
        <v>147</v>
      </c>
      <c r="C52" t="s">
        <v>77</v>
      </c>
      <c r="D52" t="s">
        <v>88</v>
      </c>
      <c r="E52" s="7">
        <v>45659</v>
      </c>
      <c r="F52" t="s">
        <v>57</v>
      </c>
      <c r="G52">
        <v>2</v>
      </c>
      <c r="H52">
        <v>636</v>
      </c>
      <c r="I52" t="s">
        <v>81</v>
      </c>
    </row>
    <row r="53" spans="2:9" x14ac:dyDescent="0.25">
      <c r="B53" t="s">
        <v>148</v>
      </c>
      <c r="C53" t="s">
        <v>100</v>
      </c>
      <c r="D53" t="s">
        <v>78</v>
      </c>
      <c r="E53" s="7">
        <v>45889</v>
      </c>
      <c r="F53" t="s">
        <v>60</v>
      </c>
      <c r="G53">
        <v>8</v>
      </c>
      <c r="H53">
        <v>1209</v>
      </c>
      <c r="I53" t="s">
        <v>81</v>
      </c>
    </row>
    <row r="54" spans="2:9" x14ac:dyDescent="0.25">
      <c r="B54" t="s">
        <v>149</v>
      </c>
      <c r="C54" t="s">
        <v>89</v>
      </c>
      <c r="D54" t="s">
        <v>75</v>
      </c>
      <c r="E54" s="7">
        <v>45766</v>
      </c>
      <c r="F54" t="s">
        <v>57</v>
      </c>
      <c r="G54">
        <v>8</v>
      </c>
      <c r="H54">
        <v>697</v>
      </c>
      <c r="I54" t="s">
        <v>84</v>
      </c>
    </row>
    <row r="55" spans="2:9" x14ac:dyDescent="0.25">
      <c r="B55" t="s">
        <v>150</v>
      </c>
      <c r="C55" t="s">
        <v>91</v>
      </c>
      <c r="D55" t="s">
        <v>75</v>
      </c>
      <c r="E55" s="7">
        <v>45698</v>
      </c>
      <c r="F55" t="s">
        <v>57</v>
      </c>
      <c r="G55">
        <v>6</v>
      </c>
      <c r="H55">
        <v>2729</v>
      </c>
      <c r="I55" t="s">
        <v>81</v>
      </c>
    </row>
    <row r="56" spans="2:9" x14ac:dyDescent="0.25">
      <c r="B56" t="s">
        <v>151</v>
      </c>
      <c r="C56" t="s">
        <v>90</v>
      </c>
      <c r="D56" t="s">
        <v>83</v>
      </c>
      <c r="E56" s="7">
        <v>45690</v>
      </c>
      <c r="F56" t="s">
        <v>57</v>
      </c>
      <c r="G56">
        <v>5</v>
      </c>
      <c r="H56">
        <v>2298</v>
      </c>
      <c r="I56" t="s">
        <v>84</v>
      </c>
    </row>
    <row r="57" spans="2:9" x14ac:dyDescent="0.25">
      <c r="B57" t="s">
        <v>152</v>
      </c>
      <c r="C57" t="s">
        <v>89</v>
      </c>
      <c r="D57" t="s">
        <v>78</v>
      </c>
      <c r="E57" s="7">
        <v>45980</v>
      </c>
      <c r="F57" t="s">
        <v>57</v>
      </c>
      <c r="G57">
        <v>8</v>
      </c>
      <c r="H57">
        <v>3191</v>
      </c>
      <c r="I57" t="s">
        <v>81</v>
      </c>
    </row>
    <row r="58" spans="2:9" x14ac:dyDescent="0.25">
      <c r="B58" t="s">
        <v>153</v>
      </c>
      <c r="C58" t="s">
        <v>98</v>
      </c>
      <c r="D58" t="s">
        <v>80</v>
      </c>
      <c r="E58" s="7">
        <v>45682</v>
      </c>
      <c r="F58" t="s">
        <v>57</v>
      </c>
      <c r="G58">
        <v>1</v>
      </c>
      <c r="H58">
        <v>555</v>
      </c>
      <c r="I58" t="s">
        <v>76</v>
      </c>
    </row>
    <row r="59" spans="2:9" x14ac:dyDescent="0.25">
      <c r="B59" t="s">
        <v>154</v>
      </c>
      <c r="C59" t="s">
        <v>90</v>
      </c>
      <c r="D59" t="s">
        <v>75</v>
      </c>
      <c r="E59" s="7">
        <v>45864</v>
      </c>
      <c r="F59" t="s">
        <v>60</v>
      </c>
      <c r="G59">
        <v>5</v>
      </c>
      <c r="H59">
        <v>3315</v>
      </c>
      <c r="I59" t="s">
        <v>81</v>
      </c>
    </row>
    <row r="60" spans="2:9" x14ac:dyDescent="0.25">
      <c r="B60" t="s">
        <v>155</v>
      </c>
      <c r="C60" t="s">
        <v>87</v>
      </c>
      <c r="D60" t="s">
        <v>75</v>
      </c>
      <c r="E60" s="7">
        <v>45896</v>
      </c>
      <c r="F60" t="s">
        <v>57</v>
      </c>
      <c r="G60">
        <v>5</v>
      </c>
      <c r="H60">
        <v>1792</v>
      </c>
      <c r="I60" t="s">
        <v>81</v>
      </c>
    </row>
    <row r="61" spans="2:9" x14ac:dyDescent="0.25">
      <c r="B61" t="s">
        <v>156</v>
      </c>
      <c r="C61" t="s">
        <v>79</v>
      </c>
      <c r="D61" t="s">
        <v>88</v>
      </c>
      <c r="E61" s="7">
        <v>46009</v>
      </c>
      <c r="F61" t="s">
        <v>57</v>
      </c>
      <c r="G61">
        <v>5</v>
      </c>
      <c r="H61">
        <v>85</v>
      </c>
      <c r="I61" t="s">
        <v>84</v>
      </c>
    </row>
    <row r="62" spans="2:9" x14ac:dyDescent="0.25">
      <c r="B62" t="s">
        <v>157</v>
      </c>
      <c r="C62" t="s">
        <v>90</v>
      </c>
      <c r="D62" t="s">
        <v>75</v>
      </c>
      <c r="E62" s="7">
        <v>45670</v>
      </c>
      <c r="F62" t="s">
        <v>60</v>
      </c>
      <c r="G62">
        <v>7</v>
      </c>
      <c r="H62">
        <v>3615</v>
      </c>
      <c r="I62" t="s">
        <v>84</v>
      </c>
    </row>
    <row r="63" spans="2:9" x14ac:dyDescent="0.25">
      <c r="B63" t="s">
        <v>158</v>
      </c>
      <c r="C63" t="s">
        <v>74</v>
      </c>
      <c r="D63" t="s">
        <v>80</v>
      </c>
      <c r="E63" s="7">
        <v>45703</v>
      </c>
      <c r="F63" t="s">
        <v>57</v>
      </c>
      <c r="G63">
        <v>3</v>
      </c>
      <c r="H63">
        <v>1693</v>
      </c>
      <c r="I63" t="s">
        <v>84</v>
      </c>
    </row>
    <row r="64" spans="2:9" x14ac:dyDescent="0.25">
      <c r="B64" t="s">
        <v>159</v>
      </c>
      <c r="C64" t="s">
        <v>82</v>
      </c>
      <c r="D64" t="s">
        <v>75</v>
      </c>
      <c r="E64" s="7">
        <v>45769</v>
      </c>
      <c r="F64" t="s">
        <v>57</v>
      </c>
      <c r="G64">
        <v>2</v>
      </c>
      <c r="H64">
        <v>4877</v>
      </c>
      <c r="I64" t="s">
        <v>76</v>
      </c>
    </row>
    <row r="65" spans="2:9" x14ac:dyDescent="0.25">
      <c r="B65" t="s">
        <v>160</v>
      </c>
      <c r="C65" t="s">
        <v>96</v>
      </c>
      <c r="D65" t="s">
        <v>75</v>
      </c>
      <c r="E65" s="7">
        <v>45795</v>
      </c>
      <c r="F65" t="s">
        <v>57</v>
      </c>
      <c r="G65">
        <v>2</v>
      </c>
      <c r="H65">
        <v>2633</v>
      </c>
      <c r="I65" t="s">
        <v>81</v>
      </c>
    </row>
    <row r="66" spans="2:9" x14ac:dyDescent="0.25">
      <c r="B66" t="s">
        <v>161</v>
      </c>
      <c r="C66" t="s">
        <v>89</v>
      </c>
      <c r="D66" t="s">
        <v>78</v>
      </c>
      <c r="E66" s="7">
        <v>46006</v>
      </c>
      <c r="F66" t="s">
        <v>57</v>
      </c>
      <c r="G66">
        <v>7</v>
      </c>
      <c r="H66">
        <v>694</v>
      </c>
      <c r="I66" t="s">
        <v>81</v>
      </c>
    </row>
    <row r="67" spans="2:9" x14ac:dyDescent="0.25">
      <c r="B67" t="s">
        <v>162</v>
      </c>
      <c r="C67" t="s">
        <v>95</v>
      </c>
      <c r="D67" t="s">
        <v>88</v>
      </c>
      <c r="E67" s="7">
        <v>45753</v>
      </c>
      <c r="F67" t="s">
        <v>57</v>
      </c>
      <c r="G67">
        <v>3</v>
      </c>
      <c r="H67">
        <v>3624</v>
      </c>
      <c r="I67" t="s">
        <v>84</v>
      </c>
    </row>
    <row r="68" spans="2:9" x14ac:dyDescent="0.25">
      <c r="B68" t="s">
        <v>163</v>
      </c>
      <c r="C68" t="s">
        <v>99</v>
      </c>
      <c r="D68" t="s">
        <v>83</v>
      </c>
      <c r="E68" s="7">
        <v>45916</v>
      </c>
      <c r="F68" t="s">
        <v>57</v>
      </c>
      <c r="G68">
        <v>1</v>
      </c>
      <c r="H68">
        <v>2370</v>
      </c>
      <c r="I68" t="s">
        <v>84</v>
      </c>
    </row>
    <row r="69" spans="2:9" x14ac:dyDescent="0.25">
      <c r="B69" t="s">
        <v>164</v>
      </c>
      <c r="C69" t="s">
        <v>93</v>
      </c>
      <c r="D69" t="s">
        <v>78</v>
      </c>
      <c r="E69" s="7">
        <v>45983</v>
      </c>
      <c r="F69" t="s">
        <v>57</v>
      </c>
      <c r="G69">
        <v>3</v>
      </c>
      <c r="H69">
        <v>1651</v>
      </c>
      <c r="I69" t="s">
        <v>84</v>
      </c>
    </row>
    <row r="70" spans="2:9" x14ac:dyDescent="0.25">
      <c r="B70" t="s">
        <v>165</v>
      </c>
      <c r="C70" t="s">
        <v>97</v>
      </c>
      <c r="D70" t="s">
        <v>83</v>
      </c>
      <c r="E70" s="7">
        <v>45809</v>
      </c>
      <c r="F70" t="s">
        <v>57</v>
      </c>
      <c r="G70">
        <v>5</v>
      </c>
      <c r="H70">
        <v>2530</v>
      </c>
      <c r="I70" t="s">
        <v>84</v>
      </c>
    </row>
    <row r="71" spans="2:9" x14ac:dyDescent="0.25">
      <c r="B71" t="s">
        <v>166</v>
      </c>
      <c r="C71" t="s">
        <v>94</v>
      </c>
      <c r="D71" t="s">
        <v>78</v>
      </c>
      <c r="E71" s="7">
        <v>45992</v>
      </c>
      <c r="F71" t="s">
        <v>60</v>
      </c>
      <c r="G71">
        <v>8</v>
      </c>
      <c r="H71">
        <v>4904</v>
      </c>
      <c r="I71" t="s">
        <v>81</v>
      </c>
    </row>
    <row r="72" spans="2:9" x14ac:dyDescent="0.25">
      <c r="B72" t="s">
        <v>167</v>
      </c>
      <c r="C72" t="s">
        <v>77</v>
      </c>
      <c r="D72" t="s">
        <v>80</v>
      </c>
      <c r="E72" s="7">
        <v>45847</v>
      </c>
      <c r="F72" t="s">
        <v>57</v>
      </c>
      <c r="G72">
        <v>4</v>
      </c>
      <c r="H72">
        <v>29</v>
      </c>
      <c r="I72" t="s">
        <v>84</v>
      </c>
    </row>
    <row r="73" spans="2:9" x14ac:dyDescent="0.25">
      <c r="B73" t="s">
        <v>168</v>
      </c>
      <c r="C73" t="s">
        <v>77</v>
      </c>
      <c r="D73" t="s">
        <v>80</v>
      </c>
      <c r="E73" s="7">
        <v>45685</v>
      </c>
      <c r="F73" t="s">
        <v>57</v>
      </c>
      <c r="G73">
        <v>9</v>
      </c>
      <c r="H73">
        <v>2897</v>
      </c>
      <c r="I73" t="s">
        <v>81</v>
      </c>
    </row>
    <row r="74" spans="2:9" x14ac:dyDescent="0.25">
      <c r="B74" t="s">
        <v>169</v>
      </c>
      <c r="C74" t="s">
        <v>86</v>
      </c>
      <c r="D74" t="s">
        <v>78</v>
      </c>
      <c r="E74" s="7">
        <v>45749</v>
      </c>
      <c r="F74" t="s">
        <v>60</v>
      </c>
      <c r="G74">
        <v>4</v>
      </c>
      <c r="H74">
        <v>4923</v>
      </c>
      <c r="I74" t="s">
        <v>81</v>
      </c>
    </row>
    <row r="75" spans="2:9" x14ac:dyDescent="0.25">
      <c r="B75" t="s">
        <v>170</v>
      </c>
      <c r="C75" t="s">
        <v>87</v>
      </c>
      <c r="D75" t="s">
        <v>75</v>
      </c>
      <c r="E75" s="7">
        <v>45896</v>
      </c>
      <c r="F75" t="s">
        <v>60</v>
      </c>
      <c r="G75">
        <v>10</v>
      </c>
      <c r="H75">
        <v>1331</v>
      </c>
      <c r="I75" t="s">
        <v>84</v>
      </c>
    </row>
    <row r="76" spans="2:9" x14ac:dyDescent="0.25">
      <c r="B76" t="s">
        <v>171</v>
      </c>
      <c r="C76" t="s">
        <v>89</v>
      </c>
      <c r="D76" t="s">
        <v>88</v>
      </c>
      <c r="E76" s="7">
        <v>45811</v>
      </c>
      <c r="F76" t="s">
        <v>57</v>
      </c>
      <c r="G76">
        <v>4</v>
      </c>
      <c r="H76">
        <v>3613</v>
      </c>
      <c r="I76" t="s">
        <v>84</v>
      </c>
    </row>
    <row r="77" spans="2:9" x14ac:dyDescent="0.25">
      <c r="B77" t="s">
        <v>172</v>
      </c>
      <c r="C77" t="s">
        <v>98</v>
      </c>
      <c r="D77" t="s">
        <v>83</v>
      </c>
      <c r="E77" s="7">
        <v>45849</v>
      </c>
      <c r="F77" t="s">
        <v>60</v>
      </c>
      <c r="G77">
        <v>4</v>
      </c>
      <c r="H77">
        <v>2170</v>
      </c>
      <c r="I77" t="s">
        <v>81</v>
      </c>
    </row>
    <row r="78" spans="2:9" x14ac:dyDescent="0.25">
      <c r="B78" t="s">
        <v>173</v>
      </c>
      <c r="C78" t="s">
        <v>91</v>
      </c>
      <c r="D78" t="s">
        <v>78</v>
      </c>
      <c r="E78" s="7">
        <v>46008</v>
      </c>
      <c r="F78" t="s">
        <v>57</v>
      </c>
      <c r="G78">
        <v>6</v>
      </c>
      <c r="H78">
        <v>3669</v>
      </c>
      <c r="I78" t="s">
        <v>81</v>
      </c>
    </row>
    <row r="79" spans="2:9" x14ac:dyDescent="0.25">
      <c r="B79" t="s">
        <v>174</v>
      </c>
      <c r="C79" t="s">
        <v>82</v>
      </c>
      <c r="D79" t="s">
        <v>75</v>
      </c>
      <c r="E79" s="7">
        <v>45993</v>
      </c>
      <c r="F79" t="s">
        <v>57</v>
      </c>
      <c r="G79">
        <v>2</v>
      </c>
      <c r="H79">
        <v>3645</v>
      </c>
      <c r="I79" t="s">
        <v>81</v>
      </c>
    </row>
    <row r="80" spans="2:9" x14ac:dyDescent="0.25">
      <c r="B80" t="s">
        <v>175</v>
      </c>
      <c r="C80" t="s">
        <v>86</v>
      </c>
      <c r="D80" t="s">
        <v>75</v>
      </c>
      <c r="E80" s="7">
        <v>45684</v>
      </c>
      <c r="F80" t="s">
        <v>57</v>
      </c>
      <c r="G80">
        <v>3</v>
      </c>
      <c r="H80">
        <v>3941</v>
      </c>
      <c r="I80" t="s">
        <v>84</v>
      </c>
    </row>
    <row r="81" spans="2:9" x14ac:dyDescent="0.25">
      <c r="B81" t="s">
        <v>176</v>
      </c>
      <c r="C81" t="s">
        <v>82</v>
      </c>
      <c r="D81" t="s">
        <v>88</v>
      </c>
      <c r="E81" s="7">
        <v>45715</v>
      </c>
      <c r="F81" t="s">
        <v>57</v>
      </c>
      <c r="G81">
        <v>1</v>
      </c>
      <c r="H81">
        <v>248</v>
      </c>
      <c r="I81" t="s">
        <v>81</v>
      </c>
    </row>
    <row r="82" spans="2:9" x14ac:dyDescent="0.25">
      <c r="B82" t="s">
        <v>177</v>
      </c>
      <c r="C82" t="s">
        <v>98</v>
      </c>
      <c r="D82" t="s">
        <v>78</v>
      </c>
      <c r="E82" s="7">
        <v>45737</v>
      </c>
      <c r="F82" t="s">
        <v>57</v>
      </c>
      <c r="G82">
        <v>3</v>
      </c>
      <c r="H82">
        <v>4527</v>
      </c>
      <c r="I82" t="s">
        <v>84</v>
      </c>
    </row>
    <row r="83" spans="2:9" x14ac:dyDescent="0.25">
      <c r="B83" t="s">
        <v>178</v>
      </c>
      <c r="C83" t="s">
        <v>97</v>
      </c>
      <c r="D83" t="s">
        <v>75</v>
      </c>
      <c r="E83" s="7">
        <v>45910</v>
      </c>
      <c r="F83" t="s">
        <v>60</v>
      </c>
      <c r="G83">
        <v>7</v>
      </c>
      <c r="H83">
        <v>2662</v>
      </c>
      <c r="I83" t="s">
        <v>76</v>
      </c>
    </row>
    <row r="84" spans="2:9" x14ac:dyDescent="0.25">
      <c r="B84" t="s">
        <v>179</v>
      </c>
      <c r="C84" t="s">
        <v>95</v>
      </c>
      <c r="D84" t="s">
        <v>88</v>
      </c>
      <c r="E84" s="7">
        <v>45713</v>
      </c>
      <c r="F84" t="s">
        <v>60</v>
      </c>
      <c r="G84">
        <v>5</v>
      </c>
      <c r="H84">
        <v>1788</v>
      </c>
      <c r="I84" t="s">
        <v>76</v>
      </c>
    </row>
    <row r="85" spans="2:9" x14ac:dyDescent="0.25">
      <c r="B85" t="s">
        <v>180</v>
      </c>
      <c r="C85" t="s">
        <v>85</v>
      </c>
      <c r="D85" t="s">
        <v>88</v>
      </c>
      <c r="E85" s="7">
        <v>45798</v>
      </c>
      <c r="F85" t="s">
        <v>57</v>
      </c>
      <c r="G85">
        <v>3</v>
      </c>
      <c r="H85">
        <v>2890</v>
      </c>
      <c r="I85" t="s">
        <v>84</v>
      </c>
    </row>
    <row r="86" spans="2:9" x14ac:dyDescent="0.25">
      <c r="B86" t="s">
        <v>181</v>
      </c>
      <c r="C86" t="s">
        <v>96</v>
      </c>
      <c r="D86" t="s">
        <v>78</v>
      </c>
      <c r="E86" s="7">
        <v>45913</v>
      </c>
      <c r="F86" t="s">
        <v>60</v>
      </c>
      <c r="G86">
        <v>10</v>
      </c>
      <c r="H86">
        <v>3294</v>
      </c>
      <c r="I86" t="s">
        <v>81</v>
      </c>
    </row>
    <row r="87" spans="2:9" x14ac:dyDescent="0.25">
      <c r="B87" t="s">
        <v>182</v>
      </c>
      <c r="C87" t="s">
        <v>98</v>
      </c>
      <c r="D87" t="s">
        <v>80</v>
      </c>
      <c r="E87" s="7">
        <v>45802</v>
      </c>
      <c r="F87" t="s">
        <v>57</v>
      </c>
      <c r="G87">
        <v>8</v>
      </c>
      <c r="H87">
        <v>4142</v>
      </c>
      <c r="I87" t="s">
        <v>84</v>
      </c>
    </row>
    <row r="88" spans="2:9" x14ac:dyDescent="0.25">
      <c r="B88" t="s">
        <v>183</v>
      </c>
      <c r="C88" t="s">
        <v>94</v>
      </c>
      <c r="D88" t="s">
        <v>75</v>
      </c>
      <c r="E88" s="7">
        <v>45714</v>
      </c>
      <c r="F88" t="s">
        <v>60</v>
      </c>
      <c r="G88">
        <v>2</v>
      </c>
      <c r="H88">
        <v>2915</v>
      </c>
      <c r="I88" t="s">
        <v>84</v>
      </c>
    </row>
    <row r="89" spans="2:9" x14ac:dyDescent="0.25">
      <c r="B89" t="s">
        <v>184</v>
      </c>
      <c r="C89" t="s">
        <v>79</v>
      </c>
      <c r="D89" t="s">
        <v>75</v>
      </c>
      <c r="E89" s="7">
        <v>45680</v>
      </c>
      <c r="F89" t="s">
        <v>57</v>
      </c>
      <c r="G89">
        <v>2</v>
      </c>
      <c r="H89">
        <v>911</v>
      </c>
      <c r="I89" t="s">
        <v>76</v>
      </c>
    </row>
    <row r="90" spans="2:9" x14ac:dyDescent="0.25">
      <c r="B90" t="s">
        <v>185</v>
      </c>
      <c r="C90" t="s">
        <v>99</v>
      </c>
      <c r="D90" t="s">
        <v>83</v>
      </c>
      <c r="E90" s="7">
        <v>45680</v>
      </c>
      <c r="F90" t="s">
        <v>60</v>
      </c>
      <c r="G90">
        <v>9</v>
      </c>
      <c r="H90">
        <v>749</v>
      </c>
      <c r="I90" t="s">
        <v>84</v>
      </c>
    </row>
    <row r="91" spans="2:9" x14ac:dyDescent="0.25">
      <c r="B91" t="s">
        <v>186</v>
      </c>
      <c r="C91" t="s">
        <v>98</v>
      </c>
      <c r="D91" t="s">
        <v>80</v>
      </c>
      <c r="E91" s="7">
        <v>45950</v>
      </c>
      <c r="F91" t="s">
        <v>57</v>
      </c>
      <c r="G91">
        <v>7</v>
      </c>
      <c r="H91">
        <v>3881</v>
      </c>
      <c r="I91" t="s">
        <v>76</v>
      </c>
    </row>
    <row r="92" spans="2:9" x14ac:dyDescent="0.25">
      <c r="B92" t="s">
        <v>187</v>
      </c>
      <c r="C92" t="s">
        <v>82</v>
      </c>
      <c r="D92" t="s">
        <v>78</v>
      </c>
      <c r="E92" s="7">
        <v>45994</v>
      </c>
      <c r="F92" t="s">
        <v>60</v>
      </c>
      <c r="G92">
        <v>8</v>
      </c>
      <c r="H92">
        <v>3120</v>
      </c>
      <c r="I92" t="s">
        <v>76</v>
      </c>
    </row>
    <row r="93" spans="2:9" x14ac:dyDescent="0.25">
      <c r="B93" t="s">
        <v>188</v>
      </c>
      <c r="C93" t="s">
        <v>91</v>
      </c>
      <c r="D93" t="s">
        <v>83</v>
      </c>
      <c r="E93" s="7">
        <v>45872</v>
      </c>
      <c r="F93" t="s">
        <v>57</v>
      </c>
      <c r="G93">
        <v>10</v>
      </c>
      <c r="H93">
        <v>73</v>
      </c>
      <c r="I93" t="s">
        <v>76</v>
      </c>
    </row>
    <row r="94" spans="2:9" x14ac:dyDescent="0.25">
      <c r="B94" t="s">
        <v>189</v>
      </c>
      <c r="C94" t="s">
        <v>99</v>
      </c>
      <c r="D94" t="s">
        <v>75</v>
      </c>
      <c r="E94" s="7">
        <v>45985</v>
      </c>
      <c r="F94" t="s">
        <v>60</v>
      </c>
      <c r="G94">
        <v>2</v>
      </c>
      <c r="H94">
        <v>2652</v>
      </c>
      <c r="I94" t="s">
        <v>84</v>
      </c>
    </row>
    <row r="95" spans="2:9" x14ac:dyDescent="0.25">
      <c r="B95" t="s">
        <v>190</v>
      </c>
      <c r="C95" t="s">
        <v>91</v>
      </c>
      <c r="D95" t="s">
        <v>88</v>
      </c>
      <c r="E95" s="7">
        <v>45830</v>
      </c>
      <c r="F95" t="s">
        <v>57</v>
      </c>
      <c r="G95">
        <v>9</v>
      </c>
      <c r="H95">
        <v>2659</v>
      </c>
      <c r="I95" t="s">
        <v>81</v>
      </c>
    </row>
    <row r="96" spans="2:9" x14ac:dyDescent="0.25">
      <c r="B96" t="s">
        <v>191</v>
      </c>
      <c r="C96" t="s">
        <v>74</v>
      </c>
      <c r="D96" t="s">
        <v>78</v>
      </c>
      <c r="E96" s="7">
        <v>45670</v>
      </c>
      <c r="F96" t="s">
        <v>60</v>
      </c>
      <c r="G96">
        <v>4</v>
      </c>
      <c r="H96">
        <v>3179</v>
      </c>
      <c r="I96" t="s">
        <v>84</v>
      </c>
    </row>
    <row r="97" spans="2:9" x14ac:dyDescent="0.25">
      <c r="B97" t="s">
        <v>192</v>
      </c>
      <c r="C97" t="s">
        <v>82</v>
      </c>
      <c r="D97" t="s">
        <v>83</v>
      </c>
      <c r="E97" s="7">
        <v>45951</v>
      </c>
      <c r="F97" t="s">
        <v>60</v>
      </c>
      <c r="G97">
        <v>2</v>
      </c>
      <c r="H97">
        <v>1152</v>
      </c>
      <c r="I97" t="s">
        <v>76</v>
      </c>
    </row>
    <row r="98" spans="2:9" x14ac:dyDescent="0.25">
      <c r="B98" t="s">
        <v>193</v>
      </c>
      <c r="C98" t="s">
        <v>91</v>
      </c>
      <c r="D98" t="s">
        <v>78</v>
      </c>
      <c r="E98" s="7">
        <v>46007</v>
      </c>
      <c r="F98" t="s">
        <v>57</v>
      </c>
      <c r="G98">
        <v>2</v>
      </c>
      <c r="H98">
        <v>4799</v>
      </c>
      <c r="I98" t="s">
        <v>84</v>
      </c>
    </row>
    <row r="99" spans="2:9" x14ac:dyDescent="0.25">
      <c r="B99" t="s">
        <v>194</v>
      </c>
      <c r="C99" t="s">
        <v>98</v>
      </c>
      <c r="D99" t="s">
        <v>80</v>
      </c>
      <c r="E99" s="7">
        <v>45694</v>
      </c>
      <c r="F99" t="s">
        <v>60</v>
      </c>
      <c r="G99">
        <v>4</v>
      </c>
      <c r="H99">
        <v>1253</v>
      </c>
      <c r="I99" t="s">
        <v>84</v>
      </c>
    </row>
    <row r="100" spans="2:9" x14ac:dyDescent="0.25">
      <c r="B100" t="s">
        <v>195</v>
      </c>
      <c r="C100" t="s">
        <v>87</v>
      </c>
      <c r="D100" t="s">
        <v>80</v>
      </c>
      <c r="E100" s="7">
        <v>45717</v>
      </c>
      <c r="F100" t="s">
        <v>60</v>
      </c>
      <c r="G100">
        <v>4</v>
      </c>
      <c r="H100">
        <v>3872</v>
      </c>
      <c r="I100" t="s">
        <v>84</v>
      </c>
    </row>
    <row r="101" spans="2:9" x14ac:dyDescent="0.25">
      <c r="B101" t="s">
        <v>196</v>
      </c>
      <c r="C101" t="s">
        <v>100</v>
      </c>
      <c r="D101" t="s">
        <v>75</v>
      </c>
      <c r="E101" s="7">
        <v>45797</v>
      </c>
      <c r="F101" t="s">
        <v>60</v>
      </c>
      <c r="G101">
        <v>10</v>
      </c>
      <c r="H101">
        <v>4927</v>
      </c>
      <c r="I101" t="s">
        <v>76</v>
      </c>
    </row>
    <row r="102" spans="2:9" x14ac:dyDescent="0.25">
      <c r="B102" t="s">
        <v>197</v>
      </c>
      <c r="C102" t="s">
        <v>90</v>
      </c>
      <c r="D102" t="s">
        <v>78</v>
      </c>
      <c r="E102" s="7">
        <v>45958</v>
      </c>
      <c r="F102" t="s">
        <v>57</v>
      </c>
      <c r="G102">
        <v>3</v>
      </c>
      <c r="H102">
        <v>2987</v>
      </c>
      <c r="I102" t="s">
        <v>76</v>
      </c>
    </row>
    <row r="103" spans="2:9" x14ac:dyDescent="0.25">
      <c r="B103" t="s">
        <v>198</v>
      </c>
      <c r="C103" t="s">
        <v>90</v>
      </c>
      <c r="D103" t="s">
        <v>78</v>
      </c>
      <c r="E103" s="7">
        <v>45836</v>
      </c>
      <c r="F103" t="s">
        <v>57</v>
      </c>
      <c r="G103">
        <v>7</v>
      </c>
      <c r="H103">
        <v>441</v>
      </c>
      <c r="I103" t="s">
        <v>76</v>
      </c>
    </row>
    <row r="104" spans="2:9" x14ac:dyDescent="0.25">
      <c r="B104" t="s">
        <v>199</v>
      </c>
      <c r="C104" t="s">
        <v>86</v>
      </c>
      <c r="D104" t="s">
        <v>83</v>
      </c>
      <c r="E104" s="7">
        <v>45680</v>
      </c>
      <c r="F104" t="s">
        <v>60</v>
      </c>
      <c r="G104">
        <v>1</v>
      </c>
      <c r="H104">
        <v>996</v>
      </c>
      <c r="I104" t="s">
        <v>76</v>
      </c>
    </row>
    <row r="105" spans="2:9" x14ac:dyDescent="0.25">
      <c r="B105" t="s">
        <v>200</v>
      </c>
      <c r="C105" t="s">
        <v>94</v>
      </c>
      <c r="D105" t="s">
        <v>83</v>
      </c>
      <c r="E105" s="7">
        <v>45932</v>
      </c>
      <c r="F105" t="s">
        <v>60</v>
      </c>
      <c r="G105">
        <v>5</v>
      </c>
      <c r="H105">
        <v>2214</v>
      </c>
      <c r="I105" t="s">
        <v>76</v>
      </c>
    </row>
    <row r="107" spans="2:9" x14ac:dyDescent="0.25">
      <c r="B107" t="s">
        <v>201</v>
      </c>
      <c r="C107" t="s">
        <v>1004</v>
      </c>
      <c r="D107" t="s">
        <v>11</v>
      </c>
      <c r="E107" s="7">
        <v>45765</v>
      </c>
      <c r="F107" t="s">
        <v>58</v>
      </c>
      <c r="G107">
        <v>9</v>
      </c>
      <c r="H107">
        <v>1900</v>
      </c>
      <c r="I107" t="s">
        <v>81</v>
      </c>
    </row>
    <row r="108" spans="2:9" x14ac:dyDescent="0.25">
      <c r="B108" t="s">
        <v>203</v>
      </c>
      <c r="C108" t="s">
        <v>1005</v>
      </c>
      <c r="D108" t="s">
        <v>21</v>
      </c>
      <c r="E108" s="7">
        <v>45799</v>
      </c>
      <c r="F108" t="s">
        <v>58</v>
      </c>
      <c r="G108">
        <v>3</v>
      </c>
      <c r="H108">
        <v>4076</v>
      </c>
      <c r="I108" t="s">
        <v>81</v>
      </c>
    </row>
    <row r="109" spans="2:9" x14ac:dyDescent="0.25">
      <c r="B109" t="s">
        <v>204</v>
      </c>
      <c r="C109" t="s">
        <v>1006</v>
      </c>
      <c r="D109" t="s">
        <v>27</v>
      </c>
      <c r="E109" s="7">
        <v>45866</v>
      </c>
      <c r="F109" t="s">
        <v>58</v>
      </c>
      <c r="G109">
        <v>5</v>
      </c>
      <c r="H109">
        <v>3333</v>
      </c>
      <c r="I109" t="s">
        <v>81</v>
      </c>
    </row>
    <row r="110" spans="2:9" x14ac:dyDescent="0.25">
      <c r="B110" t="s">
        <v>205</v>
      </c>
      <c r="C110" t="s">
        <v>1007</v>
      </c>
      <c r="D110" t="s">
        <v>21</v>
      </c>
      <c r="E110" s="7">
        <v>45678</v>
      </c>
      <c r="F110" t="s">
        <v>58</v>
      </c>
      <c r="G110">
        <v>3</v>
      </c>
      <c r="H110">
        <v>3537</v>
      </c>
      <c r="I110" t="s">
        <v>84</v>
      </c>
    </row>
    <row r="111" spans="2:9" x14ac:dyDescent="0.25">
      <c r="B111" t="s">
        <v>206</v>
      </c>
      <c r="C111" t="s">
        <v>1008</v>
      </c>
      <c r="D111" t="s">
        <v>11</v>
      </c>
      <c r="E111" s="7">
        <v>45931</v>
      </c>
      <c r="F111" t="s">
        <v>58</v>
      </c>
      <c r="G111">
        <v>2</v>
      </c>
      <c r="H111">
        <v>2404</v>
      </c>
      <c r="I111" t="s">
        <v>76</v>
      </c>
    </row>
    <row r="112" spans="2:9" x14ac:dyDescent="0.25">
      <c r="B112" t="s">
        <v>207</v>
      </c>
      <c r="C112" t="s">
        <v>1009</v>
      </c>
      <c r="D112" t="s">
        <v>19</v>
      </c>
      <c r="E112" s="7">
        <v>45858</v>
      </c>
      <c r="F112" t="s">
        <v>58</v>
      </c>
      <c r="G112">
        <v>5</v>
      </c>
      <c r="H112">
        <v>3954</v>
      </c>
      <c r="I112" t="s">
        <v>81</v>
      </c>
    </row>
    <row r="113" spans="2:9" x14ac:dyDescent="0.25">
      <c r="B113" t="s">
        <v>208</v>
      </c>
      <c r="C113" t="s">
        <v>1008</v>
      </c>
      <c r="D113" t="s">
        <v>17</v>
      </c>
      <c r="E113" s="7">
        <v>45936</v>
      </c>
      <c r="F113" t="s">
        <v>58</v>
      </c>
      <c r="G113">
        <v>5</v>
      </c>
      <c r="H113">
        <v>1078</v>
      </c>
      <c r="I113" t="s">
        <v>81</v>
      </c>
    </row>
    <row r="114" spans="2:9" x14ac:dyDescent="0.25">
      <c r="B114" t="s">
        <v>209</v>
      </c>
      <c r="C114" t="s">
        <v>1010</v>
      </c>
      <c r="D114" t="s">
        <v>21</v>
      </c>
      <c r="E114" s="7">
        <v>45984</v>
      </c>
      <c r="F114" t="s">
        <v>58</v>
      </c>
      <c r="G114">
        <v>1</v>
      </c>
      <c r="H114">
        <v>2934</v>
      </c>
      <c r="I114" t="s">
        <v>81</v>
      </c>
    </row>
    <row r="115" spans="2:9" x14ac:dyDescent="0.25">
      <c r="B115" t="s">
        <v>210</v>
      </c>
      <c r="C115" t="s">
        <v>1011</v>
      </c>
      <c r="D115" t="s">
        <v>19</v>
      </c>
      <c r="E115" s="7">
        <v>45909</v>
      </c>
      <c r="F115" t="s">
        <v>58</v>
      </c>
      <c r="G115">
        <v>2</v>
      </c>
      <c r="H115">
        <v>2567</v>
      </c>
      <c r="I115" t="s">
        <v>84</v>
      </c>
    </row>
    <row r="116" spans="2:9" x14ac:dyDescent="0.25">
      <c r="B116" t="s">
        <v>211</v>
      </c>
      <c r="C116" t="s">
        <v>1012</v>
      </c>
      <c r="D116" t="s">
        <v>23</v>
      </c>
      <c r="E116" s="7">
        <v>45728</v>
      </c>
      <c r="F116" t="s">
        <v>58</v>
      </c>
      <c r="G116">
        <v>4</v>
      </c>
      <c r="H116">
        <v>4310</v>
      </c>
      <c r="I116" t="s">
        <v>81</v>
      </c>
    </row>
    <row r="117" spans="2:9" x14ac:dyDescent="0.25">
      <c r="B117" t="s">
        <v>212</v>
      </c>
      <c r="C117" t="s">
        <v>1008</v>
      </c>
      <c r="D117" t="s">
        <v>23</v>
      </c>
      <c r="E117" s="7">
        <v>45971</v>
      </c>
      <c r="F117" t="s">
        <v>58</v>
      </c>
      <c r="G117">
        <v>4</v>
      </c>
      <c r="H117">
        <v>1364</v>
      </c>
      <c r="I117" t="s">
        <v>84</v>
      </c>
    </row>
    <row r="118" spans="2:9" x14ac:dyDescent="0.25">
      <c r="B118" t="s">
        <v>213</v>
      </c>
      <c r="C118" t="s">
        <v>1013</v>
      </c>
      <c r="D118" t="s">
        <v>21</v>
      </c>
      <c r="E118" s="7">
        <v>45663</v>
      </c>
      <c r="F118" t="s">
        <v>58</v>
      </c>
      <c r="G118">
        <v>2</v>
      </c>
      <c r="H118">
        <v>3199</v>
      </c>
      <c r="I118" t="s">
        <v>76</v>
      </c>
    </row>
    <row r="119" spans="2:9" x14ac:dyDescent="0.25">
      <c r="B119" t="s">
        <v>214</v>
      </c>
      <c r="C119" t="s">
        <v>1014</v>
      </c>
      <c r="D119" t="s">
        <v>23</v>
      </c>
      <c r="E119" s="7">
        <v>45946</v>
      </c>
      <c r="F119" t="s">
        <v>58</v>
      </c>
      <c r="G119">
        <v>3</v>
      </c>
      <c r="H119">
        <v>3170</v>
      </c>
      <c r="I119" t="s">
        <v>76</v>
      </c>
    </row>
    <row r="120" spans="2:9" x14ac:dyDescent="0.25">
      <c r="B120" t="s">
        <v>215</v>
      </c>
      <c r="C120" t="s">
        <v>1014</v>
      </c>
      <c r="D120" t="s">
        <v>21</v>
      </c>
      <c r="E120" s="7">
        <v>45685</v>
      </c>
      <c r="F120" t="s">
        <v>58</v>
      </c>
      <c r="G120">
        <v>4</v>
      </c>
      <c r="H120">
        <v>942</v>
      </c>
      <c r="I120" t="s">
        <v>84</v>
      </c>
    </row>
    <row r="121" spans="2:9" x14ac:dyDescent="0.25">
      <c r="B121" t="s">
        <v>216</v>
      </c>
      <c r="C121" t="s">
        <v>1009</v>
      </c>
      <c r="D121" t="s">
        <v>14</v>
      </c>
      <c r="E121" s="7">
        <v>45790</v>
      </c>
      <c r="F121" t="s">
        <v>58</v>
      </c>
      <c r="G121">
        <v>5</v>
      </c>
      <c r="H121">
        <v>4969</v>
      </c>
      <c r="I121" t="s">
        <v>84</v>
      </c>
    </row>
    <row r="122" spans="2:9" x14ac:dyDescent="0.25">
      <c r="B122" t="s">
        <v>217</v>
      </c>
      <c r="C122" t="s">
        <v>1006</v>
      </c>
      <c r="D122" t="s">
        <v>21</v>
      </c>
      <c r="E122" s="7">
        <v>45743</v>
      </c>
      <c r="F122" t="s">
        <v>58</v>
      </c>
      <c r="G122">
        <v>10</v>
      </c>
      <c r="H122">
        <v>127</v>
      </c>
      <c r="I122" t="s">
        <v>84</v>
      </c>
    </row>
    <row r="123" spans="2:9" x14ac:dyDescent="0.25">
      <c r="B123" t="s">
        <v>218</v>
      </c>
      <c r="C123" t="s">
        <v>1005</v>
      </c>
      <c r="D123" t="s">
        <v>11</v>
      </c>
      <c r="E123" s="7">
        <v>45892</v>
      </c>
      <c r="F123" t="s">
        <v>58</v>
      </c>
      <c r="G123">
        <v>7</v>
      </c>
      <c r="H123">
        <v>4990</v>
      </c>
      <c r="I123" t="s">
        <v>84</v>
      </c>
    </row>
    <row r="124" spans="2:9" x14ac:dyDescent="0.25">
      <c r="B124" t="s">
        <v>219</v>
      </c>
      <c r="C124" t="s">
        <v>1014</v>
      </c>
      <c r="D124" t="s">
        <v>19</v>
      </c>
      <c r="E124" s="7">
        <v>45881</v>
      </c>
      <c r="F124" t="s">
        <v>58</v>
      </c>
      <c r="G124">
        <v>6</v>
      </c>
      <c r="H124">
        <v>4589</v>
      </c>
      <c r="I124" t="s">
        <v>76</v>
      </c>
    </row>
    <row r="125" spans="2:9" x14ac:dyDescent="0.25">
      <c r="B125" t="s">
        <v>220</v>
      </c>
      <c r="C125" t="s">
        <v>1004</v>
      </c>
      <c r="D125" t="s">
        <v>19</v>
      </c>
      <c r="E125" s="7">
        <v>45978</v>
      </c>
      <c r="F125" t="s">
        <v>58</v>
      </c>
      <c r="G125">
        <v>10</v>
      </c>
      <c r="H125">
        <v>2709</v>
      </c>
      <c r="I125" t="s">
        <v>76</v>
      </c>
    </row>
    <row r="126" spans="2:9" x14ac:dyDescent="0.25">
      <c r="B126" t="s">
        <v>221</v>
      </c>
      <c r="C126" t="s">
        <v>1015</v>
      </c>
      <c r="D126" t="s">
        <v>27</v>
      </c>
      <c r="E126" s="7">
        <v>45993</v>
      </c>
      <c r="F126" t="s">
        <v>58</v>
      </c>
      <c r="G126">
        <v>8</v>
      </c>
      <c r="H126">
        <v>4461</v>
      </c>
      <c r="I126" t="s">
        <v>81</v>
      </c>
    </row>
    <row r="127" spans="2:9" x14ac:dyDescent="0.25">
      <c r="B127" t="s">
        <v>222</v>
      </c>
      <c r="C127" t="s">
        <v>1014</v>
      </c>
      <c r="D127" t="s">
        <v>23</v>
      </c>
      <c r="E127" s="7">
        <v>45932</v>
      </c>
      <c r="F127" t="s">
        <v>58</v>
      </c>
      <c r="G127">
        <v>7</v>
      </c>
      <c r="H127">
        <v>3825</v>
      </c>
      <c r="I127" t="s">
        <v>84</v>
      </c>
    </row>
    <row r="128" spans="2:9" x14ac:dyDescent="0.25">
      <c r="B128" t="s">
        <v>223</v>
      </c>
      <c r="C128" t="s">
        <v>1016</v>
      </c>
      <c r="D128" t="s">
        <v>14</v>
      </c>
      <c r="E128" s="7">
        <v>45921</v>
      </c>
      <c r="F128" t="s">
        <v>58</v>
      </c>
      <c r="G128">
        <v>4</v>
      </c>
      <c r="H128">
        <v>1086</v>
      </c>
      <c r="I128" t="s">
        <v>76</v>
      </c>
    </row>
    <row r="129" spans="2:9" x14ac:dyDescent="0.25">
      <c r="B129" t="s">
        <v>224</v>
      </c>
      <c r="C129" t="s">
        <v>1016</v>
      </c>
      <c r="D129" t="s">
        <v>11</v>
      </c>
      <c r="E129" s="7">
        <v>45737</v>
      </c>
      <c r="F129" t="s">
        <v>58</v>
      </c>
      <c r="G129">
        <v>3</v>
      </c>
      <c r="H129">
        <v>343</v>
      </c>
      <c r="I129" t="s">
        <v>76</v>
      </c>
    </row>
    <row r="130" spans="2:9" x14ac:dyDescent="0.25">
      <c r="B130" t="s">
        <v>225</v>
      </c>
      <c r="C130" t="s">
        <v>1017</v>
      </c>
      <c r="D130" t="s">
        <v>21</v>
      </c>
      <c r="E130" s="7">
        <v>46008</v>
      </c>
      <c r="F130" t="s">
        <v>58</v>
      </c>
      <c r="G130">
        <v>7</v>
      </c>
      <c r="H130">
        <v>2034</v>
      </c>
      <c r="I130" t="s">
        <v>84</v>
      </c>
    </row>
    <row r="131" spans="2:9" x14ac:dyDescent="0.25">
      <c r="B131" t="s">
        <v>226</v>
      </c>
      <c r="C131" t="s">
        <v>1012</v>
      </c>
      <c r="D131" t="s">
        <v>11</v>
      </c>
      <c r="E131" s="7">
        <v>45698</v>
      </c>
      <c r="F131" t="s">
        <v>58</v>
      </c>
      <c r="G131">
        <v>6</v>
      </c>
      <c r="H131">
        <v>453</v>
      </c>
      <c r="I131" t="s">
        <v>76</v>
      </c>
    </row>
    <row r="132" spans="2:9" x14ac:dyDescent="0.25">
      <c r="B132" t="s">
        <v>227</v>
      </c>
      <c r="C132" t="s">
        <v>1018</v>
      </c>
      <c r="D132" t="s">
        <v>23</v>
      </c>
      <c r="E132" s="7">
        <v>45989</v>
      </c>
      <c r="F132" t="s">
        <v>58</v>
      </c>
      <c r="G132">
        <v>10</v>
      </c>
      <c r="H132">
        <v>1175</v>
      </c>
      <c r="I132" t="s">
        <v>84</v>
      </c>
    </row>
    <row r="133" spans="2:9" x14ac:dyDescent="0.25">
      <c r="B133" t="s">
        <v>228</v>
      </c>
      <c r="C133" t="s">
        <v>1009</v>
      </c>
      <c r="D133" t="s">
        <v>11</v>
      </c>
      <c r="E133" s="7">
        <v>45987</v>
      </c>
      <c r="F133" t="s">
        <v>58</v>
      </c>
      <c r="G133">
        <v>7</v>
      </c>
      <c r="H133">
        <v>3630</v>
      </c>
      <c r="I133" t="s">
        <v>76</v>
      </c>
    </row>
    <row r="134" spans="2:9" x14ac:dyDescent="0.25">
      <c r="B134" t="s">
        <v>229</v>
      </c>
      <c r="C134" t="s">
        <v>1006</v>
      </c>
      <c r="D134" t="s">
        <v>19</v>
      </c>
      <c r="E134" s="7">
        <v>46007</v>
      </c>
      <c r="F134" t="s">
        <v>58</v>
      </c>
      <c r="G134">
        <v>1</v>
      </c>
      <c r="H134">
        <v>3588</v>
      </c>
      <c r="I134" t="s">
        <v>81</v>
      </c>
    </row>
    <row r="135" spans="2:9" x14ac:dyDescent="0.25">
      <c r="B135" t="s">
        <v>230</v>
      </c>
      <c r="C135" t="s">
        <v>1016</v>
      </c>
      <c r="D135" t="s">
        <v>19</v>
      </c>
      <c r="E135" s="7">
        <v>45709</v>
      </c>
      <c r="F135" t="s">
        <v>58</v>
      </c>
      <c r="G135">
        <v>8</v>
      </c>
      <c r="H135">
        <v>632</v>
      </c>
      <c r="I135" t="s">
        <v>76</v>
      </c>
    </row>
    <row r="136" spans="2:9" x14ac:dyDescent="0.25">
      <c r="B136" t="s">
        <v>231</v>
      </c>
      <c r="C136" t="s">
        <v>1013</v>
      </c>
      <c r="D136" t="s">
        <v>23</v>
      </c>
      <c r="E136" s="7">
        <v>45936</v>
      </c>
      <c r="F136" t="s">
        <v>58</v>
      </c>
      <c r="G136">
        <v>8</v>
      </c>
      <c r="H136">
        <v>652</v>
      </c>
      <c r="I136" t="s">
        <v>76</v>
      </c>
    </row>
    <row r="137" spans="2:9" x14ac:dyDescent="0.25">
      <c r="B137" t="s">
        <v>232</v>
      </c>
      <c r="C137" t="s">
        <v>1005</v>
      </c>
      <c r="D137" t="s">
        <v>11</v>
      </c>
      <c r="E137" s="7">
        <v>45876</v>
      </c>
      <c r="F137" t="s">
        <v>58</v>
      </c>
      <c r="G137">
        <v>4</v>
      </c>
      <c r="H137">
        <v>3387</v>
      </c>
      <c r="I137" t="s">
        <v>76</v>
      </c>
    </row>
    <row r="138" spans="2:9" x14ac:dyDescent="0.25">
      <c r="B138" t="s">
        <v>233</v>
      </c>
      <c r="C138" t="s">
        <v>1013</v>
      </c>
      <c r="D138" t="s">
        <v>14</v>
      </c>
      <c r="E138" s="7">
        <v>45809</v>
      </c>
      <c r="F138" t="s">
        <v>58</v>
      </c>
      <c r="G138">
        <v>3</v>
      </c>
      <c r="H138">
        <v>4919</v>
      </c>
      <c r="I138" t="s">
        <v>81</v>
      </c>
    </row>
    <row r="139" spans="2:9" x14ac:dyDescent="0.25">
      <c r="B139" t="s">
        <v>234</v>
      </c>
      <c r="C139" t="s">
        <v>1004</v>
      </c>
      <c r="D139" t="s">
        <v>23</v>
      </c>
      <c r="E139" s="7">
        <v>45844</v>
      </c>
      <c r="F139" t="s">
        <v>58</v>
      </c>
      <c r="G139">
        <v>3</v>
      </c>
      <c r="H139">
        <v>161</v>
      </c>
      <c r="I139" t="s">
        <v>84</v>
      </c>
    </row>
    <row r="140" spans="2:9" x14ac:dyDescent="0.25">
      <c r="B140" t="s">
        <v>235</v>
      </c>
      <c r="C140" t="s">
        <v>1015</v>
      </c>
      <c r="D140" t="s">
        <v>11</v>
      </c>
      <c r="E140" s="7">
        <v>45699</v>
      </c>
      <c r="F140" t="s">
        <v>58</v>
      </c>
      <c r="G140">
        <v>9</v>
      </c>
      <c r="H140">
        <v>296</v>
      </c>
      <c r="I140" t="s">
        <v>76</v>
      </c>
    </row>
    <row r="141" spans="2:9" x14ac:dyDescent="0.25">
      <c r="B141" t="s">
        <v>236</v>
      </c>
      <c r="C141" t="s">
        <v>1019</v>
      </c>
      <c r="D141" t="s">
        <v>27</v>
      </c>
      <c r="E141" s="7">
        <v>45706</v>
      </c>
      <c r="F141" t="s">
        <v>58</v>
      </c>
      <c r="G141">
        <v>6</v>
      </c>
      <c r="H141">
        <v>392</v>
      </c>
      <c r="I141" t="s">
        <v>84</v>
      </c>
    </row>
    <row r="142" spans="2:9" x14ac:dyDescent="0.25">
      <c r="B142" t="s">
        <v>237</v>
      </c>
      <c r="C142" t="s">
        <v>1008</v>
      </c>
      <c r="D142" t="s">
        <v>19</v>
      </c>
      <c r="E142" s="7">
        <v>45774</v>
      </c>
      <c r="F142" t="s">
        <v>58</v>
      </c>
      <c r="G142">
        <v>5</v>
      </c>
      <c r="H142">
        <v>1824</v>
      </c>
      <c r="I142" t="s">
        <v>84</v>
      </c>
    </row>
    <row r="143" spans="2:9" x14ac:dyDescent="0.25">
      <c r="B143" t="s">
        <v>238</v>
      </c>
      <c r="C143" t="s">
        <v>1004</v>
      </c>
      <c r="D143" t="s">
        <v>23</v>
      </c>
      <c r="E143" s="7">
        <v>46014</v>
      </c>
      <c r="F143" t="s">
        <v>58</v>
      </c>
      <c r="G143">
        <v>6</v>
      </c>
      <c r="H143">
        <v>4799</v>
      </c>
      <c r="I143" t="s">
        <v>76</v>
      </c>
    </row>
    <row r="144" spans="2:9" x14ac:dyDescent="0.25">
      <c r="B144" t="s">
        <v>239</v>
      </c>
      <c r="C144" t="s">
        <v>1010</v>
      </c>
      <c r="D144" t="s">
        <v>19</v>
      </c>
      <c r="E144" s="7">
        <v>45855</v>
      </c>
      <c r="F144" t="s">
        <v>58</v>
      </c>
      <c r="G144">
        <v>8</v>
      </c>
      <c r="H144">
        <v>884</v>
      </c>
      <c r="I144" t="s">
        <v>81</v>
      </c>
    </row>
    <row r="145" spans="2:9" x14ac:dyDescent="0.25">
      <c r="B145" t="s">
        <v>240</v>
      </c>
      <c r="C145" t="s">
        <v>1015</v>
      </c>
      <c r="D145" t="s">
        <v>19</v>
      </c>
      <c r="E145" s="7">
        <v>45997</v>
      </c>
      <c r="F145" t="s">
        <v>58</v>
      </c>
      <c r="G145">
        <v>8</v>
      </c>
      <c r="H145">
        <v>404</v>
      </c>
      <c r="I145" t="s">
        <v>81</v>
      </c>
    </row>
    <row r="146" spans="2:9" x14ac:dyDescent="0.25">
      <c r="B146" t="s">
        <v>241</v>
      </c>
      <c r="C146" t="s">
        <v>1017</v>
      </c>
      <c r="D146" t="s">
        <v>17</v>
      </c>
      <c r="E146" s="7">
        <v>46004</v>
      </c>
      <c r="F146" t="s">
        <v>58</v>
      </c>
      <c r="G146">
        <v>10</v>
      </c>
      <c r="H146">
        <v>64</v>
      </c>
      <c r="I146" t="s">
        <v>81</v>
      </c>
    </row>
    <row r="147" spans="2:9" x14ac:dyDescent="0.25">
      <c r="B147" t="s">
        <v>242</v>
      </c>
      <c r="C147" t="s">
        <v>1005</v>
      </c>
      <c r="D147" t="s">
        <v>19</v>
      </c>
      <c r="E147" s="7">
        <v>45705</v>
      </c>
      <c r="F147" t="s">
        <v>58</v>
      </c>
      <c r="G147">
        <v>9</v>
      </c>
      <c r="H147">
        <v>381</v>
      </c>
      <c r="I147" t="s">
        <v>84</v>
      </c>
    </row>
    <row r="148" spans="2:9" x14ac:dyDescent="0.25">
      <c r="B148" t="s">
        <v>243</v>
      </c>
      <c r="C148" t="s">
        <v>1005</v>
      </c>
      <c r="D148" t="s">
        <v>21</v>
      </c>
      <c r="E148" s="7">
        <v>45925</v>
      </c>
      <c r="F148" t="s">
        <v>58</v>
      </c>
      <c r="G148">
        <v>6</v>
      </c>
      <c r="H148">
        <v>3196</v>
      </c>
      <c r="I148" t="s">
        <v>81</v>
      </c>
    </row>
    <row r="149" spans="2:9" x14ac:dyDescent="0.25">
      <c r="B149" t="s">
        <v>244</v>
      </c>
      <c r="C149" t="s">
        <v>1012</v>
      </c>
      <c r="D149" t="s">
        <v>17</v>
      </c>
      <c r="E149" s="7">
        <v>45958</v>
      </c>
      <c r="F149" t="s">
        <v>58</v>
      </c>
      <c r="G149">
        <v>1</v>
      </c>
      <c r="H149">
        <v>4203</v>
      </c>
      <c r="I149" t="s">
        <v>84</v>
      </c>
    </row>
    <row r="150" spans="2:9" x14ac:dyDescent="0.25">
      <c r="B150" t="s">
        <v>245</v>
      </c>
      <c r="C150" t="s">
        <v>1019</v>
      </c>
      <c r="D150" t="s">
        <v>17</v>
      </c>
      <c r="E150" s="7">
        <v>45762</v>
      </c>
      <c r="F150" t="s">
        <v>58</v>
      </c>
      <c r="G150">
        <v>2</v>
      </c>
      <c r="H150">
        <v>416</v>
      </c>
      <c r="I150" t="s">
        <v>76</v>
      </c>
    </row>
    <row r="151" spans="2:9" x14ac:dyDescent="0.25">
      <c r="B151" t="s">
        <v>246</v>
      </c>
      <c r="C151" t="s">
        <v>1018</v>
      </c>
      <c r="D151" t="s">
        <v>19</v>
      </c>
      <c r="E151" s="7">
        <v>45886</v>
      </c>
      <c r="F151" t="s">
        <v>58</v>
      </c>
      <c r="G151">
        <v>6</v>
      </c>
      <c r="H151">
        <v>2628</v>
      </c>
      <c r="I151" t="s">
        <v>76</v>
      </c>
    </row>
    <row r="152" spans="2:9" x14ac:dyDescent="0.25">
      <c r="B152" t="s">
        <v>247</v>
      </c>
      <c r="C152" t="s">
        <v>1010</v>
      </c>
      <c r="D152" t="s">
        <v>19</v>
      </c>
      <c r="E152" s="7">
        <v>45754</v>
      </c>
      <c r="F152" t="s">
        <v>58</v>
      </c>
      <c r="G152">
        <v>7</v>
      </c>
      <c r="H152">
        <v>3028</v>
      </c>
      <c r="I152" t="s">
        <v>84</v>
      </c>
    </row>
    <row r="153" spans="2:9" x14ac:dyDescent="0.25">
      <c r="B153" t="s">
        <v>248</v>
      </c>
      <c r="C153" t="s">
        <v>1019</v>
      </c>
      <c r="D153" t="s">
        <v>19</v>
      </c>
      <c r="E153" s="7">
        <v>45774</v>
      </c>
      <c r="F153" t="s">
        <v>58</v>
      </c>
      <c r="G153">
        <v>9</v>
      </c>
      <c r="H153">
        <v>2602</v>
      </c>
      <c r="I153" t="s">
        <v>84</v>
      </c>
    </row>
    <row r="154" spans="2:9" x14ac:dyDescent="0.25">
      <c r="B154" t="s">
        <v>249</v>
      </c>
      <c r="C154" t="s">
        <v>1010</v>
      </c>
      <c r="D154" t="s">
        <v>19</v>
      </c>
      <c r="E154" s="7">
        <v>45935</v>
      </c>
      <c r="F154" t="s">
        <v>58</v>
      </c>
      <c r="G154">
        <v>2</v>
      </c>
      <c r="H154">
        <v>3659</v>
      </c>
      <c r="I154" t="s">
        <v>81</v>
      </c>
    </row>
    <row r="155" spans="2:9" x14ac:dyDescent="0.25">
      <c r="B155" t="s">
        <v>250</v>
      </c>
      <c r="C155" t="s">
        <v>1012</v>
      </c>
      <c r="D155" t="s">
        <v>17</v>
      </c>
      <c r="E155" s="7">
        <v>45711</v>
      </c>
      <c r="F155" t="s">
        <v>58</v>
      </c>
      <c r="G155">
        <v>8</v>
      </c>
      <c r="H155">
        <v>2356</v>
      </c>
      <c r="I155" t="s">
        <v>84</v>
      </c>
    </row>
    <row r="156" spans="2:9" x14ac:dyDescent="0.25">
      <c r="B156" t="s">
        <v>251</v>
      </c>
      <c r="C156" t="s">
        <v>1014</v>
      </c>
      <c r="D156" t="s">
        <v>21</v>
      </c>
      <c r="E156" s="7">
        <v>45981</v>
      </c>
      <c r="F156" t="s">
        <v>58</v>
      </c>
      <c r="G156">
        <v>3</v>
      </c>
      <c r="H156">
        <v>1159</v>
      </c>
      <c r="I156" t="s">
        <v>84</v>
      </c>
    </row>
    <row r="157" spans="2:9" x14ac:dyDescent="0.25">
      <c r="B157" t="s">
        <v>252</v>
      </c>
      <c r="C157" t="s">
        <v>1015</v>
      </c>
      <c r="D157" t="s">
        <v>19</v>
      </c>
      <c r="E157" s="7">
        <v>45721</v>
      </c>
      <c r="F157" t="s">
        <v>58</v>
      </c>
      <c r="G157">
        <v>4</v>
      </c>
      <c r="H157">
        <v>1364</v>
      </c>
      <c r="I157" t="s">
        <v>81</v>
      </c>
    </row>
    <row r="158" spans="2:9" x14ac:dyDescent="0.25">
      <c r="B158" t="s">
        <v>253</v>
      </c>
      <c r="C158" t="s">
        <v>1005</v>
      </c>
      <c r="D158" t="s">
        <v>14</v>
      </c>
      <c r="E158" s="7">
        <v>45701</v>
      </c>
      <c r="F158" t="s">
        <v>58</v>
      </c>
      <c r="G158">
        <v>4</v>
      </c>
      <c r="H158">
        <v>608</v>
      </c>
      <c r="I158" t="s">
        <v>84</v>
      </c>
    </row>
    <row r="159" spans="2:9" x14ac:dyDescent="0.25">
      <c r="B159" t="s">
        <v>254</v>
      </c>
      <c r="C159" t="s">
        <v>1010</v>
      </c>
      <c r="D159" t="s">
        <v>14</v>
      </c>
      <c r="E159" s="7">
        <v>45724</v>
      </c>
      <c r="F159" t="s">
        <v>58</v>
      </c>
      <c r="G159">
        <v>9</v>
      </c>
      <c r="H159">
        <v>344</v>
      </c>
      <c r="I159" t="s">
        <v>76</v>
      </c>
    </row>
    <row r="160" spans="2:9" x14ac:dyDescent="0.25">
      <c r="B160" t="s">
        <v>255</v>
      </c>
      <c r="C160" t="s">
        <v>1009</v>
      </c>
      <c r="D160" t="s">
        <v>11</v>
      </c>
      <c r="E160" s="7">
        <v>45725</v>
      </c>
      <c r="F160" t="s">
        <v>58</v>
      </c>
      <c r="G160">
        <v>7</v>
      </c>
      <c r="H160">
        <v>3348</v>
      </c>
      <c r="I160" t="s">
        <v>76</v>
      </c>
    </row>
    <row r="161" spans="2:9" x14ac:dyDescent="0.25">
      <c r="B161" t="s">
        <v>256</v>
      </c>
      <c r="C161" t="s">
        <v>1014</v>
      </c>
      <c r="D161" t="s">
        <v>17</v>
      </c>
      <c r="E161" s="7">
        <v>45676</v>
      </c>
      <c r="F161" t="s">
        <v>58</v>
      </c>
      <c r="G161">
        <v>9</v>
      </c>
      <c r="H161">
        <v>1264</v>
      </c>
      <c r="I161" t="s">
        <v>76</v>
      </c>
    </row>
    <row r="162" spans="2:9" x14ac:dyDescent="0.25">
      <c r="B162" t="s">
        <v>257</v>
      </c>
      <c r="C162" t="s">
        <v>1020</v>
      </c>
      <c r="D162" t="s">
        <v>21</v>
      </c>
      <c r="E162" s="7">
        <v>45669</v>
      </c>
      <c r="F162" t="s">
        <v>58</v>
      </c>
      <c r="G162">
        <v>1</v>
      </c>
      <c r="H162">
        <v>2005</v>
      </c>
      <c r="I162" t="s">
        <v>81</v>
      </c>
    </row>
    <row r="163" spans="2:9" x14ac:dyDescent="0.25">
      <c r="B163" t="s">
        <v>258</v>
      </c>
      <c r="C163" t="s">
        <v>1007</v>
      </c>
      <c r="D163" t="s">
        <v>21</v>
      </c>
      <c r="E163" s="7">
        <v>45902</v>
      </c>
      <c r="F163" t="s">
        <v>58</v>
      </c>
      <c r="G163">
        <v>1</v>
      </c>
      <c r="H163">
        <v>2352</v>
      </c>
      <c r="I163" t="s">
        <v>81</v>
      </c>
    </row>
    <row r="164" spans="2:9" x14ac:dyDescent="0.25">
      <c r="B164" t="s">
        <v>259</v>
      </c>
      <c r="C164" t="s">
        <v>1011</v>
      </c>
      <c r="D164" t="s">
        <v>19</v>
      </c>
      <c r="E164" s="7">
        <v>45933</v>
      </c>
      <c r="F164" t="s">
        <v>58</v>
      </c>
      <c r="G164">
        <v>2</v>
      </c>
      <c r="H164">
        <v>411</v>
      </c>
      <c r="I164" t="s">
        <v>76</v>
      </c>
    </row>
    <row r="165" spans="2:9" x14ac:dyDescent="0.25">
      <c r="B165" t="s">
        <v>260</v>
      </c>
      <c r="C165" t="s">
        <v>1014</v>
      </c>
      <c r="D165" t="s">
        <v>21</v>
      </c>
      <c r="E165" s="7">
        <v>45851</v>
      </c>
      <c r="F165" t="s">
        <v>58</v>
      </c>
      <c r="G165">
        <v>6</v>
      </c>
      <c r="H165">
        <v>3082</v>
      </c>
      <c r="I165" t="s">
        <v>76</v>
      </c>
    </row>
    <row r="166" spans="2:9" x14ac:dyDescent="0.25">
      <c r="B166" t="s">
        <v>261</v>
      </c>
      <c r="C166" t="s">
        <v>1021</v>
      </c>
      <c r="D166" t="s">
        <v>19</v>
      </c>
      <c r="E166" s="7">
        <v>45658</v>
      </c>
      <c r="F166" t="s">
        <v>58</v>
      </c>
      <c r="G166">
        <v>5</v>
      </c>
      <c r="H166">
        <v>3646</v>
      </c>
      <c r="I166" t="s">
        <v>76</v>
      </c>
    </row>
    <row r="167" spans="2:9" x14ac:dyDescent="0.25">
      <c r="B167" t="s">
        <v>262</v>
      </c>
      <c r="C167" t="s">
        <v>1014</v>
      </c>
      <c r="D167" t="s">
        <v>21</v>
      </c>
      <c r="E167" s="7">
        <v>45693</v>
      </c>
      <c r="F167" t="s">
        <v>58</v>
      </c>
      <c r="G167">
        <v>8</v>
      </c>
      <c r="H167">
        <v>4176</v>
      </c>
      <c r="I167" t="s">
        <v>81</v>
      </c>
    </row>
    <row r="168" spans="2:9" x14ac:dyDescent="0.25">
      <c r="B168" t="s">
        <v>263</v>
      </c>
      <c r="C168" t="s">
        <v>1022</v>
      </c>
      <c r="D168" t="s">
        <v>21</v>
      </c>
      <c r="E168" s="7">
        <v>45811</v>
      </c>
      <c r="F168" t="s">
        <v>58</v>
      </c>
      <c r="G168">
        <v>10</v>
      </c>
      <c r="H168">
        <v>3089</v>
      </c>
      <c r="I168" t="s">
        <v>76</v>
      </c>
    </row>
    <row r="169" spans="2:9" x14ac:dyDescent="0.25">
      <c r="B169" t="s">
        <v>264</v>
      </c>
      <c r="C169" t="s">
        <v>1012</v>
      </c>
      <c r="D169" t="s">
        <v>17</v>
      </c>
      <c r="E169" s="7">
        <v>45795</v>
      </c>
      <c r="F169" t="s">
        <v>58</v>
      </c>
      <c r="G169">
        <v>10</v>
      </c>
      <c r="H169">
        <v>2616</v>
      </c>
      <c r="I169" t="s">
        <v>84</v>
      </c>
    </row>
    <row r="170" spans="2:9" x14ac:dyDescent="0.25">
      <c r="B170" t="s">
        <v>265</v>
      </c>
      <c r="C170" t="s">
        <v>1012</v>
      </c>
      <c r="D170" t="s">
        <v>17</v>
      </c>
      <c r="E170" s="7">
        <v>45669</v>
      </c>
      <c r="F170" t="s">
        <v>58</v>
      </c>
      <c r="G170">
        <v>9</v>
      </c>
      <c r="H170">
        <v>1328</v>
      </c>
      <c r="I170" t="s">
        <v>76</v>
      </c>
    </row>
    <row r="171" spans="2:9" x14ac:dyDescent="0.25">
      <c r="B171" t="s">
        <v>266</v>
      </c>
      <c r="C171" t="s">
        <v>1008</v>
      </c>
      <c r="D171" t="s">
        <v>21</v>
      </c>
      <c r="E171" s="7">
        <v>45733</v>
      </c>
      <c r="F171" t="s">
        <v>58</v>
      </c>
      <c r="G171">
        <v>1</v>
      </c>
      <c r="H171">
        <v>1613</v>
      </c>
      <c r="I171" t="s">
        <v>84</v>
      </c>
    </row>
    <row r="172" spans="2:9" x14ac:dyDescent="0.25">
      <c r="B172" t="s">
        <v>267</v>
      </c>
      <c r="C172" t="s">
        <v>1004</v>
      </c>
      <c r="D172" t="s">
        <v>14</v>
      </c>
      <c r="E172" s="7">
        <v>45940</v>
      </c>
      <c r="F172" t="s">
        <v>58</v>
      </c>
      <c r="G172">
        <v>6</v>
      </c>
      <c r="H172">
        <v>2197</v>
      </c>
      <c r="I172" t="s">
        <v>84</v>
      </c>
    </row>
    <row r="173" spans="2:9" x14ac:dyDescent="0.25">
      <c r="B173" t="s">
        <v>268</v>
      </c>
      <c r="C173" t="s">
        <v>1007</v>
      </c>
      <c r="D173" t="s">
        <v>11</v>
      </c>
      <c r="E173" s="7">
        <v>45692</v>
      </c>
      <c r="F173" t="s">
        <v>58</v>
      </c>
      <c r="G173">
        <v>2</v>
      </c>
      <c r="H173">
        <v>642</v>
      </c>
      <c r="I173" t="s">
        <v>81</v>
      </c>
    </row>
    <row r="174" spans="2:9" x14ac:dyDescent="0.25">
      <c r="B174" t="s">
        <v>269</v>
      </c>
      <c r="C174" t="s">
        <v>1016</v>
      </c>
      <c r="D174" t="s">
        <v>11</v>
      </c>
      <c r="E174" s="7">
        <v>45823</v>
      </c>
      <c r="F174" t="s">
        <v>58</v>
      </c>
      <c r="G174">
        <v>6</v>
      </c>
      <c r="H174">
        <v>812</v>
      </c>
      <c r="I174" t="s">
        <v>84</v>
      </c>
    </row>
    <row r="175" spans="2:9" x14ac:dyDescent="0.25">
      <c r="B175" t="s">
        <v>270</v>
      </c>
      <c r="C175" t="s">
        <v>1004</v>
      </c>
      <c r="D175" t="s">
        <v>23</v>
      </c>
      <c r="E175" s="7">
        <v>45882</v>
      </c>
      <c r="F175" t="s">
        <v>58</v>
      </c>
      <c r="G175">
        <v>5</v>
      </c>
      <c r="H175">
        <v>423</v>
      </c>
      <c r="I175" t="s">
        <v>84</v>
      </c>
    </row>
    <row r="176" spans="2:9" x14ac:dyDescent="0.25">
      <c r="B176" t="s">
        <v>271</v>
      </c>
      <c r="C176" t="s">
        <v>1009</v>
      </c>
      <c r="D176" t="s">
        <v>14</v>
      </c>
      <c r="E176" s="7">
        <v>45832</v>
      </c>
      <c r="F176" t="s">
        <v>58</v>
      </c>
      <c r="G176">
        <v>10</v>
      </c>
      <c r="H176">
        <v>3496</v>
      </c>
      <c r="I176" t="s">
        <v>84</v>
      </c>
    </row>
    <row r="177" spans="2:9" x14ac:dyDescent="0.25">
      <c r="B177" t="s">
        <v>272</v>
      </c>
      <c r="C177" t="s">
        <v>1009</v>
      </c>
      <c r="D177" t="s">
        <v>21</v>
      </c>
      <c r="E177" s="7">
        <v>45810</v>
      </c>
      <c r="F177" t="s">
        <v>58</v>
      </c>
      <c r="G177">
        <v>5</v>
      </c>
      <c r="H177">
        <v>2921</v>
      </c>
      <c r="I177" t="s">
        <v>76</v>
      </c>
    </row>
    <row r="178" spans="2:9" x14ac:dyDescent="0.25">
      <c r="B178" t="s">
        <v>273</v>
      </c>
      <c r="C178" t="s">
        <v>1012</v>
      </c>
      <c r="D178" t="s">
        <v>21</v>
      </c>
      <c r="E178" s="7">
        <v>46003</v>
      </c>
      <c r="F178" t="s">
        <v>58</v>
      </c>
      <c r="G178">
        <v>9</v>
      </c>
      <c r="H178">
        <v>2875</v>
      </c>
      <c r="I178" t="s">
        <v>76</v>
      </c>
    </row>
    <row r="179" spans="2:9" x14ac:dyDescent="0.25">
      <c r="B179" t="s">
        <v>274</v>
      </c>
      <c r="C179" t="s">
        <v>1017</v>
      </c>
      <c r="D179" t="s">
        <v>21</v>
      </c>
      <c r="E179" s="7">
        <v>45981</v>
      </c>
      <c r="F179" t="s">
        <v>58</v>
      </c>
      <c r="G179">
        <v>1</v>
      </c>
      <c r="H179">
        <v>1385</v>
      </c>
      <c r="I179" t="s">
        <v>81</v>
      </c>
    </row>
    <row r="180" spans="2:9" x14ac:dyDescent="0.25">
      <c r="B180" t="s">
        <v>275</v>
      </c>
      <c r="C180" t="s">
        <v>1016</v>
      </c>
      <c r="D180" t="s">
        <v>14</v>
      </c>
      <c r="E180" s="7">
        <v>45707</v>
      </c>
      <c r="F180" t="s">
        <v>58</v>
      </c>
      <c r="G180">
        <v>7</v>
      </c>
      <c r="H180">
        <v>2782</v>
      </c>
      <c r="I180" t="s">
        <v>76</v>
      </c>
    </row>
    <row r="181" spans="2:9" x14ac:dyDescent="0.25">
      <c r="B181" t="s">
        <v>276</v>
      </c>
      <c r="C181" t="s">
        <v>1012</v>
      </c>
      <c r="D181" t="s">
        <v>11</v>
      </c>
      <c r="E181" s="7">
        <v>45700</v>
      </c>
      <c r="F181" t="s">
        <v>58</v>
      </c>
      <c r="G181">
        <v>3</v>
      </c>
      <c r="H181">
        <v>270</v>
      </c>
      <c r="I181" t="s">
        <v>84</v>
      </c>
    </row>
    <row r="182" spans="2:9" x14ac:dyDescent="0.25">
      <c r="B182" t="s">
        <v>277</v>
      </c>
      <c r="C182" t="s">
        <v>1008</v>
      </c>
      <c r="D182" t="s">
        <v>21</v>
      </c>
      <c r="E182" s="7">
        <v>45782</v>
      </c>
      <c r="F182" t="s">
        <v>58</v>
      </c>
      <c r="G182">
        <v>1</v>
      </c>
      <c r="H182">
        <v>3315</v>
      </c>
      <c r="I182" t="s">
        <v>84</v>
      </c>
    </row>
    <row r="183" spans="2:9" x14ac:dyDescent="0.25">
      <c r="B183" t="s">
        <v>278</v>
      </c>
      <c r="C183" t="s">
        <v>1010</v>
      </c>
      <c r="D183" t="s">
        <v>14</v>
      </c>
      <c r="E183" s="7">
        <v>45942</v>
      </c>
      <c r="F183" t="s">
        <v>58</v>
      </c>
      <c r="G183">
        <v>3</v>
      </c>
      <c r="H183">
        <v>295</v>
      </c>
      <c r="I183" t="s">
        <v>84</v>
      </c>
    </row>
    <row r="184" spans="2:9" x14ac:dyDescent="0.25">
      <c r="B184" t="s">
        <v>279</v>
      </c>
      <c r="C184" t="s">
        <v>1017</v>
      </c>
      <c r="D184" t="s">
        <v>11</v>
      </c>
      <c r="E184" s="7">
        <v>45800</v>
      </c>
      <c r="F184" t="s">
        <v>58</v>
      </c>
      <c r="G184">
        <v>9</v>
      </c>
      <c r="H184">
        <v>834</v>
      </c>
      <c r="I184" t="s">
        <v>76</v>
      </c>
    </row>
    <row r="185" spans="2:9" x14ac:dyDescent="0.25">
      <c r="B185" t="s">
        <v>280</v>
      </c>
      <c r="C185" t="s">
        <v>1014</v>
      </c>
      <c r="D185" t="s">
        <v>23</v>
      </c>
      <c r="E185" s="7">
        <v>45907</v>
      </c>
      <c r="F185" t="s">
        <v>58</v>
      </c>
      <c r="G185">
        <v>7</v>
      </c>
      <c r="H185">
        <v>3427</v>
      </c>
      <c r="I185" t="s">
        <v>81</v>
      </c>
    </row>
    <row r="186" spans="2:9" x14ac:dyDescent="0.25">
      <c r="B186" t="s">
        <v>281</v>
      </c>
      <c r="C186" t="s">
        <v>1021</v>
      </c>
      <c r="D186" t="s">
        <v>27</v>
      </c>
      <c r="E186" s="7">
        <v>45737</v>
      </c>
      <c r="F186" t="s">
        <v>58</v>
      </c>
      <c r="G186">
        <v>4</v>
      </c>
      <c r="H186">
        <v>2909</v>
      </c>
      <c r="I186" t="s">
        <v>84</v>
      </c>
    </row>
    <row r="187" spans="2:9" x14ac:dyDescent="0.25">
      <c r="B187" t="s">
        <v>282</v>
      </c>
      <c r="C187" t="s">
        <v>1015</v>
      </c>
      <c r="D187" t="s">
        <v>27</v>
      </c>
      <c r="E187" s="7">
        <v>46009</v>
      </c>
      <c r="F187" t="s">
        <v>58</v>
      </c>
      <c r="G187">
        <v>3</v>
      </c>
      <c r="H187">
        <v>2913</v>
      </c>
      <c r="I187" t="s">
        <v>81</v>
      </c>
    </row>
    <row r="188" spans="2:9" x14ac:dyDescent="0.25">
      <c r="B188" t="s">
        <v>283</v>
      </c>
      <c r="C188" t="s">
        <v>1010</v>
      </c>
      <c r="D188" t="s">
        <v>21</v>
      </c>
      <c r="E188" s="7">
        <v>46000</v>
      </c>
      <c r="F188" t="s">
        <v>58</v>
      </c>
      <c r="G188">
        <v>9</v>
      </c>
      <c r="H188">
        <v>3411</v>
      </c>
      <c r="I188" t="s">
        <v>76</v>
      </c>
    </row>
    <row r="189" spans="2:9" x14ac:dyDescent="0.25">
      <c r="B189" t="s">
        <v>284</v>
      </c>
      <c r="C189" t="s">
        <v>1021</v>
      </c>
      <c r="D189" t="s">
        <v>21</v>
      </c>
      <c r="E189" s="7">
        <v>45977</v>
      </c>
      <c r="F189" t="s">
        <v>58</v>
      </c>
      <c r="G189">
        <v>2</v>
      </c>
      <c r="H189">
        <v>3209</v>
      </c>
      <c r="I189" t="s">
        <v>76</v>
      </c>
    </row>
    <row r="190" spans="2:9" x14ac:dyDescent="0.25">
      <c r="B190" t="s">
        <v>285</v>
      </c>
      <c r="C190" t="s">
        <v>1009</v>
      </c>
      <c r="D190" t="s">
        <v>14</v>
      </c>
      <c r="E190" s="7">
        <v>45721</v>
      </c>
      <c r="F190" t="s">
        <v>58</v>
      </c>
      <c r="G190">
        <v>1</v>
      </c>
      <c r="H190">
        <v>2437</v>
      </c>
      <c r="I190" t="s">
        <v>84</v>
      </c>
    </row>
    <row r="191" spans="2:9" x14ac:dyDescent="0.25">
      <c r="B191" t="s">
        <v>286</v>
      </c>
      <c r="C191" t="s">
        <v>1008</v>
      </c>
      <c r="D191" t="s">
        <v>23</v>
      </c>
      <c r="E191" s="7">
        <v>45667</v>
      </c>
      <c r="F191" t="s">
        <v>58</v>
      </c>
      <c r="G191">
        <v>5</v>
      </c>
      <c r="H191">
        <v>55</v>
      </c>
      <c r="I191" t="s">
        <v>76</v>
      </c>
    </row>
    <row r="192" spans="2:9" x14ac:dyDescent="0.25">
      <c r="B192" t="s">
        <v>287</v>
      </c>
      <c r="C192" t="s">
        <v>1020</v>
      </c>
      <c r="D192" t="s">
        <v>21</v>
      </c>
      <c r="E192" s="7">
        <v>45844</v>
      </c>
      <c r="F192" t="s">
        <v>58</v>
      </c>
      <c r="G192">
        <v>9</v>
      </c>
      <c r="H192">
        <v>1329</v>
      </c>
      <c r="I192" t="s">
        <v>84</v>
      </c>
    </row>
    <row r="193" spans="2:9" x14ac:dyDescent="0.25">
      <c r="B193" t="s">
        <v>288</v>
      </c>
      <c r="C193" t="s">
        <v>1016</v>
      </c>
      <c r="D193" t="s">
        <v>21</v>
      </c>
      <c r="E193" s="7">
        <v>45759</v>
      </c>
      <c r="F193" t="s">
        <v>58</v>
      </c>
      <c r="G193">
        <v>8</v>
      </c>
      <c r="H193">
        <v>396</v>
      </c>
      <c r="I193" t="s">
        <v>84</v>
      </c>
    </row>
    <row r="194" spans="2:9" x14ac:dyDescent="0.25">
      <c r="B194" t="s">
        <v>289</v>
      </c>
      <c r="C194" t="s">
        <v>1021</v>
      </c>
      <c r="D194" t="s">
        <v>17</v>
      </c>
      <c r="E194" s="7">
        <v>46006</v>
      </c>
      <c r="F194" t="s">
        <v>58</v>
      </c>
      <c r="G194">
        <v>5</v>
      </c>
      <c r="H194">
        <v>2676</v>
      </c>
      <c r="I194" t="s">
        <v>84</v>
      </c>
    </row>
    <row r="195" spans="2:9" x14ac:dyDescent="0.25">
      <c r="B195" t="s">
        <v>290</v>
      </c>
      <c r="C195" t="s">
        <v>1007</v>
      </c>
      <c r="D195" t="s">
        <v>21</v>
      </c>
      <c r="E195" s="7">
        <v>45917</v>
      </c>
      <c r="F195" t="s">
        <v>58</v>
      </c>
      <c r="G195">
        <v>10</v>
      </c>
      <c r="H195">
        <v>2461</v>
      </c>
      <c r="I195" t="s">
        <v>84</v>
      </c>
    </row>
    <row r="196" spans="2:9" x14ac:dyDescent="0.25">
      <c r="B196" t="s">
        <v>291</v>
      </c>
      <c r="C196" t="s">
        <v>1011</v>
      </c>
      <c r="D196" t="s">
        <v>23</v>
      </c>
      <c r="E196" s="7">
        <v>45884</v>
      </c>
      <c r="F196" t="s">
        <v>58</v>
      </c>
      <c r="G196">
        <v>3</v>
      </c>
      <c r="H196">
        <v>348</v>
      </c>
      <c r="I196" t="s">
        <v>84</v>
      </c>
    </row>
    <row r="197" spans="2:9" x14ac:dyDescent="0.25">
      <c r="B197" t="s">
        <v>292</v>
      </c>
      <c r="C197" t="s">
        <v>1012</v>
      </c>
      <c r="D197" t="s">
        <v>19</v>
      </c>
      <c r="E197" s="7">
        <v>45862</v>
      </c>
      <c r="F197" t="s">
        <v>58</v>
      </c>
      <c r="G197">
        <v>1</v>
      </c>
      <c r="H197">
        <v>745</v>
      </c>
      <c r="I197" t="s">
        <v>76</v>
      </c>
    </row>
    <row r="198" spans="2:9" x14ac:dyDescent="0.25">
      <c r="B198" t="s">
        <v>293</v>
      </c>
      <c r="C198" t="s">
        <v>1009</v>
      </c>
      <c r="D198" t="s">
        <v>11</v>
      </c>
      <c r="E198" s="7">
        <v>45712</v>
      </c>
      <c r="F198" t="s">
        <v>58</v>
      </c>
      <c r="G198">
        <v>9</v>
      </c>
      <c r="H198">
        <v>4404</v>
      </c>
      <c r="I198" t="s">
        <v>81</v>
      </c>
    </row>
    <row r="199" spans="2:9" x14ac:dyDescent="0.25">
      <c r="B199" t="s">
        <v>294</v>
      </c>
      <c r="C199" t="s">
        <v>1016</v>
      </c>
      <c r="D199" t="s">
        <v>27</v>
      </c>
      <c r="E199" s="7">
        <v>45850</v>
      </c>
      <c r="F199" t="s">
        <v>58</v>
      </c>
      <c r="G199">
        <v>2</v>
      </c>
      <c r="H199">
        <v>948</v>
      </c>
      <c r="I199" t="s">
        <v>76</v>
      </c>
    </row>
    <row r="200" spans="2:9" x14ac:dyDescent="0.25">
      <c r="B200" t="s">
        <v>295</v>
      </c>
      <c r="C200" t="s">
        <v>1007</v>
      </c>
      <c r="D200" t="s">
        <v>11</v>
      </c>
      <c r="E200" s="7">
        <v>45666</v>
      </c>
      <c r="F200" t="s">
        <v>58</v>
      </c>
      <c r="G200">
        <v>3</v>
      </c>
      <c r="H200">
        <v>1245</v>
      </c>
      <c r="I200" t="s">
        <v>84</v>
      </c>
    </row>
    <row r="201" spans="2:9" x14ac:dyDescent="0.25">
      <c r="B201" t="s">
        <v>296</v>
      </c>
      <c r="C201" t="s">
        <v>1015</v>
      </c>
      <c r="D201" t="s">
        <v>23</v>
      </c>
      <c r="E201" s="7">
        <v>45832</v>
      </c>
      <c r="F201" t="s">
        <v>58</v>
      </c>
      <c r="G201">
        <v>1</v>
      </c>
      <c r="H201">
        <v>54</v>
      </c>
      <c r="I201" t="s">
        <v>81</v>
      </c>
    </row>
    <row r="202" spans="2:9" x14ac:dyDescent="0.25">
      <c r="B202" t="s">
        <v>297</v>
      </c>
      <c r="C202" t="s">
        <v>1020</v>
      </c>
      <c r="D202" t="s">
        <v>14</v>
      </c>
      <c r="E202" s="7">
        <v>45781</v>
      </c>
      <c r="F202" t="s">
        <v>58</v>
      </c>
      <c r="G202">
        <v>5</v>
      </c>
      <c r="H202">
        <v>3420</v>
      </c>
      <c r="I202" t="s">
        <v>76</v>
      </c>
    </row>
    <row r="203" spans="2:9" x14ac:dyDescent="0.25">
      <c r="B203" t="s">
        <v>298</v>
      </c>
      <c r="C203" t="s">
        <v>1022</v>
      </c>
      <c r="D203" t="s">
        <v>27</v>
      </c>
      <c r="E203" s="7">
        <v>45771</v>
      </c>
      <c r="F203" t="s">
        <v>58</v>
      </c>
      <c r="G203">
        <v>4</v>
      </c>
      <c r="H203">
        <v>1275</v>
      </c>
      <c r="I203" t="s">
        <v>76</v>
      </c>
    </row>
    <row r="204" spans="2:9" x14ac:dyDescent="0.25">
      <c r="B204" t="s">
        <v>299</v>
      </c>
      <c r="C204" t="s">
        <v>1018</v>
      </c>
      <c r="D204" t="s">
        <v>11</v>
      </c>
      <c r="E204" s="7">
        <v>45794</v>
      </c>
      <c r="F204" t="s">
        <v>58</v>
      </c>
      <c r="G204">
        <v>2</v>
      </c>
      <c r="H204">
        <v>4800</v>
      </c>
      <c r="I204" t="s">
        <v>81</v>
      </c>
    </row>
    <row r="205" spans="2:9" x14ac:dyDescent="0.25">
      <c r="B205" t="s">
        <v>300</v>
      </c>
      <c r="C205" t="s">
        <v>1011</v>
      </c>
      <c r="D205" t="s">
        <v>19</v>
      </c>
      <c r="E205" s="7">
        <v>45821</v>
      </c>
      <c r="F205" t="s">
        <v>58</v>
      </c>
      <c r="G205">
        <v>2</v>
      </c>
      <c r="H205">
        <v>4084</v>
      </c>
      <c r="I205" t="s">
        <v>84</v>
      </c>
    </row>
    <row r="206" spans="2:9" x14ac:dyDescent="0.25">
      <c r="B206" t="s">
        <v>301</v>
      </c>
      <c r="C206" t="s">
        <v>1016</v>
      </c>
      <c r="D206" t="s">
        <v>19</v>
      </c>
      <c r="E206" s="7">
        <v>45820</v>
      </c>
      <c r="F206" t="s">
        <v>58</v>
      </c>
      <c r="G206">
        <v>7</v>
      </c>
      <c r="H206">
        <v>501</v>
      </c>
      <c r="I206" t="s">
        <v>81</v>
      </c>
    </row>
    <row r="207" spans="2:9" x14ac:dyDescent="0.25">
      <c r="B207" t="s">
        <v>302</v>
      </c>
      <c r="C207" t="s">
        <v>1010</v>
      </c>
      <c r="D207" t="s">
        <v>11</v>
      </c>
      <c r="E207" s="7">
        <v>45895</v>
      </c>
      <c r="F207" t="s">
        <v>58</v>
      </c>
      <c r="G207">
        <v>8</v>
      </c>
      <c r="H207">
        <v>4220</v>
      </c>
      <c r="I207" t="s">
        <v>76</v>
      </c>
    </row>
    <row r="208" spans="2:9" x14ac:dyDescent="0.25">
      <c r="B208" t="s">
        <v>303</v>
      </c>
      <c r="C208" t="s">
        <v>1006</v>
      </c>
      <c r="D208" t="s">
        <v>21</v>
      </c>
      <c r="E208" s="7">
        <v>45759</v>
      </c>
      <c r="F208" t="s">
        <v>58</v>
      </c>
      <c r="G208">
        <v>2</v>
      </c>
      <c r="H208">
        <v>1828</v>
      </c>
      <c r="I208" t="s">
        <v>81</v>
      </c>
    </row>
    <row r="209" spans="2:9" x14ac:dyDescent="0.25">
      <c r="B209" t="s">
        <v>304</v>
      </c>
      <c r="C209" t="s">
        <v>1007</v>
      </c>
      <c r="D209" t="s">
        <v>17</v>
      </c>
      <c r="E209" s="7">
        <v>45798</v>
      </c>
      <c r="F209" t="s">
        <v>58</v>
      </c>
      <c r="G209">
        <v>8</v>
      </c>
      <c r="H209">
        <v>3648</v>
      </c>
      <c r="I209" t="s">
        <v>84</v>
      </c>
    </row>
    <row r="210" spans="2:9" x14ac:dyDescent="0.25">
      <c r="B210" t="s">
        <v>305</v>
      </c>
      <c r="C210" t="s">
        <v>1010</v>
      </c>
      <c r="D210" t="s">
        <v>21</v>
      </c>
      <c r="E210" s="7">
        <v>45982</v>
      </c>
      <c r="F210" t="s">
        <v>58</v>
      </c>
      <c r="G210">
        <v>8</v>
      </c>
      <c r="H210">
        <v>1406</v>
      </c>
      <c r="I210" t="s">
        <v>84</v>
      </c>
    </row>
    <row r="211" spans="2:9" x14ac:dyDescent="0.25">
      <c r="B211" t="s">
        <v>306</v>
      </c>
      <c r="C211" t="s">
        <v>1005</v>
      </c>
      <c r="D211" t="s">
        <v>14</v>
      </c>
      <c r="E211" s="7">
        <v>45676</v>
      </c>
      <c r="F211" t="s">
        <v>58</v>
      </c>
      <c r="G211">
        <v>8</v>
      </c>
      <c r="H211">
        <v>599</v>
      </c>
      <c r="I211" t="s">
        <v>81</v>
      </c>
    </row>
    <row r="212" spans="2:9" x14ac:dyDescent="0.25">
      <c r="B212" t="s">
        <v>307</v>
      </c>
      <c r="C212" t="s">
        <v>1022</v>
      </c>
      <c r="D212" t="s">
        <v>19</v>
      </c>
      <c r="E212" s="7">
        <v>45798</v>
      </c>
      <c r="F212" t="s">
        <v>58</v>
      </c>
      <c r="G212">
        <v>8</v>
      </c>
      <c r="H212">
        <v>3069</v>
      </c>
      <c r="I212" t="s">
        <v>76</v>
      </c>
    </row>
    <row r="213" spans="2:9" x14ac:dyDescent="0.25">
      <c r="B213" t="s">
        <v>308</v>
      </c>
      <c r="C213" t="s">
        <v>1014</v>
      </c>
      <c r="D213" t="s">
        <v>27</v>
      </c>
      <c r="E213" s="7">
        <v>45981</v>
      </c>
      <c r="F213" t="s">
        <v>58</v>
      </c>
      <c r="G213">
        <v>9</v>
      </c>
      <c r="H213">
        <v>4509</v>
      </c>
      <c r="I213" t="s">
        <v>81</v>
      </c>
    </row>
    <row r="214" spans="2:9" x14ac:dyDescent="0.25">
      <c r="B214" t="s">
        <v>309</v>
      </c>
      <c r="C214" t="s">
        <v>1013</v>
      </c>
      <c r="D214" t="s">
        <v>21</v>
      </c>
      <c r="E214" s="7">
        <v>45781</v>
      </c>
      <c r="F214" t="s">
        <v>58</v>
      </c>
      <c r="G214">
        <v>9</v>
      </c>
      <c r="H214">
        <v>1933</v>
      </c>
      <c r="I214" t="s">
        <v>84</v>
      </c>
    </row>
    <row r="215" spans="2:9" x14ac:dyDescent="0.25">
      <c r="B215" t="s">
        <v>310</v>
      </c>
      <c r="C215" t="s">
        <v>1021</v>
      </c>
      <c r="D215" t="s">
        <v>11</v>
      </c>
      <c r="E215" s="7">
        <v>45780</v>
      </c>
      <c r="F215" t="s">
        <v>58</v>
      </c>
      <c r="G215">
        <v>5</v>
      </c>
      <c r="H215">
        <v>1153</v>
      </c>
      <c r="I215" t="s">
        <v>84</v>
      </c>
    </row>
    <row r="216" spans="2:9" x14ac:dyDescent="0.25">
      <c r="B216" t="s">
        <v>311</v>
      </c>
      <c r="C216" t="s">
        <v>1012</v>
      </c>
      <c r="D216" t="s">
        <v>19</v>
      </c>
      <c r="E216" s="7">
        <v>45828</v>
      </c>
      <c r="F216" t="s">
        <v>58</v>
      </c>
      <c r="G216">
        <v>1</v>
      </c>
      <c r="H216">
        <v>4322</v>
      </c>
      <c r="I216" t="s">
        <v>76</v>
      </c>
    </row>
    <row r="217" spans="2:9" x14ac:dyDescent="0.25">
      <c r="B217" t="s">
        <v>312</v>
      </c>
      <c r="C217" t="s">
        <v>1016</v>
      </c>
      <c r="D217" t="s">
        <v>17</v>
      </c>
      <c r="E217" s="7">
        <v>45819</v>
      </c>
      <c r="F217" t="s">
        <v>58</v>
      </c>
      <c r="G217">
        <v>1</v>
      </c>
      <c r="H217">
        <v>2461</v>
      </c>
      <c r="I217" t="s">
        <v>76</v>
      </c>
    </row>
    <row r="218" spans="2:9" x14ac:dyDescent="0.25">
      <c r="B218" t="s">
        <v>313</v>
      </c>
      <c r="C218" t="s">
        <v>1016</v>
      </c>
      <c r="D218" t="s">
        <v>11</v>
      </c>
      <c r="E218" s="7">
        <v>45855</v>
      </c>
      <c r="F218" t="s">
        <v>58</v>
      </c>
      <c r="G218">
        <v>5</v>
      </c>
      <c r="H218">
        <v>2860</v>
      </c>
      <c r="I218" t="s">
        <v>84</v>
      </c>
    </row>
    <row r="219" spans="2:9" x14ac:dyDescent="0.25">
      <c r="B219" t="s">
        <v>314</v>
      </c>
      <c r="C219" t="s">
        <v>1020</v>
      </c>
      <c r="D219" t="s">
        <v>21</v>
      </c>
      <c r="E219" s="7">
        <v>45724</v>
      </c>
      <c r="F219" t="s">
        <v>58</v>
      </c>
      <c r="G219">
        <v>4</v>
      </c>
      <c r="H219">
        <v>1680</v>
      </c>
      <c r="I219" t="s">
        <v>84</v>
      </c>
    </row>
    <row r="220" spans="2:9" x14ac:dyDescent="0.25">
      <c r="B220" t="s">
        <v>315</v>
      </c>
      <c r="C220" t="s">
        <v>1017</v>
      </c>
      <c r="D220" t="s">
        <v>17</v>
      </c>
      <c r="E220" s="7">
        <v>45998</v>
      </c>
      <c r="F220" t="s">
        <v>58</v>
      </c>
      <c r="G220">
        <v>4</v>
      </c>
      <c r="H220">
        <v>1382</v>
      </c>
      <c r="I220" t="s">
        <v>84</v>
      </c>
    </row>
    <row r="221" spans="2:9" x14ac:dyDescent="0.25">
      <c r="B221" t="s">
        <v>316</v>
      </c>
      <c r="C221" t="s">
        <v>1015</v>
      </c>
      <c r="D221" t="s">
        <v>14</v>
      </c>
      <c r="E221" s="7">
        <v>46014</v>
      </c>
      <c r="F221" t="s">
        <v>58</v>
      </c>
      <c r="G221">
        <v>4</v>
      </c>
      <c r="H221">
        <v>3265</v>
      </c>
      <c r="I221" t="s">
        <v>81</v>
      </c>
    </row>
    <row r="222" spans="2:9" x14ac:dyDescent="0.25">
      <c r="B222" t="s">
        <v>317</v>
      </c>
      <c r="C222" t="s">
        <v>1005</v>
      </c>
      <c r="D222" t="s">
        <v>27</v>
      </c>
      <c r="E222" s="7">
        <v>45694</v>
      </c>
      <c r="F222" t="s">
        <v>58</v>
      </c>
      <c r="G222">
        <v>7</v>
      </c>
      <c r="H222">
        <v>4966</v>
      </c>
      <c r="I222" t="s">
        <v>76</v>
      </c>
    </row>
    <row r="223" spans="2:9" x14ac:dyDescent="0.25">
      <c r="B223" t="s">
        <v>318</v>
      </c>
      <c r="C223" t="s">
        <v>1019</v>
      </c>
      <c r="D223" t="s">
        <v>21</v>
      </c>
      <c r="E223" s="7">
        <v>45722</v>
      </c>
      <c r="F223" t="s">
        <v>58</v>
      </c>
      <c r="G223">
        <v>5</v>
      </c>
      <c r="H223">
        <v>2956</v>
      </c>
      <c r="I223" t="s">
        <v>76</v>
      </c>
    </row>
    <row r="224" spans="2:9" x14ac:dyDescent="0.25">
      <c r="B224" t="s">
        <v>319</v>
      </c>
      <c r="C224" t="s">
        <v>1008</v>
      </c>
      <c r="D224" t="s">
        <v>27</v>
      </c>
      <c r="E224" s="7">
        <v>45942</v>
      </c>
      <c r="F224" t="s">
        <v>58</v>
      </c>
      <c r="G224">
        <v>1</v>
      </c>
      <c r="H224">
        <v>4992</v>
      </c>
      <c r="I224" t="s">
        <v>84</v>
      </c>
    </row>
    <row r="225" spans="2:9" x14ac:dyDescent="0.25">
      <c r="B225" t="s">
        <v>320</v>
      </c>
      <c r="C225" t="s">
        <v>1005</v>
      </c>
      <c r="D225" t="s">
        <v>17</v>
      </c>
      <c r="E225" s="7">
        <v>45989</v>
      </c>
      <c r="F225" t="s">
        <v>58</v>
      </c>
      <c r="G225">
        <v>3</v>
      </c>
      <c r="H225">
        <v>2718</v>
      </c>
      <c r="I225" t="s">
        <v>81</v>
      </c>
    </row>
    <row r="226" spans="2:9" x14ac:dyDescent="0.25">
      <c r="B226" t="s">
        <v>321</v>
      </c>
      <c r="C226" t="s">
        <v>1014</v>
      </c>
      <c r="D226" t="s">
        <v>21</v>
      </c>
      <c r="E226" s="7">
        <v>45958</v>
      </c>
      <c r="F226" t="s">
        <v>58</v>
      </c>
      <c r="G226">
        <v>8</v>
      </c>
      <c r="H226">
        <v>4047</v>
      </c>
      <c r="I226" t="s">
        <v>81</v>
      </c>
    </row>
    <row r="227" spans="2:9" x14ac:dyDescent="0.25">
      <c r="B227" t="s">
        <v>322</v>
      </c>
      <c r="C227" t="s">
        <v>1012</v>
      </c>
      <c r="D227" t="s">
        <v>21</v>
      </c>
      <c r="E227" s="7">
        <v>45684</v>
      </c>
      <c r="F227" t="s">
        <v>58</v>
      </c>
      <c r="G227">
        <v>4</v>
      </c>
      <c r="H227">
        <v>780</v>
      </c>
      <c r="I227" t="s">
        <v>76</v>
      </c>
    </row>
    <row r="228" spans="2:9" x14ac:dyDescent="0.25">
      <c r="B228" t="s">
        <v>323</v>
      </c>
      <c r="C228" t="s">
        <v>1012</v>
      </c>
      <c r="D228" t="s">
        <v>27</v>
      </c>
      <c r="E228" s="7">
        <v>45786</v>
      </c>
      <c r="F228" t="s">
        <v>58</v>
      </c>
      <c r="G228">
        <v>3</v>
      </c>
      <c r="H228">
        <v>985</v>
      </c>
      <c r="I228" t="s">
        <v>76</v>
      </c>
    </row>
    <row r="229" spans="2:9" x14ac:dyDescent="0.25">
      <c r="B229" t="s">
        <v>324</v>
      </c>
      <c r="C229" t="s">
        <v>1009</v>
      </c>
      <c r="D229" t="s">
        <v>21</v>
      </c>
      <c r="E229" s="7">
        <v>45992</v>
      </c>
      <c r="F229" t="s">
        <v>58</v>
      </c>
      <c r="G229">
        <v>9</v>
      </c>
      <c r="H229">
        <v>1598</v>
      </c>
      <c r="I229" t="s">
        <v>84</v>
      </c>
    </row>
    <row r="230" spans="2:9" x14ac:dyDescent="0.25">
      <c r="B230" t="s">
        <v>325</v>
      </c>
      <c r="C230" t="s">
        <v>1011</v>
      </c>
      <c r="D230" t="s">
        <v>19</v>
      </c>
      <c r="E230" s="7">
        <v>45685</v>
      </c>
      <c r="F230" t="s">
        <v>58</v>
      </c>
      <c r="G230">
        <v>2</v>
      </c>
      <c r="H230">
        <v>882</v>
      </c>
      <c r="I230" t="s">
        <v>76</v>
      </c>
    </row>
    <row r="231" spans="2:9" x14ac:dyDescent="0.25">
      <c r="B231" t="s">
        <v>326</v>
      </c>
      <c r="C231" t="s">
        <v>1005</v>
      </c>
      <c r="D231" t="s">
        <v>21</v>
      </c>
      <c r="E231" s="7">
        <v>45791</v>
      </c>
      <c r="F231" t="s">
        <v>58</v>
      </c>
      <c r="G231">
        <v>2</v>
      </c>
      <c r="H231">
        <v>911</v>
      </c>
      <c r="I231" t="s">
        <v>76</v>
      </c>
    </row>
    <row r="232" spans="2:9" x14ac:dyDescent="0.25">
      <c r="B232" t="s">
        <v>327</v>
      </c>
      <c r="C232" t="s">
        <v>1015</v>
      </c>
      <c r="D232" t="s">
        <v>14</v>
      </c>
      <c r="E232" s="7">
        <v>45863</v>
      </c>
      <c r="F232" t="s">
        <v>58</v>
      </c>
      <c r="G232">
        <v>4</v>
      </c>
      <c r="H232">
        <v>102</v>
      </c>
      <c r="I232" t="s">
        <v>76</v>
      </c>
    </row>
    <row r="233" spans="2:9" x14ac:dyDescent="0.25">
      <c r="B233" t="s">
        <v>328</v>
      </c>
      <c r="C233" t="s">
        <v>1008</v>
      </c>
      <c r="D233" t="s">
        <v>19</v>
      </c>
      <c r="E233" s="7">
        <v>45986</v>
      </c>
      <c r="F233" t="s">
        <v>58</v>
      </c>
      <c r="G233">
        <v>6</v>
      </c>
      <c r="H233">
        <v>684</v>
      </c>
      <c r="I233" t="s">
        <v>76</v>
      </c>
    </row>
    <row r="234" spans="2:9" x14ac:dyDescent="0.25">
      <c r="B234" t="s">
        <v>329</v>
      </c>
      <c r="C234" t="s">
        <v>1010</v>
      </c>
      <c r="D234" t="s">
        <v>21</v>
      </c>
      <c r="E234" s="7">
        <v>45905</v>
      </c>
      <c r="F234" t="s">
        <v>58</v>
      </c>
      <c r="G234">
        <v>1</v>
      </c>
      <c r="H234">
        <v>1231</v>
      </c>
      <c r="I234" t="s">
        <v>81</v>
      </c>
    </row>
    <row r="235" spans="2:9" x14ac:dyDescent="0.25">
      <c r="B235" t="s">
        <v>330</v>
      </c>
      <c r="C235" t="s">
        <v>1006</v>
      </c>
      <c r="D235" t="s">
        <v>14</v>
      </c>
      <c r="E235" s="7">
        <v>45956</v>
      </c>
      <c r="F235" t="s">
        <v>58</v>
      </c>
      <c r="G235">
        <v>1</v>
      </c>
      <c r="H235">
        <v>4127</v>
      </c>
      <c r="I235" t="s">
        <v>76</v>
      </c>
    </row>
    <row r="236" spans="2:9" x14ac:dyDescent="0.25">
      <c r="B236" t="s">
        <v>331</v>
      </c>
      <c r="C236" t="s">
        <v>1012</v>
      </c>
      <c r="D236" t="s">
        <v>21</v>
      </c>
      <c r="E236" s="7">
        <v>45967</v>
      </c>
      <c r="F236" t="s">
        <v>58</v>
      </c>
      <c r="G236">
        <v>7</v>
      </c>
      <c r="H236">
        <v>3121</v>
      </c>
      <c r="I236" t="s">
        <v>76</v>
      </c>
    </row>
    <row r="237" spans="2:9" x14ac:dyDescent="0.25">
      <c r="B237" t="s">
        <v>332</v>
      </c>
      <c r="C237" t="s">
        <v>1012</v>
      </c>
      <c r="D237" t="s">
        <v>11</v>
      </c>
      <c r="E237" s="7">
        <v>45764</v>
      </c>
      <c r="F237" t="s">
        <v>58</v>
      </c>
      <c r="G237">
        <v>7</v>
      </c>
      <c r="H237">
        <v>754</v>
      </c>
      <c r="I237" t="s">
        <v>76</v>
      </c>
    </row>
    <row r="238" spans="2:9" x14ac:dyDescent="0.25">
      <c r="B238" t="s">
        <v>333</v>
      </c>
      <c r="C238" t="s">
        <v>1008</v>
      </c>
      <c r="D238" t="s">
        <v>19</v>
      </c>
      <c r="E238" s="7">
        <v>45795</v>
      </c>
      <c r="F238" t="s">
        <v>58</v>
      </c>
      <c r="G238">
        <v>8</v>
      </c>
      <c r="H238">
        <v>890</v>
      </c>
      <c r="I238" t="s">
        <v>81</v>
      </c>
    </row>
    <row r="239" spans="2:9" x14ac:dyDescent="0.25">
      <c r="B239" t="s">
        <v>334</v>
      </c>
      <c r="C239" t="s">
        <v>1006</v>
      </c>
      <c r="D239" t="s">
        <v>19</v>
      </c>
      <c r="E239" s="7">
        <v>45997</v>
      </c>
      <c r="F239" t="s">
        <v>58</v>
      </c>
      <c r="G239">
        <v>6</v>
      </c>
      <c r="H239">
        <v>1245</v>
      </c>
      <c r="I239" t="s">
        <v>84</v>
      </c>
    </row>
    <row r="240" spans="2:9" x14ac:dyDescent="0.25">
      <c r="B240" t="s">
        <v>335</v>
      </c>
      <c r="C240" t="s">
        <v>1012</v>
      </c>
      <c r="D240" t="s">
        <v>21</v>
      </c>
      <c r="E240" s="7">
        <v>45999</v>
      </c>
      <c r="F240" t="s">
        <v>58</v>
      </c>
      <c r="G240">
        <v>4</v>
      </c>
      <c r="H240">
        <v>859</v>
      </c>
      <c r="I240" t="s">
        <v>84</v>
      </c>
    </row>
    <row r="241" spans="2:9" x14ac:dyDescent="0.25">
      <c r="B241" t="s">
        <v>336</v>
      </c>
      <c r="C241" t="s">
        <v>1007</v>
      </c>
      <c r="D241" t="s">
        <v>27</v>
      </c>
      <c r="E241" s="7">
        <v>45907</v>
      </c>
      <c r="F241" t="s">
        <v>58</v>
      </c>
      <c r="G241">
        <v>4</v>
      </c>
      <c r="H241">
        <v>2585</v>
      </c>
      <c r="I241" t="s">
        <v>81</v>
      </c>
    </row>
    <row r="242" spans="2:9" x14ac:dyDescent="0.25">
      <c r="B242" t="s">
        <v>337</v>
      </c>
      <c r="C242" t="s">
        <v>1012</v>
      </c>
      <c r="D242" t="s">
        <v>19</v>
      </c>
      <c r="E242" s="7">
        <v>45879</v>
      </c>
      <c r="F242" t="s">
        <v>58</v>
      </c>
      <c r="G242">
        <v>6</v>
      </c>
      <c r="H242">
        <v>637</v>
      </c>
      <c r="I242" t="s">
        <v>76</v>
      </c>
    </row>
    <row r="243" spans="2:9" x14ac:dyDescent="0.25">
      <c r="B243" t="s">
        <v>338</v>
      </c>
      <c r="C243" t="s">
        <v>1008</v>
      </c>
      <c r="D243" t="s">
        <v>23</v>
      </c>
      <c r="E243" s="7">
        <v>45881</v>
      </c>
      <c r="F243" t="s">
        <v>58</v>
      </c>
      <c r="G243">
        <v>9</v>
      </c>
      <c r="H243">
        <v>3004</v>
      </c>
      <c r="I243" t="s">
        <v>76</v>
      </c>
    </row>
    <row r="244" spans="2:9" x14ac:dyDescent="0.25">
      <c r="B244" t="s">
        <v>339</v>
      </c>
      <c r="C244" t="s">
        <v>1004</v>
      </c>
      <c r="D244" t="s">
        <v>17</v>
      </c>
      <c r="E244" s="7">
        <v>45874</v>
      </c>
      <c r="F244" t="s">
        <v>58</v>
      </c>
      <c r="G244">
        <v>8</v>
      </c>
      <c r="H244">
        <v>4056</v>
      </c>
      <c r="I244" t="s">
        <v>81</v>
      </c>
    </row>
    <row r="245" spans="2:9" x14ac:dyDescent="0.25">
      <c r="B245" t="s">
        <v>340</v>
      </c>
      <c r="C245" t="s">
        <v>1004</v>
      </c>
      <c r="D245" t="s">
        <v>11</v>
      </c>
      <c r="E245" s="7">
        <v>46014</v>
      </c>
      <c r="F245" t="s">
        <v>58</v>
      </c>
      <c r="G245">
        <v>10</v>
      </c>
      <c r="H245">
        <v>1976</v>
      </c>
      <c r="I245" t="s">
        <v>81</v>
      </c>
    </row>
    <row r="246" spans="2:9" x14ac:dyDescent="0.25">
      <c r="B246" t="s">
        <v>341</v>
      </c>
      <c r="C246" t="s">
        <v>1005</v>
      </c>
      <c r="D246" t="s">
        <v>17</v>
      </c>
      <c r="E246" s="7">
        <v>45759</v>
      </c>
      <c r="F246" t="s">
        <v>58</v>
      </c>
      <c r="G246">
        <v>7</v>
      </c>
      <c r="H246">
        <v>1252</v>
      </c>
      <c r="I246" t="s">
        <v>76</v>
      </c>
    </row>
    <row r="247" spans="2:9" x14ac:dyDescent="0.25">
      <c r="B247" t="s">
        <v>342</v>
      </c>
      <c r="C247" t="s">
        <v>1009</v>
      </c>
      <c r="D247" t="s">
        <v>17</v>
      </c>
      <c r="E247" s="7">
        <v>45794</v>
      </c>
      <c r="F247" t="s">
        <v>58</v>
      </c>
      <c r="G247">
        <v>2</v>
      </c>
      <c r="H247">
        <v>222</v>
      </c>
      <c r="I247" t="s">
        <v>81</v>
      </c>
    </row>
    <row r="248" spans="2:9" x14ac:dyDescent="0.25">
      <c r="B248" t="s">
        <v>343</v>
      </c>
      <c r="C248" t="s">
        <v>1010</v>
      </c>
      <c r="D248" t="s">
        <v>19</v>
      </c>
      <c r="E248" s="7">
        <v>45803</v>
      </c>
      <c r="F248" t="s">
        <v>58</v>
      </c>
      <c r="G248">
        <v>2</v>
      </c>
      <c r="H248">
        <v>3529</v>
      </c>
      <c r="I248" t="s">
        <v>81</v>
      </c>
    </row>
    <row r="249" spans="2:9" x14ac:dyDescent="0.25">
      <c r="B249" t="s">
        <v>344</v>
      </c>
      <c r="C249" t="s">
        <v>1022</v>
      </c>
      <c r="D249" t="s">
        <v>14</v>
      </c>
      <c r="E249" s="7">
        <v>45879</v>
      </c>
      <c r="F249" t="s">
        <v>58</v>
      </c>
      <c r="G249">
        <v>8</v>
      </c>
      <c r="H249">
        <v>4686</v>
      </c>
      <c r="I249" t="s">
        <v>84</v>
      </c>
    </row>
    <row r="250" spans="2:9" x14ac:dyDescent="0.25">
      <c r="B250" t="s">
        <v>345</v>
      </c>
      <c r="C250" t="s">
        <v>1008</v>
      </c>
      <c r="D250" t="s">
        <v>11</v>
      </c>
      <c r="E250" s="7">
        <v>45953</v>
      </c>
      <c r="F250" t="s">
        <v>58</v>
      </c>
      <c r="G250">
        <v>5</v>
      </c>
      <c r="H250">
        <v>3512</v>
      </c>
      <c r="I250" t="s">
        <v>84</v>
      </c>
    </row>
    <row r="251" spans="2:9" x14ac:dyDescent="0.25">
      <c r="B251" t="s">
        <v>346</v>
      </c>
      <c r="C251" t="s">
        <v>1010</v>
      </c>
      <c r="D251" t="s">
        <v>21</v>
      </c>
      <c r="E251" s="7">
        <v>45982</v>
      </c>
      <c r="F251" t="s">
        <v>58</v>
      </c>
      <c r="G251">
        <v>8</v>
      </c>
      <c r="H251">
        <v>3637</v>
      </c>
      <c r="I251" t="s">
        <v>81</v>
      </c>
    </row>
    <row r="252" spans="2:9" x14ac:dyDescent="0.25">
      <c r="B252" t="s">
        <v>347</v>
      </c>
      <c r="C252" t="s">
        <v>1012</v>
      </c>
      <c r="D252" t="s">
        <v>21</v>
      </c>
      <c r="E252" s="7">
        <v>45975</v>
      </c>
      <c r="F252" t="s">
        <v>58</v>
      </c>
      <c r="G252">
        <v>9</v>
      </c>
      <c r="H252">
        <v>54</v>
      </c>
      <c r="I252" t="s">
        <v>84</v>
      </c>
    </row>
    <row r="253" spans="2:9" x14ac:dyDescent="0.25">
      <c r="B253" t="s">
        <v>348</v>
      </c>
      <c r="C253" t="s">
        <v>1005</v>
      </c>
      <c r="D253" t="s">
        <v>27</v>
      </c>
      <c r="E253" s="7">
        <v>45801</v>
      </c>
      <c r="F253" t="s">
        <v>58</v>
      </c>
      <c r="G253">
        <v>1</v>
      </c>
      <c r="H253">
        <v>1531</v>
      </c>
      <c r="I253" t="s">
        <v>81</v>
      </c>
    </row>
    <row r="254" spans="2:9" x14ac:dyDescent="0.25">
      <c r="B254" t="s">
        <v>349</v>
      </c>
      <c r="C254" t="s">
        <v>1015</v>
      </c>
      <c r="D254" t="s">
        <v>17</v>
      </c>
      <c r="E254" s="7">
        <v>45674</v>
      </c>
      <c r="F254" t="s">
        <v>58</v>
      </c>
      <c r="G254">
        <v>2</v>
      </c>
      <c r="H254">
        <v>3215</v>
      </c>
      <c r="I254" t="s">
        <v>84</v>
      </c>
    </row>
    <row r="255" spans="2:9" x14ac:dyDescent="0.25">
      <c r="B255" t="s">
        <v>350</v>
      </c>
      <c r="C255" t="s">
        <v>1020</v>
      </c>
      <c r="D255" t="s">
        <v>21</v>
      </c>
      <c r="E255" s="7">
        <v>45956</v>
      </c>
      <c r="F255" t="s">
        <v>58</v>
      </c>
      <c r="G255">
        <v>1</v>
      </c>
      <c r="H255">
        <v>4067</v>
      </c>
      <c r="I255" t="s">
        <v>76</v>
      </c>
    </row>
    <row r="256" spans="2:9" x14ac:dyDescent="0.25">
      <c r="B256" t="s">
        <v>351</v>
      </c>
      <c r="C256" t="s">
        <v>1012</v>
      </c>
      <c r="D256" t="s">
        <v>23</v>
      </c>
      <c r="E256" s="7">
        <v>45989</v>
      </c>
      <c r="F256" t="s">
        <v>58</v>
      </c>
      <c r="G256">
        <v>2</v>
      </c>
      <c r="H256">
        <v>4374</v>
      </c>
      <c r="I256" t="s">
        <v>76</v>
      </c>
    </row>
    <row r="257" spans="2:9" x14ac:dyDescent="0.25">
      <c r="B257" t="s">
        <v>352</v>
      </c>
      <c r="C257" t="s">
        <v>1015</v>
      </c>
      <c r="D257" t="s">
        <v>14</v>
      </c>
      <c r="E257" s="7">
        <v>45973</v>
      </c>
      <c r="F257" t="s">
        <v>58</v>
      </c>
      <c r="G257">
        <v>2</v>
      </c>
      <c r="H257">
        <v>3250</v>
      </c>
      <c r="I257" t="s">
        <v>76</v>
      </c>
    </row>
    <row r="258" spans="2:9" x14ac:dyDescent="0.25">
      <c r="B258" t="s">
        <v>353</v>
      </c>
      <c r="C258" t="s">
        <v>1018</v>
      </c>
      <c r="D258" t="s">
        <v>23</v>
      </c>
      <c r="E258" s="7">
        <v>45830</v>
      </c>
      <c r="F258" t="s">
        <v>58</v>
      </c>
      <c r="G258">
        <v>1</v>
      </c>
      <c r="H258">
        <v>1138</v>
      </c>
      <c r="I258" t="s">
        <v>81</v>
      </c>
    </row>
    <row r="259" spans="2:9" x14ac:dyDescent="0.25">
      <c r="B259" t="s">
        <v>354</v>
      </c>
      <c r="C259" t="s">
        <v>1019</v>
      </c>
      <c r="D259" t="s">
        <v>23</v>
      </c>
      <c r="E259" s="7">
        <v>45934</v>
      </c>
      <c r="F259" t="s">
        <v>58</v>
      </c>
      <c r="G259">
        <v>2</v>
      </c>
      <c r="H259">
        <v>2290</v>
      </c>
      <c r="I259" t="s">
        <v>81</v>
      </c>
    </row>
    <row r="260" spans="2:9" x14ac:dyDescent="0.25">
      <c r="B260" t="s">
        <v>355</v>
      </c>
      <c r="C260" t="s">
        <v>1019</v>
      </c>
      <c r="D260" t="s">
        <v>21</v>
      </c>
      <c r="E260" s="7">
        <v>45668</v>
      </c>
      <c r="F260" t="s">
        <v>58</v>
      </c>
      <c r="G260">
        <v>3</v>
      </c>
      <c r="H260">
        <v>2322</v>
      </c>
      <c r="I260" t="s">
        <v>84</v>
      </c>
    </row>
    <row r="261" spans="2:9" x14ac:dyDescent="0.25">
      <c r="B261" t="s">
        <v>356</v>
      </c>
      <c r="C261" t="s">
        <v>1020</v>
      </c>
      <c r="D261" t="s">
        <v>21</v>
      </c>
      <c r="E261" s="7">
        <v>45931</v>
      </c>
      <c r="F261" t="s">
        <v>58</v>
      </c>
      <c r="G261">
        <v>2</v>
      </c>
      <c r="H261">
        <v>662</v>
      </c>
      <c r="I261" t="s">
        <v>84</v>
      </c>
    </row>
    <row r="262" spans="2:9" x14ac:dyDescent="0.25">
      <c r="B262" t="s">
        <v>357</v>
      </c>
      <c r="C262" t="s">
        <v>1021</v>
      </c>
      <c r="D262" t="s">
        <v>19</v>
      </c>
      <c r="E262" s="7">
        <v>45973</v>
      </c>
      <c r="F262" t="s">
        <v>58</v>
      </c>
      <c r="G262">
        <v>5</v>
      </c>
      <c r="H262">
        <v>3042</v>
      </c>
      <c r="I262" t="s">
        <v>76</v>
      </c>
    </row>
    <row r="263" spans="2:9" x14ac:dyDescent="0.25">
      <c r="B263" t="s">
        <v>358</v>
      </c>
      <c r="C263" t="s">
        <v>1019</v>
      </c>
      <c r="D263" t="s">
        <v>17</v>
      </c>
      <c r="E263" s="7">
        <v>45850</v>
      </c>
      <c r="F263" t="s">
        <v>58</v>
      </c>
      <c r="G263">
        <v>5</v>
      </c>
      <c r="H263">
        <v>4066</v>
      </c>
      <c r="I263" t="s">
        <v>81</v>
      </c>
    </row>
    <row r="264" spans="2:9" x14ac:dyDescent="0.25">
      <c r="B264" t="s">
        <v>359</v>
      </c>
      <c r="C264" t="s">
        <v>1009</v>
      </c>
      <c r="D264" t="s">
        <v>11</v>
      </c>
      <c r="E264" s="7">
        <v>45983</v>
      </c>
      <c r="F264" t="s">
        <v>58</v>
      </c>
      <c r="G264">
        <v>5</v>
      </c>
      <c r="H264">
        <v>4640</v>
      </c>
      <c r="I264" t="s">
        <v>81</v>
      </c>
    </row>
    <row r="265" spans="2:9" x14ac:dyDescent="0.25">
      <c r="B265" t="s">
        <v>360</v>
      </c>
      <c r="C265" t="s">
        <v>1020</v>
      </c>
      <c r="D265" t="s">
        <v>17</v>
      </c>
      <c r="E265" s="7">
        <v>45951</v>
      </c>
      <c r="F265" t="s">
        <v>58</v>
      </c>
      <c r="G265">
        <v>6</v>
      </c>
      <c r="H265">
        <v>4505</v>
      </c>
      <c r="I265" t="s">
        <v>84</v>
      </c>
    </row>
    <row r="266" spans="2:9" x14ac:dyDescent="0.25">
      <c r="B266" t="s">
        <v>361</v>
      </c>
      <c r="C266" t="s">
        <v>1022</v>
      </c>
      <c r="D266" t="s">
        <v>11</v>
      </c>
      <c r="E266" s="7">
        <v>45976</v>
      </c>
      <c r="F266" t="s">
        <v>58</v>
      </c>
      <c r="G266">
        <v>6</v>
      </c>
      <c r="H266">
        <v>4723</v>
      </c>
      <c r="I266" t="s">
        <v>81</v>
      </c>
    </row>
    <row r="267" spans="2:9" x14ac:dyDescent="0.25">
      <c r="B267" t="s">
        <v>362</v>
      </c>
      <c r="C267" t="s">
        <v>1017</v>
      </c>
      <c r="D267" t="s">
        <v>23</v>
      </c>
      <c r="E267" s="7">
        <v>45892</v>
      </c>
      <c r="F267" t="s">
        <v>58</v>
      </c>
      <c r="G267">
        <v>3</v>
      </c>
      <c r="H267">
        <v>209</v>
      </c>
      <c r="I267" t="s">
        <v>84</v>
      </c>
    </row>
    <row r="268" spans="2:9" x14ac:dyDescent="0.25">
      <c r="B268" t="s">
        <v>363</v>
      </c>
      <c r="C268" t="s">
        <v>1017</v>
      </c>
      <c r="D268" t="s">
        <v>23</v>
      </c>
      <c r="E268" s="7">
        <v>45720</v>
      </c>
      <c r="F268" t="s">
        <v>58</v>
      </c>
      <c r="G268">
        <v>2</v>
      </c>
      <c r="H268">
        <v>2143</v>
      </c>
      <c r="I268" t="s">
        <v>81</v>
      </c>
    </row>
    <row r="269" spans="2:9" x14ac:dyDescent="0.25">
      <c r="B269" t="s">
        <v>364</v>
      </c>
      <c r="C269" t="s">
        <v>1012</v>
      </c>
      <c r="D269" t="s">
        <v>23</v>
      </c>
      <c r="E269" s="7">
        <v>45824</v>
      </c>
      <c r="F269" t="s">
        <v>58</v>
      </c>
      <c r="G269">
        <v>6</v>
      </c>
      <c r="H269">
        <v>615</v>
      </c>
      <c r="I269" t="s">
        <v>76</v>
      </c>
    </row>
    <row r="270" spans="2:9" x14ac:dyDescent="0.25">
      <c r="B270" t="s">
        <v>365</v>
      </c>
      <c r="C270" t="s">
        <v>1007</v>
      </c>
      <c r="D270" t="s">
        <v>14</v>
      </c>
      <c r="E270" s="7">
        <v>45693</v>
      </c>
      <c r="F270" t="s">
        <v>58</v>
      </c>
      <c r="G270">
        <v>8</v>
      </c>
      <c r="H270">
        <v>1979</v>
      </c>
      <c r="I270" t="s">
        <v>76</v>
      </c>
    </row>
    <row r="271" spans="2:9" x14ac:dyDescent="0.25">
      <c r="B271" t="s">
        <v>366</v>
      </c>
      <c r="C271" t="s">
        <v>1014</v>
      </c>
      <c r="D271" t="s">
        <v>27</v>
      </c>
      <c r="E271" s="7">
        <v>45910</v>
      </c>
      <c r="F271" t="s">
        <v>58</v>
      </c>
      <c r="G271">
        <v>9</v>
      </c>
      <c r="H271">
        <v>1461</v>
      </c>
      <c r="I271" t="s">
        <v>76</v>
      </c>
    </row>
    <row r="272" spans="2:9" x14ac:dyDescent="0.25">
      <c r="B272" t="s">
        <v>367</v>
      </c>
      <c r="C272" t="s">
        <v>1020</v>
      </c>
      <c r="D272" t="s">
        <v>19</v>
      </c>
      <c r="E272" s="7">
        <v>45853</v>
      </c>
      <c r="F272" t="s">
        <v>58</v>
      </c>
      <c r="G272">
        <v>5</v>
      </c>
      <c r="H272">
        <v>592</v>
      </c>
      <c r="I272" t="s">
        <v>81</v>
      </c>
    </row>
    <row r="273" spans="2:9" x14ac:dyDescent="0.25">
      <c r="B273" t="s">
        <v>368</v>
      </c>
      <c r="C273" t="s">
        <v>1018</v>
      </c>
      <c r="D273" t="s">
        <v>27</v>
      </c>
      <c r="E273" s="7">
        <v>45824</v>
      </c>
      <c r="F273" t="s">
        <v>58</v>
      </c>
      <c r="G273">
        <v>5</v>
      </c>
      <c r="H273">
        <v>4713</v>
      </c>
      <c r="I273" t="s">
        <v>76</v>
      </c>
    </row>
    <row r="274" spans="2:9" x14ac:dyDescent="0.25">
      <c r="B274" t="s">
        <v>369</v>
      </c>
      <c r="C274" t="s">
        <v>1006</v>
      </c>
      <c r="D274" t="s">
        <v>27</v>
      </c>
      <c r="E274" s="7">
        <v>45756</v>
      </c>
      <c r="F274" t="s">
        <v>58</v>
      </c>
      <c r="G274">
        <v>3</v>
      </c>
      <c r="H274">
        <v>569</v>
      </c>
      <c r="I274" t="s">
        <v>76</v>
      </c>
    </row>
    <row r="275" spans="2:9" x14ac:dyDescent="0.25">
      <c r="B275" t="s">
        <v>370</v>
      </c>
      <c r="C275" t="s">
        <v>1004</v>
      </c>
      <c r="D275" t="s">
        <v>21</v>
      </c>
      <c r="E275" s="7">
        <v>45839</v>
      </c>
      <c r="F275" t="s">
        <v>58</v>
      </c>
      <c r="G275">
        <v>4</v>
      </c>
      <c r="H275">
        <v>3619</v>
      </c>
      <c r="I275" t="s">
        <v>84</v>
      </c>
    </row>
    <row r="276" spans="2:9" x14ac:dyDescent="0.25">
      <c r="B276" t="s">
        <v>371</v>
      </c>
      <c r="C276" t="s">
        <v>1022</v>
      </c>
      <c r="D276" t="s">
        <v>11</v>
      </c>
      <c r="E276" s="7">
        <v>45896</v>
      </c>
      <c r="F276" t="s">
        <v>58</v>
      </c>
      <c r="G276">
        <v>8</v>
      </c>
      <c r="H276">
        <v>763</v>
      </c>
      <c r="I276" t="s">
        <v>76</v>
      </c>
    </row>
    <row r="277" spans="2:9" x14ac:dyDescent="0.25">
      <c r="B277" t="s">
        <v>372</v>
      </c>
      <c r="C277" t="s">
        <v>1017</v>
      </c>
      <c r="D277" t="s">
        <v>19</v>
      </c>
      <c r="E277" s="7">
        <v>45829</v>
      </c>
      <c r="F277" t="s">
        <v>58</v>
      </c>
      <c r="G277">
        <v>6</v>
      </c>
      <c r="H277">
        <v>2635</v>
      </c>
      <c r="I277" t="s">
        <v>76</v>
      </c>
    </row>
    <row r="278" spans="2:9" x14ac:dyDescent="0.25">
      <c r="B278" t="s">
        <v>373</v>
      </c>
      <c r="C278" t="s">
        <v>1005</v>
      </c>
      <c r="D278" t="s">
        <v>23</v>
      </c>
      <c r="E278" s="7">
        <v>45658</v>
      </c>
      <c r="F278" t="s">
        <v>58</v>
      </c>
      <c r="G278">
        <v>5</v>
      </c>
      <c r="H278">
        <v>1271</v>
      </c>
      <c r="I278" t="s">
        <v>76</v>
      </c>
    </row>
    <row r="279" spans="2:9" x14ac:dyDescent="0.25">
      <c r="B279" t="s">
        <v>374</v>
      </c>
      <c r="C279" t="s">
        <v>1007</v>
      </c>
      <c r="D279" t="s">
        <v>21</v>
      </c>
      <c r="E279" s="7">
        <v>45956</v>
      </c>
      <c r="F279" t="s">
        <v>58</v>
      </c>
      <c r="G279">
        <v>3</v>
      </c>
      <c r="H279">
        <v>2481</v>
      </c>
      <c r="I279" t="s">
        <v>76</v>
      </c>
    </row>
    <row r="280" spans="2:9" x14ac:dyDescent="0.25">
      <c r="B280" t="s">
        <v>375</v>
      </c>
      <c r="C280" t="s">
        <v>1009</v>
      </c>
      <c r="D280" t="s">
        <v>14</v>
      </c>
      <c r="E280" s="7">
        <v>45701</v>
      </c>
      <c r="F280" t="s">
        <v>58</v>
      </c>
      <c r="G280">
        <v>3</v>
      </c>
      <c r="H280">
        <v>3436</v>
      </c>
      <c r="I280" t="s">
        <v>76</v>
      </c>
    </row>
    <row r="281" spans="2:9" x14ac:dyDescent="0.25">
      <c r="B281" t="s">
        <v>376</v>
      </c>
      <c r="C281" t="s">
        <v>1021</v>
      </c>
      <c r="D281" t="s">
        <v>14</v>
      </c>
      <c r="E281" s="7">
        <v>45720</v>
      </c>
      <c r="F281" t="s">
        <v>58</v>
      </c>
      <c r="G281">
        <v>1</v>
      </c>
      <c r="H281">
        <v>140</v>
      </c>
      <c r="I281" t="s">
        <v>81</v>
      </c>
    </row>
    <row r="282" spans="2:9" x14ac:dyDescent="0.25">
      <c r="B282" t="s">
        <v>377</v>
      </c>
      <c r="C282" t="s">
        <v>1022</v>
      </c>
      <c r="D282" t="s">
        <v>21</v>
      </c>
      <c r="E282" s="7">
        <v>46001</v>
      </c>
      <c r="F282" t="s">
        <v>58</v>
      </c>
      <c r="G282">
        <v>5</v>
      </c>
      <c r="H282">
        <v>4864</v>
      </c>
      <c r="I282" t="s">
        <v>81</v>
      </c>
    </row>
    <row r="283" spans="2:9" x14ac:dyDescent="0.25">
      <c r="B283" t="s">
        <v>378</v>
      </c>
      <c r="C283" t="s">
        <v>1014</v>
      </c>
      <c r="D283" t="s">
        <v>23</v>
      </c>
      <c r="E283" s="7">
        <v>45993</v>
      </c>
      <c r="F283" t="s">
        <v>58</v>
      </c>
      <c r="G283">
        <v>7</v>
      </c>
      <c r="H283">
        <v>3805</v>
      </c>
      <c r="I283" t="s">
        <v>84</v>
      </c>
    </row>
    <row r="284" spans="2:9" x14ac:dyDescent="0.25">
      <c r="B284" t="s">
        <v>379</v>
      </c>
      <c r="C284" t="s">
        <v>1018</v>
      </c>
      <c r="D284" t="s">
        <v>23</v>
      </c>
      <c r="E284" s="7">
        <v>45903</v>
      </c>
      <c r="F284" t="s">
        <v>58</v>
      </c>
      <c r="G284">
        <v>4</v>
      </c>
      <c r="H284">
        <v>4407</v>
      </c>
      <c r="I284" t="s">
        <v>76</v>
      </c>
    </row>
    <row r="285" spans="2:9" x14ac:dyDescent="0.25">
      <c r="B285" t="s">
        <v>380</v>
      </c>
      <c r="C285" t="s">
        <v>1015</v>
      </c>
      <c r="D285" t="s">
        <v>23</v>
      </c>
      <c r="E285" s="7">
        <v>45768</v>
      </c>
      <c r="F285" t="s">
        <v>58</v>
      </c>
      <c r="G285">
        <v>3</v>
      </c>
      <c r="H285">
        <v>2987</v>
      </c>
      <c r="I285" t="s">
        <v>84</v>
      </c>
    </row>
    <row r="286" spans="2:9" x14ac:dyDescent="0.25">
      <c r="B286" t="s">
        <v>381</v>
      </c>
      <c r="C286" t="s">
        <v>1004</v>
      </c>
      <c r="D286" t="s">
        <v>17</v>
      </c>
      <c r="E286" s="7">
        <v>45939</v>
      </c>
      <c r="F286" t="s">
        <v>58</v>
      </c>
      <c r="G286">
        <v>7</v>
      </c>
      <c r="H286">
        <v>2164</v>
      </c>
      <c r="I286" t="s">
        <v>76</v>
      </c>
    </row>
    <row r="287" spans="2:9" x14ac:dyDescent="0.25">
      <c r="B287" t="s">
        <v>382</v>
      </c>
      <c r="C287" t="s">
        <v>1018</v>
      </c>
      <c r="D287" t="s">
        <v>21</v>
      </c>
      <c r="E287" s="7">
        <v>45943</v>
      </c>
      <c r="F287" t="s">
        <v>58</v>
      </c>
      <c r="G287">
        <v>10</v>
      </c>
      <c r="H287">
        <v>3389</v>
      </c>
      <c r="I287" t="s">
        <v>76</v>
      </c>
    </row>
    <row r="288" spans="2:9" x14ac:dyDescent="0.25">
      <c r="B288" t="s">
        <v>383</v>
      </c>
      <c r="C288" t="s">
        <v>1019</v>
      </c>
      <c r="D288" t="s">
        <v>21</v>
      </c>
      <c r="E288" s="7">
        <v>46016</v>
      </c>
      <c r="F288" t="s">
        <v>58</v>
      </c>
      <c r="G288">
        <v>3</v>
      </c>
      <c r="H288">
        <v>4456</v>
      </c>
      <c r="I288" t="s">
        <v>76</v>
      </c>
    </row>
    <row r="289" spans="2:9" x14ac:dyDescent="0.25">
      <c r="B289" t="s">
        <v>384</v>
      </c>
      <c r="C289" t="s">
        <v>1016</v>
      </c>
      <c r="D289" t="s">
        <v>14</v>
      </c>
      <c r="E289" s="7">
        <v>45766</v>
      </c>
      <c r="F289" t="s">
        <v>58</v>
      </c>
      <c r="G289">
        <v>5</v>
      </c>
      <c r="H289">
        <v>1993</v>
      </c>
      <c r="I289" t="s">
        <v>81</v>
      </c>
    </row>
    <row r="290" spans="2:9" x14ac:dyDescent="0.25">
      <c r="B290" t="s">
        <v>385</v>
      </c>
      <c r="C290" t="s">
        <v>1006</v>
      </c>
      <c r="D290" t="s">
        <v>21</v>
      </c>
      <c r="E290" s="7">
        <v>45714</v>
      </c>
      <c r="F290" t="s">
        <v>58</v>
      </c>
      <c r="G290">
        <v>3</v>
      </c>
      <c r="H290">
        <v>3911</v>
      </c>
      <c r="I290" t="s">
        <v>84</v>
      </c>
    </row>
    <row r="291" spans="2:9" x14ac:dyDescent="0.25">
      <c r="B291" t="s">
        <v>386</v>
      </c>
      <c r="C291" t="s">
        <v>1014</v>
      </c>
      <c r="D291" t="s">
        <v>17</v>
      </c>
      <c r="E291" s="7">
        <v>45995</v>
      </c>
      <c r="F291" t="s">
        <v>58</v>
      </c>
      <c r="G291">
        <v>5</v>
      </c>
      <c r="H291">
        <v>2010</v>
      </c>
      <c r="I291" t="s">
        <v>81</v>
      </c>
    </row>
    <row r="292" spans="2:9" x14ac:dyDescent="0.25">
      <c r="B292" t="s">
        <v>387</v>
      </c>
      <c r="C292" t="s">
        <v>1022</v>
      </c>
      <c r="D292" t="s">
        <v>14</v>
      </c>
      <c r="E292" s="7">
        <v>45861</v>
      </c>
      <c r="F292" t="s">
        <v>58</v>
      </c>
      <c r="G292">
        <v>3</v>
      </c>
      <c r="H292">
        <v>4360</v>
      </c>
      <c r="I292" t="s">
        <v>84</v>
      </c>
    </row>
    <row r="293" spans="2:9" x14ac:dyDescent="0.25">
      <c r="B293" t="s">
        <v>388</v>
      </c>
      <c r="C293" t="s">
        <v>1006</v>
      </c>
      <c r="D293" t="s">
        <v>14</v>
      </c>
      <c r="E293" s="7">
        <v>45682</v>
      </c>
      <c r="F293" t="s">
        <v>58</v>
      </c>
      <c r="G293">
        <v>10</v>
      </c>
      <c r="H293">
        <v>2916</v>
      </c>
      <c r="I293" t="s">
        <v>81</v>
      </c>
    </row>
    <row r="294" spans="2:9" x14ac:dyDescent="0.25">
      <c r="B294" t="s">
        <v>389</v>
      </c>
      <c r="C294" t="s">
        <v>1008</v>
      </c>
      <c r="D294" t="s">
        <v>14</v>
      </c>
      <c r="E294" s="7">
        <v>45875</v>
      </c>
      <c r="F294" t="s">
        <v>58</v>
      </c>
      <c r="G294">
        <v>7</v>
      </c>
      <c r="H294">
        <v>921</v>
      </c>
      <c r="I294" t="s">
        <v>84</v>
      </c>
    </row>
    <row r="295" spans="2:9" x14ac:dyDescent="0.25">
      <c r="B295" t="s">
        <v>390</v>
      </c>
      <c r="C295" t="s">
        <v>1015</v>
      </c>
      <c r="D295" t="s">
        <v>17</v>
      </c>
      <c r="E295" s="7">
        <v>45693</v>
      </c>
      <c r="F295" t="s">
        <v>58</v>
      </c>
      <c r="G295">
        <v>4</v>
      </c>
      <c r="H295">
        <v>449</v>
      </c>
      <c r="I295" t="s">
        <v>81</v>
      </c>
    </row>
    <row r="296" spans="2:9" x14ac:dyDescent="0.25">
      <c r="B296" t="s">
        <v>391</v>
      </c>
      <c r="C296" t="s">
        <v>1020</v>
      </c>
      <c r="D296" t="s">
        <v>21</v>
      </c>
      <c r="E296" s="7">
        <v>45716</v>
      </c>
      <c r="F296" t="s">
        <v>58</v>
      </c>
      <c r="G296">
        <v>6</v>
      </c>
      <c r="H296">
        <v>4897</v>
      </c>
      <c r="I296" t="s">
        <v>81</v>
      </c>
    </row>
    <row r="297" spans="2:9" x14ac:dyDescent="0.25">
      <c r="B297" t="s">
        <v>392</v>
      </c>
      <c r="C297" t="s">
        <v>1016</v>
      </c>
      <c r="D297" t="s">
        <v>19</v>
      </c>
      <c r="E297" s="7">
        <v>45670</v>
      </c>
      <c r="F297" t="s">
        <v>58</v>
      </c>
      <c r="G297">
        <v>1</v>
      </c>
      <c r="H297">
        <v>1554</v>
      </c>
      <c r="I297" t="s">
        <v>81</v>
      </c>
    </row>
    <row r="298" spans="2:9" x14ac:dyDescent="0.25">
      <c r="B298" t="s">
        <v>393</v>
      </c>
      <c r="C298" t="s">
        <v>1008</v>
      </c>
      <c r="D298" t="s">
        <v>27</v>
      </c>
      <c r="E298" s="7">
        <v>45998</v>
      </c>
      <c r="F298" t="s">
        <v>58</v>
      </c>
      <c r="G298">
        <v>1</v>
      </c>
      <c r="H298">
        <v>3935</v>
      </c>
      <c r="I298" t="s">
        <v>84</v>
      </c>
    </row>
    <row r="299" spans="2:9" x14ac:dyDescent="0.25">
      <c r="B299" t="s">
        <v>394</v>
      </c>
      <c r="C299" t="s">
        <v>1018</v>
      </c>
      <c r="D299" t="s">
        <v>21</v>
      </c>
      <c r="E299" s="7">
        <v>45976</v>
      </c>
      <c r="F299" t="s">
        <v>58</v>
      </c>
      <c r="G299">
        <v>10</v>
      </c>
      <c r="H299">
        <v>4463</v>
      </c>
      <c r="I299" t="s">
        <v>84</v>
      </c>
    </row>
    <row r="300" spans="2:9" x14ac:dyDescent="0.25">
      <c r="B300" t="s">
        <v>395</v>
      </c>
      <c r="C300" t="s">
        <v>1020</v>
      </c>
      <c r="D300" t="s">
        <v>21</v>
      </c>
      <c r="E300" s="7">
        <v>45788</v>
      </c>
      <c r="F300" t="s">
        <v>58</v>
      </c>
      <c r="G300">
        <v>6</v>
      </c>
      <c r="H300">
        <v>1866</v>
      </c>
      <c r="I300" t="s">
        <v>84</v>
      </c>
    </row>
    <row r="301" spans="2:9" x14ac:dyDescent="0.25">
      <c r="B301" t="s">
        <v>396</v>
      </c>
      <c r="C301" t="s">
        <v>1011</v>
      </c>
      <c r="D301" t="s">
        <v>23</v>
      </c>
      <c r="E301" s="7">
        <v>46002</v>
      </c>
      <c r="F301" t="s">
        <v>58</v>
      </c>
      <c r="G301">
        <v>10</v>
      </c>
      <c r="H301">
        <v>3667</v>
      </c>
      <c r="I301" t="s">
        <v>81</v>
      </c>
    </row>
    <row r="302" spans="2:9" x14ac:dyDescent="0.25">
      <c r="B302" t="s">
        <v>397</v>
      </c>
      <c r="C302" t="s">
        <v>1012</v>
      </c>
      <c r="D302" t="s">
        <v>21</v>
      </c>
      <c r="E302" s="7">
        <v>45962</v>
      </c>
      <c r="F302" t="s">
        <v>58</v>
      </c>
      <c r="G302">
        <v>8</v>
      </c>
      <c r="H302">
        <v>3769</v>
      </c>
      <c r="I302" t="s">
        <v>84</v>
      </c>
    </row>
    <row r="303" spans="2:9" x14ac:dyDescent="0.25">
      <c r="B303" t="s">
        <v>398</v>
      </c>
      <c r="C303" t="s">
        <v>1014</v>
      </c>
      <c r="D303" t="s">
        <v>23</v>
      </c>
      <c r="E303" s="7">
        <v>45999</v>
      </c>
      <c r="F303" t="s">
        <v>58</v>
      </c>
      <c r="G303">
        <v>6</v>
      </c>
      <c r="H303">
        <v>4868</v>
      </c>
      <c r="I303" t="s">
        <v>81</v>
      </c>
    </row>
    <row r="304" spans="2:9" x14ac:dyDescent="0.25">
      <c r="B304" t="s">
        <v>399</v>
      </c>
      <c r="C304" t="s">
        <v>1010</v>
      </c>
      <c r="D304" t="s">
        <v>27</v>
      </c>
      <c r="E304" s="7">
        <v>45659</v>
      </c>
      <c r="F304" t="s">
        <v>58</v>
      </c>
      <c r="G304">
        <v>6</v>
      </c>
      <c r="H304">
        <v>1024</v>
      </c>
      <c r="I304" t="s">
        <v>81</v>
      </c>
    </row>
    <row r="305" spans="2:9" x14ac:dyDescent="0.25">
      <c r="B305" t="s">
        <v>400</v>
      </c>
      <c r="C305" t="s">
        <v>1013</v>
      </c>
      <c r="D305" t="s">
        <v>11</v>
      </c>
      <c r="E305" s="7">
        <v>45858</v>
      </c>
      <c r="F305" t="s">
        <v>58</v>
      </c>
      <c r="G305">
        <v>1</v>
      </c>
      <c r="H305">
        <v>70</v>
      </c>
      <c r="I305" t="s">
        <v>81</v>
      </c>
    </row>
    <row r="306" spans="2:9" x14ac:dyDescent="0.25">
      <c r="B306" t="s">
        <v>401</v>
      </c>
      <c r="C306" t="s">
        <v>1012</v>
      </c>
      <c r="D306" t="s">
        <v>11</v>
      </c>
      <c r="E306" s="7">
        <v>45978</v>
      </c>
      <c r="F306" t="s">
        <v>58</v>
      </c>
      <c r="G306">
        <v>1</v>
      </c>
      <c r="H306">
        <v>1201</v>
      </c>
      <c r="I306" t="s">
        <v>76</v>
      </c>
    </row>
    <row r="307" spans="2:9" x14ac:dyDescent="0.25">
      <c r="B307" t="s">
        <v>402</v>
      </c>
      <c r="C307" t="s">
        <v>1022</v>
      </c>
      <c r="D307" t="s">
        <v>21</v>
      </c>
      <c r="E307" s="7">
        <v>46004</v>
      </c>
      <c r="F307" t="s">
        <v>58</v>
      </c>
      <c r="G307">
        <v>4</v>
      </c>
      <c r="H307">
        <v>2444</v>
      </c>
      <c r="I307" t="s">
        <v>81</v>
      </c>
    </row>
    <row r="308" spans="2:9" x14ac:dyDescent="0.25">
      <c r="B308" t="s">
        <v>403</v>
      </c>
      <c r="C308" t="s">
        <v>1015</v>
      </c>
      <c r="D308" t="s">
        <v>19</v>
      </c>
      <c r="E308" s="7">
        <v>45870</v>
      </c>
      <c r="F308" t="s">
        <v>58</v>
      </c>
      <c r="G308">
        <v>7</v>
      </c>
      <c r="H308">
        <v>3151</v>
      </c>
      <c r="I308" t="s">
        <v>81</v>
      </c>
    </row>
    <row r="309" spans="2:9" x14ac:dyDescent="0.25">
      <c r="B309" t="s">
        <v>404</v>
      </c>
      <c r="C309" t="s">
        <v>1022</v>
      </c>
      <c r="D309" t="s">
        <v>27</v>
      </c>
      <c r="E309" s="7">
        <v>45791</v>
      </c>
      <c r="F309" t="s">
        <v>58</v>
      </c>
      <c r="G309">
        <v>6</v>
      </c>
      <c r="H309">
        <v>1504</v>
      </c>
      <c r="I309" t="s">
        <v>81</v>
      </c>
    </row>
    <row r="310" spans="2:9" x14ac:dyDescent="0.25">
      <c r="B310" t="s">
        <v>405</v>
      </c>
      <c r="C310" t="s">
        <v>1006</v>
      </c>
      <c r="D310" t="s">
        <v>27</v>
      </c>
      <c r="E310" s="7">
        <v>45928</v>
      </c>
      <c r="F310" t="s">
        <v>58</v>
      </c>
      <c r="G310">
        <v>2</v>
      </c>
      <c r="H310">
        <v>1991</v>
      </c>
      <c r="I310" t="s">
        <v>76</v>
      </c>
    </row>
    <row r="311" spans="2:9" x14ac:dyDescent="0.25">
      <c r="B311" t="s">
        <v>406</v>
      </c>
      <c r="C311" t="s">
        <v>1005</v>
      </c>
      <c r="D311" t="s">
        <v>17</v>
      </c>
      <c r="E311" s="7">
        <v>45841</v>
      </c>
      <c r="F311" t="s">
        <v>58</v>
      </c>
      <c r="G311">
        <v>8</v>
      </c>
      <c r="H311">
        <v>2950</v>
      </c>
      <c r="I311" t="s">
        <v>84</v>
      </c>
    </row>
    <row r="312" spans="2:9" x14ac:dyDescent="0.25">
      <c r="B312" t="s">
        <v>407</v>
      </c>
      <c r="C312" t="s">
        <v>1006</v>
      </c>
      <c r="D312" t="s">
        <v>21</v>
      </c>
      <c r="E312" s="7">
        <v>45971</v>
      </c>
      <c r="F312" t="s">
        <v>58</v>
      </c>
      <c r="G312">
        <v>4</v>
      </c>
      <c r="H312">
        <v>4044</v>
      </c>
      <c r="I312" t="s">
        <v>81</v>
      </c>
    </row>
    <row r="313" spans="2:9" x14ac:dyDescent="0.25">
      <c r="B313" t="s">
        <v>408</v>
      </c>
      <c r="C313" t="s">
        <v>1011</v>
      </c>
      <c r="D313" t="s">
        <v>17</v>
      </c>
      <c r="E313" s="7">
        <v>45709</v>
      </c>
      <c r="F313" t="s">
        <v>58</v>
      </c>
      <c r="G313">
        <v>7</v>
      </c>
      <c r="H313">
        <v>3766</v>
      </c>
      <c r="I313" t="s">
        <v>84</v>
      </c>
    </row>
    <row r="314" spans="2:9" x14ac:dyDescent="0.25">
      <c r="B314" t="s">
        <v>409</v>
      </c>
      <c r="C314" t="s">
        <v>1010</v>
      </c>
      <c r="D314" t="s">
        <v>27</v>
      </c>
      <c r="E314" s="7">
        <v>45997</v>
      </c>
      <c r="F314" t="s">
        <v>58</v>
      </c>
      <c r="G314">
        <v>4</v>
      </c>
      <c r="H314">
        <v>1935</v>
      </c>
      <c r="I314" t="s">
        <v>81</v>
      </c>
    </row>
    <row r="315" spans="2:9" x14ac:dyDescent="0.25">
      <c r="B315" t="s">
        <v>410</v>
      </c>
      <c r="C315" t="s">
        <v>1005</v>
      </c>
      <c r="D315" t="s">
        <v>11</v>
      </c>
      <c r="E315" s="7">
        <v>45783</v>
      </c>
      <c r="F315" t="s">
        <v>58</v>
      </c>
      <c r="G315">
        <v>1</v>
      </c>
      <c r="H315">
        <v>2182</v>
      </c>
      <c r="I315" t="s">
        <v>76</v>
      </c>
    </row>
    <row r="316" spans="2:9" x14ac:dyDescent="0.25">
      <c r="B316" t="s">
        <v>411</v>
      </c>
      <c r="C316" t="s">
        <v>1009</v>
      </c>
      <c r="D316" t="s">
        <v>21</v>
      </c>
      <c r="E316" s="7">
        <v>45805</v>
      </c>
      <c r="F316" t="s">
        <v>58</v>
      </c>
      <c r="G316">
        <v>8</v>
      </c>
      <c r="H316">
        <v>4480</v>
      </c>
      <c r="I316" t="s">
        <v>84</v>
      </c>
    </row>
    <row r="317" spans="2:9" x14ac:dyDescent="0.25">
      <c r="B317" t="s">
        <v>412</v>
      </c>
      <c r="C317" t="s">
        <v>1016</v>
      </c>
      <c r="D317" t="s">
        <v>27</v>
      </c>
      <c r="E317" s="7">
        <v>45851</v>
      </c>
      <c r="F317" t="s">
        <v>58</v>
      </c>
      <c r="G317">
        <v>9</v>
      </c>
      <c r="H317">
        <v>2654</v>
      </c>
      <c r="I317" t="s">
        <v>84</v>
      </c>
    </row>
    <row r="318" spans="2:9" x14ac:dyDescent="0.25">
      <c r="B318" t="s">
        <v>413</v>
      </c>
      <c r="C318" t="s">
        <v>1018</v>
      </c>
      <c r="D318" t="s">
        <v>14</v>
      </c>
      <c r="E318" s="7">
        <v>45787</v>
      </c>
      <c r="F318" t="s">
        <v>58</v>
      </c>
      <c r="G318">
        <v>1</v>
      </c>
      <c r="H318">
        <v>1813</v>
      </c>
      <c r="I318" t="s">
        <v>81</v>
      </c>
    </row>
    <row r="319" spans="2:9" x14ac:dyDescent="0.25">
      <c r="B319" t="s">
        <v>414</v>
      </c>
      <c r="C319" t="s">
        <v>1008</v>
      </c>
      <c r="D319" t="s">
        <v>11</v>
      </c>
      <c r="E319" s="7">
        <v>45711</v>
      </c>
      <c r="F319" t="s">
        <v>58</v>
      </c>
      <c r="G319">
        <v>4</v>
      </c>
      <c r="H319">
        <v>920</v>
      </c>
      <c r="I319" t="s">
        <v>84</v>
      </c>
    </row>
    <row r="320" spans="2:9" x14ac:dyDescent="0.25">
      <c r="B320" t="s">
        <v>415</v>
      </c>
      <c r="C320" t="s">
        <v>1004</v>
      </c>
      <c r="D320" t="s">
        <v>27</v>
      </c>
      <c r="E320" s="7">
        <v>45963</v>
      </c>
      <c r="F320" t="s">
        <v>58</v>
      </c>
      <c r="G320">
        <v>3</v>
      </c>
      <c r="H320">
        <v>258</v>
      </c>
      <c r="I320" t="s">
        <v>81</v>
      </c>
    </row>
    <row r="321" spans="2:9" x14ac:dyDescent="0.25">
      <c r="B321" t="s">
        <v>416</v>
      </c>
      <c r="C321" t="s">
        <v>1013</v>
      </c>
      <c r="D321" t="s">
        <v>19</v>
      </c>
      <c r="E321" s="7">
        <v>45709</v>
      </c>
      <c r="F321" t="s">
        <v>58</v>
      </c>
      <c r="G321">
        <v>3</v>
      </c>
      <c r="H321">
        <v>3926</v>
      </c>
      <c r="I321" t="s">
        <v>76</v>
      </c>
    </row>
    <row r="322" spans="2:9" x14ac:dyDescent="0.25">
      <c r="B322" t="s">
        <v>417</v>
      </c>
      <c r="C322" t="s">
        <v>1005</v>
      </c>
      <c r="D322" t="s">
        <v>11</v>
      </c>
      <c r="E322" s="7">
        <v>45879</v>
      </c>
      <c r="F322" t="s">
        <v>58</v>
      </c>
      <c r="G322">
        <v>5</v>
      </c>
      <c r="H322">
        <v>2402</v>
      </c>
      <c r="I322" t="s">
        <v>84</v>
      </c>
    </row>
    <row r="323" spans="2:9" x14ac:dyDescent="0.25">
      <c r="B323" t="s">
        <v>418</v>
      </c>
      <c r="C323" t="s">
        <v>1021</v>
      </c>
      <c r="D323" t="s">
        <v>27</v>
      </c>
      <c r="E323" s="7">
        <v>45836</v>
      </c>
      <c r="F323" t="s">
        <v>58</v>
      </c>
      <c r="G323">
        <v>2</v>
      </c>
      <c r="H323">
        <v>4921</v>
      </c>
      <c r="I323" t="s">
        <v>81</v>
      </c>
    </row>
    <row r="324" spans="2:9" x14ac:dyDescent="0.25">
      <c r="B324" t="s">
        <v>419</v>
      </c>
      <c r="C324" t="s">
        <v>1005</v>
      </c>
      <c r="D324" t="s">
        <v>19</v>
      </c>
      <c r="E324" s="7">
        <v>46007</v>
      </c>
      <c r="F324" t="s">
        <v>58</v>
      </c>
      <c r="G324">
        <v>2</v>
      </c>
      <c r="H324">
        <v>2117</v>
      </c>
      <c r="I324" t="s">
        <v>76</v>
      </c>
    </row>
    <row r="325" spans="2:9" x14ac:dyDescent="0.25">
      <c r="B325" t="s">
        <v>420</v>
      </c>
      <c r="C325" t="s">
        <v>1014</v>
      </c>
      <c r="D325" t="s">
        <v>23</v>
      </c>
      <c r="E325" s="7">
        <v>45885</v>
      </c>
      <c r="F325" t="s">
        <v>58</v>
      </c>
      <c r="G325">
        <v>2</v>
      </c>
      <c r="H325">
        <v>3380</v>
      </c>
      <c r="I325" t="s">
        <v>84</v>
      </c>
    </row>
    <row r="326" spans="2:9" x14ac:dyDescent="0.25">
      <c r="B326" t="s">
        <v>421</v>
      </c>
      <c r="C326" t="s">
        <v>1005</v>
      </c>
      <c r="D326" t="s">
        <v>21</v>
      </c>
      <c r="E326" s="7">
        <v>45726</v>
      </c>
      <c r="F326" t="s">
        <v>58</v>
      </c>
      <c r="G326">
        <v>9</v>
      </c>
      <c r="H326">
        <v>4481</v>
      </c>
      <c r="I326" t="s">
        <v>81</v>
      </c>
    </row>
    <row r="327" spans="2:9" x14ac:dyDescent="0.25">
      <c r="B327" t="s">
        <v>422</v>
      </c>
      <c r="C327" t="s">
        <v>1017</v>
      </c>
      <c r="D327" t="s">
        <v>21</v>
      </c>
      <c r="E327" s="7">
        <v>45677</v>
      </c>
      <c r="F327" t="s">
        <v>58</v>
      </c>
      <c r="G327">
        <v>7</v>
      </c>
      <c r="H327">
        <v>23</v>
      </c>
      <c r="I327" t="s">
        <v>81</v>
      </c>
    </row>
    <row r="328" spans="2:9" x14ac:dyDescent="0.25">
      <c r="B328" t="s">
        <v>423</v>
      </c>
      <c r="C328" t="s">
        <v>1008</v>
      </c>
      <c r="D328" t="s">
        <v>27</v>
      </c>
      <c r="E328" s="7">
        <v>45762</v>
      </c>
      <c r="F328" t="s">
        <v>58</v>
      </c>
      <c r="G328">
        <v>6</v>
      </c>
      <c r="H328">
        <v>875</v>
      </c>
      <c r="I328" t="s">
        <v>84</v>
      </c>
    </row>
    <row r="329" spans="2:9" x14ac:dyDescent="0.25">
      <c r="B329" t="s">
        <v>424</v>
      </c>
      <c r="C329" t="s">
        <v>1009</v>
      </c>
      <c r="D329" t="s">
        <v>21</v>
      </c>
      <c r="E329" s="7">
        <v>45897</v>
      </c>
      <c r="F329" t="s">
        <v>58</v>
      </c>
      <c r="G329">
        <v>10</v>
      </c>
      <c r="H329">
        <v>1795</v>
      </c>
      <c r="I329" t="s">
        <v>84</v>
      </c>
    </row>
    <row r="330" spans="2:9" x14ac:dyDescent="0.25">
      <c r="B330" t="s">
        <v>425</v>
      </c>
      <c r="C330" t="s">
        <v>1016</v>
      </c>
      <c r="D330" t="s">
        <v>21</v>
      </c>
      <c r="E330" s="7">
        <v>45999</v>
      </c>
      <c r="F330" t="s">
        <v>58</v>
      </c>
      <c r="G330">
        <v>5</v>
      </c>
      <c r="H330">
        <v>3847</v>
      </c>
      <c r="I330" t="s">
        <v>81</v>
      </c>
    </row>
    <row r="331" spans="2:9" x14ac:dyDescent="0.25">
      <c r="B331" t="s">
        <v>426</v>
      </c>
      <c r="C331" t="s">
        <v>1017</v>
      </c>
      <c r="D331" t="s">
        <v>21</v>
      </c>
      <c r="E331" s="7">
        <v>45810</v>
      </c>
      <c r="F331" t="s">
        <v>58</v>
      </c>
      <c r="G331">
        <v>1</v>
      </c>
      <c r="H331">
        <v>1945</v>
      </c>
      <c r="I331" t="s">
        <v>81</v>
      </c>
    </row>
    <row r="332" spans="2:9" x14ac:dyDescent="0.25">
      <c r="B332" t="s">
        <v>427</v>
      </c>
      <c r="C332" t="s">
        <v>1021</v>
      </c>
      <c r="D332" t="s">
        <v>17</v>
      </c>
      <c r="E332" s="7">
        <v>45865</v>
      </c>
      <c r="F332" t="s">
        <v>58</v>
      </c>
      <c r="G332">
        <v>10</v>
      </c>
      <c r="H332">
        <v>2289</v>
      </c>
      <c r="I332" t="s">
        <v>76</v>
      </c>
    </row>
    <row r="333" spans="2:9" x14ac:dyDescent="0.25">
      <c r="B333" t="s">
        <v>428</v>
      </c>
      <c r="C333" t="s">
        <v>1005</v>
      </c>
      <c r="D333" t="s">
        <v>11</v>
      </c>
      <c r="E333" s="7">
        <v>45962</v>
      </c>
      <c r="F333" t="s">
        <v>58</v>
      </c>
      <c r="G333">
        <v>9</v>
      </c>
      <c r="H333">
        <v>4929</v>
      </c>
      <c r="I333" t="s">
        <v>81</v>
      </c>
    </row>
    <row r="334" spans="2:9" x14ac:dyDescent="0.25">
      <c r="B334" t="s">
        <v>429</v>
      </c>
      <c r="C334" t="s">
        <v>1010</v>
      </c>
      <c r="D334" t="s">
        <v>23</v>
      </c>
      <c r="E334" s="7">
        <v>45815</v>
      </c>
      <c r="F334" t="s">
        <v>58</v>
      </c>
      <c r="G334">
        <v>7</v>
      </c>
      <c r="H334">
        <v>1278</v>
      </c>
      <c r="I334" t="s">
        <v>76</v>
      </c>
    </row>
    <row r="335" spans="2:9" x14ac:dyDescent="0.25">
      <c r="B335" t="s">
        <v>430</v>
      </c>
      <c r="C335" t="s">
        <v>1013</v>
      </c>
      <c r="D335" t="s">
        <v>21</v>
      </c>
      <c r="E335" s="7">
        <v>45810</v>
      </c>
      <c r="F335" t="s">
        <v>58</v>
      </c>
      <c r="G335">
        <v>7</v>
      </c>
      <c r="H335">
        <v>1505</v>
      </c>
      <c r="I335" t="s">
        <v>84</v>
      </c>
    </row>
    <row r="336" spans="2:9" x14ac:dyDescent="0.25">
      <c r="B336" t="s">
        <v>431</v>
      </c>
      <c r="C336" t="s">
        <v>1005</v>
      </c>
      <c r="D336" t="s">
        <v>14</v>
      </c>
      <c r="E336" s="7">
        <v>45803</v>
      </c>
      <c r="F336" t="s">
        <v>58</v>
      </c>
      <c r="G336">
        <v>6</v>
      </c>
      <c r="H336">
        <v>2157</v>
      </c>
      <c r="I336" t="s">
        <v>84</v>
      </c>
    </row>
    <row r="337" spans="2:9" x14ac:dyDescent="0.25">
      <c r="B337" t="s">
        <v>432</v>
      </c>
      <c r="C337" t="s">
        <v>1016</v>
      </c>
      <c r="D337" t="s">
        <v>19</v>
      </c>
      <c r="E337" s="7">
        <v>45677</v>
      </c>
      <c r="F337" t="s">
        <v>58</v>
      </c>
      <c r="G337">
        <v>1</v>
      </c>
      <c r="H337">
        <v>3599</v>
      </c>
      <c r="I337" t="s">
        <v>76</v>
      </c>
    </row>
    <row r="338" spans="2:9" x14ac:dyDescent="0.25">
      <c r="B338" t="s">
        <v>433</v>
      </c>
      <c r="C338" t="s">
        <v>1020</v>
      </c>
      <c r="D338" t="s">
        <v>27</v>
      </c>
      <c r="E338" s="7">
        <v>45753</v>
      </c>
      <c r="F338" t="s">
        <v>58</v>
      </c>
      <c r="G338">
        <v>7</v>
      </c>
      <c r="H338">
        <v>2534</v>
      </c>
      <c r="I338" t="s">
        <v>84</v>
      </c>
    </row>
    <row r="339" spans="2:9" x14ac:dyDescent="0.25">
      <c r="B339" t="s">
        <v>434</v>
      </c>
      <c r="C339" t="s">
        <v>1012</v>
      </c>
      <c r="D339" t="s">
        <v>27</v>
      </c>
      <c r="E339" s="7">
        <v>45889</v>
      </c>
      <c r="F339" t="s">
        <v>58</v>
      </c>
      <c r="G339">
        <v>9</v>
      </c>
      <c r="H339">
        <v>4460</v>
      </c>
      <c r="I339" t="s">
        <v>84</v>
      </c>
    </row>
    <row r="340" spans="2:9" x14ac:dyDescent="0.25">
      <c r="B340" t="s">
        <v>435</v>
      </c>
      <c r="C340" t="s">
        <v>1004</v>
      </c>
      <c r="D340" t="s">
        <v>19</v>
      </c>
      <c r="E340" s="7">
        <v>45821</v>
      </c>
      <c r="F340" t="s">
        <v>58</v>
      </c>
      <c r="G340">
        <v>6</v>
      </c>
      <c r="H340">
        <v>1259</v>
      </c>
      <c r="I340" t="s">
        <v>76</v>
      </c>
    </row>
    <row r="341" spans="2:9" x14ac:dyDescent="0.25">
      <c r="B341" t="s">
        <v>436</v>
      </c>
      <c r="C341" t="s">
        <v>1020</v>
      </c>
      <c r="D341" t="s">
        <v>21</v>
      </c>
      <c r="E341" s="7">
        <v>45903</v>
      </c>
      <c r="F341" t="s">
        <v>58</v>
      </c>
      <c r="G341">
        <v>10</v>
      </c>
      <c r="H341">
        <v>3564</v>
      </c>
      <c r="I341" t="s">
        <v>76</v>
      </c>
    </row>
    <row r="342" spans="2:9" x14ac:dyDescent="0.25">
      <c r="B342" t="s">
        <v>437</v>
      </c>
      <c r="C342" t="s">
        <v>1018</v>
      </c>
      <c r="D342" t="s">
        <v>21</v>
      </c>
      <c r="E342" s="7">
        <v>45755</v>
      </c>
      <c r="F342" t="s">
        <v>58</v>
      </c>
      <c r="G342">
        <v>8</v>
      </c>
      <c r="H342">
        <v>3411</v>
      </c>
      <c r="I342" t="s">
        <v>84</v>
      </c>
    </row>
    <row r="343" spans="2:9" x14ac:dyDescent="0.25">
      <c r="B343" t="s">
        <v>438</v>
      </c>
      <c r="C343" t="s">
        <v>1020</v>
      </c>
      <c r="D343" t="s">
        <v>11</v>
      </c>
      <c r="E343" s="7">
        <v>45902</v>
      </c>
      <c r="F343" t="s">
        <v>58</v>
      </c>
      <c r="G343">
        <v>8</v>
      </c>
      <c r="H343">
        <v>1629</v>
      </c>
      <c r="I343" t="s">
        <v>76</v>
      </c>
    </row>
    <row r="344" spans="2:9" x14ac:dyDescent="0.25">
      <c r="B344" t="s">
        <v>439</v>
      </c>
      <c r="C344" t="s">
        <v>1012</v>
      </c>
      <c r="D344" t="s">
        <v>23</v>
      </c>
      <c r="E344" s="7">
        <v>45823</v>
      </c>
      <c r="F344" t="s">
        <v>58</v>
      </c>
      <c r="G344">
        <v>4</v>
      </c>
      <c r="H344">
        <v>371</v>
      </c>
      <c r="I344" t="s">
        <v>76</v>
      </c>
    </row>
    <row r="345" spans="2:9" x14ac:dyDescent="0.25">
      <c r="B345" t="s">
        <v>440</v>
      </c>
      <c r="C345" t="s">
        <v>1016</v>
      </c>
      <c r="D345" t="s">
        <v>21</v>
      </c>
      <c r="E345" s="7">
        <v>45813</v>
      </c>
      <c r="F345" t="s">
        <v>58</v>
      </c>
      <c r="G345">
        <v>9</v>
      </c>
      <c r="H345">
        <v>621</v>
      </c>
      <c r="I345" t="s">
        <v>76</v>
      </c>
    </row>
    <row r="346" spans="2:9" x14ac:dyDescent="0.25">
      <c r="B346" t="s">
        <v>441</v>
      </c>
      <c r="C346" t="s">
        <v>1008</v>
      </c>
      <c r="D346" t="s">
        <v>11</v>
      </c>
      <c r="E346" s="7">
        <v>45973</v>
      </c>
      <c r="F346" t="s">
        <v>58</v>
      </c>
      <c r="G346">
        <v>4</v>
      </c>
      <c r="H346">
        <v>4688</v>
      </c>
      <c r="I346" t="s">
        <v>76</v>
      </c>
    </row>
    <row r="347" spans="2:9" x14ac:dyDescent="0.25">
      <c r="B347" t="s">
        <v>442</v>
      </c>
      <c r="C347" t="s">
        <v>1006</v>
      </c>
      <c r="D347" t="s">
        <v>21</v>
      </c>
      <c r="E347" s="7">
        <v>45721</v>
      </c>
      <c r="F347" t="s">
        <v>58</v>
      </c>
      <c r="G347">
        <v>9</v>
      </c>
      <c r="H347">
        <v>3751</v>
      </c>
      <c r="I347" t="s">
        <v>76</v>
      </c>
    </row>
    <row r="348" spans="2:9" x14ac:dyDescent="0.25">
      <c r="B348" t="s">
        <v>443</v>
      </c>
      <c r="C348" t="s">
        <v>1019</v>
      </c>
      <c r="D348" t="s">
        <v>11</v>
      </c>
      <c r="E348" s="7">
        <v>45998</v>
      </c>
      <c r="F348" t="s">
        <v>58</v>
      </c>
      <c r="G348">
        <v>2</v>
      </c>
      <c r="H348">
        <v>272</v>
      </c>
      <c r="I348" t="s">
        <v>76</v>
      </c>
    </row>
    <row r="349" spans="2:9" x14ac:dyDescent="0.25">
      <c r="B349" t="s">
        <v>444</v>
      </c>
      <c r="C349" t="s">
        <v>1006</v>
      </c>
      <c r="D349" t="s">
        <v>14</v>
      </c>
      <c r="E349" s="7">
        <v>45689</v>
      </c>
      <c r="F349" t="s">
        <v>58</v>
      </c>
      <c r="G349">
        <v>10</v>
      </c>
      <c r="H349">
        <v>530</v>
      </c>
      <c r="I349" t="s">
        <v>84</v>
      </c>
    </row>
    <row r="350" spans="2:9" x14ac:dyDescent="0.25">
      <c r="B350" t="s">
        <v>445</v>
      </c>
      <c r="C350" t="s">
        <v>1012</v>
      </c>
      <c r="D350" t="s">
        <v>21</v>
      </c>
      <c r="E350" s="7">
        <v>46011</v>
      </c>
      <c r="F350" t="s">
        <v>58</v>
      </c>
      <c r="G350">
        <v>5</v>
      </c>
      <c r="H350">
        <v>2163</v>
      </c>
      <c r="I350" t="s">
        <v>81</v>
      </c>
    </row>
    <row r="351" spans="2:9" x14ac:dyDescent="0.25">
      <c r="B351" t="s">
        <v>446</v>
      </c>
      <c r="C351" t="s">
        <v>1013</v>
      </c>
      <c r="D351" t="s">
        <v>21</v>
      </c>
      <c r="E351" s="7">
        <v>45989</v>
      </c>
      <c r="F351" t="s">
        <v>58</v>
      </c>
      <c r="G351">
        <v>3</v>
      </c>
      <c r="H351">
        <v>1642</v>
      </c>
      <c r="I351" t="s">
        <v>81</v>
      </c>
    </row>
    <row r="352" spans="2:9" x14ac:dyDescent="0.25">
      <c r="B352" t="s">
        <v>447</v>
      </c>
      <c r="C352" t="s">
        <v>1009</v>
      </c>
      <c r="D352" t="s">
        <v>27</v>
      </c>
      <c r="E352" s="7">
        <v>45886</v>
      </c>
      <c r="F352" t="s">
        <v>58</v>
      </c>
      <c r="G352">
        <v>3</v>
      </c>
      <c r="H352">
        <v>1741</v>
      </c>
      <c r="I352" t="s">
        <v>76</v>
      </c>
    </row>
    <row r="353" spans="2:9" x14ac:dyDescent="0.25">
      <c r="B353" t="s">
        <v>448</v>
      </c>
      <c r="C353" t="s">
        <v>1010</v>
      </c>
      <c r="D353" t="s">
        <v>27</v>
      </c>
      <c r="E353" s="7">
        <v>45765</v>
      </c>
      <c r="F353" t="s">
        <v>58</v>
      </c>
      <c r="G353">
        <v>5</v>
      </c>
      <c r="H353">
        <v>4069</v>
      </c>
      <c r="I353" t="s">
        <v>81</v>
      </c>
    </row>
    <row r="354" spans="2:9" x14ac:dyDescent="0.25">
      <c r="B354" t="s">
        <v>449</v>
      </c>
      <c r="C354" t="s">
        <v>1004</v>
      </c>
      <c r="D354" t="s">
        <v>17</v>
      </c>
      <c r="E354" s="7">
        <v>45995</v>
      </c>
      <c r="F354" t="s">
        <v>58</v>
      </c>
      <c r="G354">
        <v>7</v>
      </c>
      <c r="H354">
        <v>1595</v>
      </c>
      <c r="I354" t="s">
        <v>76</v>
      </c>
    </row>
    <row r="355" spans="2:9" x14ac:dyDescent="0.25">
      <c r="B355" t="s">
        <v>450</v>
      </c>
      <c r="C355" t="s">
        <v>1017</v>
      </c>
      <c r="D355" t="s">
        <v>23</v>
      </c>
      <c r="E355" s="7">
        <v>45795</v>
      </c>
      <c r="F355" t="s">
        <v>58</v>
      </c>
      <c r="G355">
        <v>4</v>
      </c>
      <c r="H355">
        <v>1061</v>
      </c>
      <c r="I355" t="s">
        <v>81</v>
      </c>
    </row>
    <row r="356" spans="2:9" x14ac:dyDescent="0.25">
      <c r="B356" t="s">
        <v>451</v>
      </c>
      <c r="C356" t="s">
        <v>1013</v>
      </c>
      <c r="D356" t="s">
        <v>17</v>
      </c>
      <c r="E356" s="7">
        <v>45734</v>
      </c>
      <c r="F356" t="s">
        <v>58</v>
      </c>
      <c r="G356">
        <v>10</v>
      </c>
      <c r="H356">
        <v>575</v>
      </c>
      <c r="I356" t="s">
        <v>76</v>
      </c>
    </row>
    <row r="357" spans="2:9" x14ac:dyDescent="0.25">
      <c r="B357" t="s">
        <v>452</v>
      </c>
      <c r="C357" t="s">
        <v>1014</v>
      </c>
      <c r="D357" t="s">
        <v>21</v>
      </c>
      <c r="E357" s="7">
        <v>45871</v>
      </c>
      <c r="F357" t="s">
        <v>58</v>
      </c>
      <c r="G357">
        <v>9</v>
      </c>
      <c r="H357">
        <v>2055</v>
      </c>
      <c r="I357" t="s">
        <v>81</v>
      </c>
    </row>
    <row r="358" spans="2:9" x14ac:dyDescent="0.25">
      <c r="B358" t="s">
        <v>453</v>
      </c>
      <c r="C358" t="s">
        <v>1008</v>
      </c>
      <c r="D358" t="s">
        <v>23</v>
      </c>
      <c r="E358" s="7">
        <v>45922</v>
      </c>
      <c r="F358" t="s">
        <v>58</v>
      </c>
      <c r="G358">
        <v>10</v>
      </c>
      <c r="H358">
        <v>3761</v>
      </c>
      <c r="I358" t="s">
        <v>76</v>
      </c>
    </row>
    <row r="359" spans="2:9" x14ac:dyDescent="0.25">
      <c r="B359" t="s">
        <v>454</v>
      </c>
      <c r="C359" t="s">
        <v>1008</v>
      </c>
      <c r="D359" t="s">
        <v>27</v>
      </c>
      <c r="E359" s="7">
        <v>45781</v>
      </c>
      <c r="F359" t="s">
        <v>58</v>
      </c>
      <c r="G359">
        <v>4</v>
      </c>
      <c r="H359">
        <v>2788</v>
      </c>
      <c r="I359" t="s">
        <v>81</v>
      </c>
    </row>
    <row r="360" spans="2:9" x14ac:dyDescent="0.25">
      <c r="B360" t="s">
        <v>455</v>
      </c>
      <c r="C360" t="s">
        <v>1009</v>
      </c>
      <c r="D360" t="s">
        <v>27</v>
      </c>
      <c r="E360" s="7">
        <v>45758</v>
      </c>
      <c r="F360" t="s">
        <v>58</v>
      </c>
      <c r="G360">
        <v>6</v>
      </c>
      <c r="H360">
        <v>2533</v>
      </c>
      <c r="I360" t="s">
        <v>84</v>
      </c>
    </row>
    <row r="361" spans="2:9" x14ac:dyDescent="0.25">
      <c r="B361" t="s">
        <v>456</v>
      </c>
      <c r="C361" t="s">
        <v>1017</v>
      </c>
      <c r="D361" t="s">
        <v>14</v>
      </c>
      <c r="E361" s="7">
        <v>45910</v>
      </c>
      <c r="F361" t="s">
        <v>58</v>
      </c>
      <c r="G361">
        <v>4</v>
      </c>
      <c r="H361">
        <v>245</v>
      </c>
      <c r="I361" t="s">
        <v>76</v>
      </c>
    </row>
    <row r="362" spans="2:9" x14ac:dyDescent="0.25">
      <c r="B362" t="s">
        <v>457</v>
      </c>
      <c r="C362" t="s">
        <v>1016</v>
      </c>
      <c r="D362" t="s">
        <v>11</v>
      </c>
      <c r="E362" s="7">
        <v>45948</v>
      </c>
      <c r="F362" t="s">
        <v>58</v>
      </c>
      <c r="G362">
        <v>9</v>
      </c>
      <c r="H362">
        <v>4460</v>
      </c>
      <c r="I362" t="s">
        <v>84</v>
      </c>
    </row>
    <row r="363" spans="2:9" x14ac:dyDescent="0.25">
      <c r="B363" t="s">
        <v>458</v>
      </c>
      <c r="C363" t="s">
        <v>1019</v>
      </c>
      <c r="D363" t="s">
        <v>21</v>
      </c>
      <c r="E363" s="7">
        <v>45851</v>
      </c>
      <c r="F363" t="s">
        <v>58</v>
      </c>
      <c r="G363">
        <v>6</v>
      </c>
      <c r="H363">
        <v>2619</v>
      </c>
      <c r="I363" t="s">
        <v>76</v>
      </c>
    </row>
    <row r="364" spans="2:9" x14ac:dyDescent="0.25">
      <c r="B364" t="s">
        <v>459</v>
      </c>
      <c r="C364" t="s">
        <v>1021</v>
      </c>
      <c r="D364" t="s">
        <v>21</v>
      </c>
      <c r="E364" s="7">
        <v>45863</v>
      </c>
      <c r="F364" t="s">
        <v>58</v>
      </c>
      <c r="G364">
        <v>4</v>
      </c>
      <c r="H364">
        <v>3412</v>
      </c>
      <c r="I364" t="s">
        <v>81</v>
      </c>
    </row>
    <row r="365" spans="2:9" x14ac:dyDescent="0.25">
      <c r="B365" t="s">
        <v>460</v>
      </c>
      <c r="C365" t="s">
        <v>1013</v>
      </c>
      <c r="D365" t="s">
        <v>19</v>
      </c>
      <c r="E365" s="7">
        <v>45729</v>
      </c>
      <c r="F365" t="s">
        <v>58</v>
      </c>
      <c r="G365">
        <v>2</v>
      </c>
      <c r="H365">
        <v>4401</v>
      </c>
      <c r="I365" t="s">
        <v>81</v>
      </c>
    </row>
    <row r="366" spans="2:9" x14ac:dyDescent="0.25">
      <c r="B366" t="s">
        <v>461</v>
      </c>
      <c r="C366" t="s">
        <v>1004</v>
      </c>
      <c r="D366" t="s">
        <v>21</v>
      </c>
      <c r="E366" s="7">
        <v>45982</v>
      </c>
      <c r="F366" t="s">
        <v>58</v>
      </c>
      <c r="G366">
        <v>6</v>
      </c>
      <c r="H366">
        <v>4469</v>
      </c>
      <c r="I366" t="s">
        <v>84</v>
      </c>
    </row>
    <row r="367" spans="2:9" x14ac:dyDescent="0.25">
      <c r="B367" t="s">
        <v>462</v>
      </c>
      <c r="C367" t="s">
        <v>1020</v>
      </c>
      <c r="D367" t="s">
        <v>27</v>
      </c>
      <c r="E367" s="7">
        <v>45827</v>
      </c>
      <c r="F367" t="s">
        <v>58</v>
      </c>
      <c r="G367">
        <v>3</v>
      </c>
      <c r="H367">
        <v>1332</v>
      </c>
      <c r="I367" t="s">
        <v>76</v>
      </c>
    </row>
    <row r="368" spans="2:9" x14ac:dyDescent="0.25">
      <c r="B368" t="s">
        <v>463</v>
      </c>
      <c r="C368" t="s">
        <v>1011</v>
      </c>
      <c r="D368" t="s">
        <v>14</v>
      </c>
      <c r="E368" s="7">
        <v>45873</v>
      </c>
      <c r="F368" t="s">
        <v>58</v>
      </c>
      <c r="G368">
        <v>5</v>
      </c>
      <c r="H368">
        <v>3991</v>
      </c>
      <c r="I368" t="s">
        <v>84</v>
      </c>
    </row>
    <row r="369" spans="2:9" x14ac:dyDescent="0.25">
      <c r="B369" t="s">
        <v>464</v>
      </c>
      <c r="C369" t="s">
        <v>1019</v>
      </c>
      <c r="D369" t="s">
        <v>27</v>
      </c>
      <c r="E369" s="7">
        <v>45976</v>
      </c>
      <c r="F369" t="s">
        <v>58</v>
      </c>
      <c r="G369">
        <v>6</v>
      </c>
      <c r="H369">
        <v>357</v>
      </c>
      <c r="I369" t="s">
        <v>81</v>
      </c>
    </row>
    <row r="370" spans="2:9" x14ac:dyDescent="0.25">
      <c r="B370" t="s">
        <v>465</v>
      </c>
      <c r="C370" t="s">
        <v>1018</v>
      </c>
      <c r="D370" t="s">
        <v>19</v>
      </c>
      <c r="E370" s="7">
        <v>45873</v>
      </c>
      <c r="F370" t="s">
        <v>58</v>
      </c>
      <c r="G370">
        <v>3</v>
      </c>
      <c r="H370">
        <v>4567</v>
      </c>
      <c r="I370" t="s">
        <v>84</v>
      </c>
    </row>
    <row r="371" spans="2:9" x14ac:dyDescent="0.25">
      <c r="B371" t="s">
        <v>466</v>
      </c>
      <c r="C371" t="s">
        <v>1016</v>
      </c>
      <c r="D371" t="s">
        <v>19</v>
      </c>
      <c r="E371" s="7">
        <v>45953</v>
      </c>
      <c r="F371" t="s">
        <v>58</v>
      </c>
      <c r="G371">
        <v>8</v>
      </c>
      <c r="H371">
        <v>4686</v>
      </c>
      <c r="I371" t="s">
        <v>81</v>
      </c>
    </row>
    <row r="372" spans="2:9" x14ac:dyDescent="0.25">
      <c r="B372" t="s">
        <v>467</v>
      </c>
      <c r="C372" t="s">
        <v>1018</v>
      </c>
      <c r="D372" t="s">
        <v>14</v>
      </c>
      <c r="E372" s="7">
        <v>45721</v>
      </c>
      <c r="F372" t="s">
        <v>58</v>
      </c>
      <c r="G372">
        <v>4</v>
      </c>
      <c r="H372">
        <v>67</v>
      </c>
      <c r="I372" t="s">
        <v>76</v>
      </c>
    </row>
    <row r="373" spans="2:9" x14ac:dyDescent="0.25">
      <c r="B373" t="s">
        <v>468</v>
      </c>
      <c r="C373" t="s">
        <v>1022</v>
      </c>
      <c r="D373" t="s">
        <v>21</v>
      </c>
      <c r="E373" s="7">
        <v>45791</v>
      </c>
      <c r="F373" t="s">
        <v>58</v>
      </c>
      <c r="G373">
        <v>9</v>
      </c>
      <c r="H373">
        <v>3834</v>
      </c>
      <c r="I373" t="s">
        <v>81</v>
      </c>
    </row>
    <row r="374" spans="2:9" x14ac:dyDescent="0.25">
      <c r="B374" t="s">
        <v>469</v>
      </c>
      <c r="C374" t="s">
        <v>1014</v>
      </c>
      <c r="D374" t="s">
        <v>14</v>
      </c>
      <c r="E374" s="7">
        <v>45925</v>
      </c>
      <c r="F374" t="s">
        <v>58</v>
      </c>
      <c r="G374">
        <v>5</v>
      </c>
      <c r="H374">
        <v>551</v>
      </c>
      <c r="I374" t="s">
        <v>84</v>
      </c>
    </row>
    <row r="375" spans="2:9" x14ac:dyDescent="0.25">
      <c r="B375" t="s">
        <v>470</v>
      </c>
      <c r="C375" t="s">
        <v>1022</v>
      </c>
      <c r="D375" t="s">
        <v>11</v>
      </c>
      <c r="E375" s="7">
        <v>45741</v>
      </c>
      <c r="F375" t="s">
        <v>58</v>
      </c>
      <c r="G375">
        <v>3</v>
      </c>
      <c r="H375">
        <v>3499</v>
      </c>
      <c r="I375" t="s">
        <v>84</v>
      </c>
    </row>
    <row r="376" spans="2:9" x14ac:dyDescent="0.25">
      <c r="B376" t="s">
        <v>471</v>
      </c>
      <c r="C376" t="s">
        <v>1020</v>
      </c>
      <c r="D376" t="s">
        <v>21</v>
      </c>
      <c r="E376" s="7">
        <v>45963</v>
      </c>
      <c r="F376" t="s">
        <v>58</v>
      </c>
      <c r="G376">
        <v>3</v>
      </c>
      <c r="H376">
        <v>2380</v>
      </c>
      <c r="I376" t="s">
        <v>76</v>
      </c>
    </row>
    <row r="377" spans="2:9" x14ac:dyDescent="0.25">
      <c r="B377" t="s">
        <v>472</v>
      </c>
      <c r="C377" t="s">
        <v>1005</v>
      </c>
      <c r="D377" t="s">
        <v>17</v>
      </c>
      <c r="E377" s="7">
        <v>45729</v>
      </c>
      <c r="F377" t="s">
        <v>58</v>
      </c>
      <c r="G377">
        <v>5</v>
      </c>
      <c r="H377">
        <v>667</v>
      </c>
      <c r="I377" t="s">
        <v>81</v>
      </c>
    </row>
    <row r="378" spans="2:9" x14ac:dyDescent="0.25">
      <c r="B378" t="s">
        <v>473</v>
      </c>
      <c r="C378" t="s">
        <v>1018</v>
      </c>
      <c r="D378" t="s">
        <v>23</v>
      </c>
      <c r="E378" s="7">
        <v>45926</v>
      </c>
      <c r="F378" t="s">
        <v>58</v>
      </c>
      <c r="G378">
        <v>2</v>
      </c>
      <c r="H378">
        <v>3161</v>
      </c>
      <c r="I378" t="s">
        <v>84</v>
      </c>
    </row>
    <row r="379" spans="2:9" x14ac:dyDescent="0.25">
      <c r="B379" t="s">
        <v>474</v>
      </c>
      <c r="C379" t="s">
        <v>1006</v>
      </c>
      <c r="D379" t="s">
        <v>19</v>
      </c>
      <c r="E379" s="7">
        <v>45835</v>
      </c>
      <c r="F379" t="s">
        <v>58</v>
      </c>
      <c r="G379">
        <v>2</v>
      </c>
      <c r="H379">
        <v>3529</v>
      </c>
      <c r="I379" t="s">
        <v>81</v>
      </c>
    </row>
    <row r="380" spans="2:9" x14ac:dyDescent="0.25">
      <c r="B380" t="s">
        <v>475</v>
      </c>
      <c r="C380" t="s">
        <v>1009</v>
      </c>
      <c r="D380" t="s">
        <v>14</v>
      </c>
      <c r="E380" s="7">
        <v>45800</v>
      </c>
      <c r="F380" t="s">
        <v>58</v>
      </c>
      <c r="G380">
        <v>5</v>
      </c>
      <c r="H380">
        <v>1746</v>
      </c>
      <c r="I380" t="s">
        <v>84</v>
      </c>
    </row>
    <row r="381" spans="2:9" x14ac:dyDescent="0.25">
      <c r="B381" t="s">
        <v>476</v>
      </c>
      <c r="C381" t="s">
        <v>1012</v>
      </c>
      <c r="D381" t="s">
        <v>21</v>
      </c>
      <c r="E381" s="7">
        <v>45727</v>
      </c>
      <c r="F381" t="s">
        <v>58</v>
      </c>
      <c r="G381">
        <v>5</v>
      </c>
      <c r="H381">
        <v>1598</v>
      </c>
      <c r="I381" t="s">
        <v>84</v>
      </c>
    </row>
    <row r="382" spans="2:9" x14ac:dyDescent="0.25">
      <c r="B382" t="s">
        <v>477</v>
      </c>
      <c r="C382" t="s">
        <v>1007</v>
      </c>
      <c r="D382" t="s">
        <v>23</v>
      </c>
      <c r="E382" s="7">
        <v>45788</v>
      </c>
      <c r="F382" t="s">
        <v>58</v>
      </c>
      <c r="G382">
        <v>9</v>
      </c>
      <c r="H382">
        <v>3214</v>
      </c>
      <c r="I382" t="s">
        <v>76</v>
      </c>
    </row>
    <row r="383" spans="2:9" x14ac:dyDescent="0.25">
      <c r="B383" t="s">
        <v>478</v>
      </c>
      <c r="C383" t="s">
        <v>1011</v>
      </c>
      <c r="D383" t="s">
        <v>19</v>
      </c>
      <c r="E383" s="7">
        <v>45658</v>
      </c>
      <c r="F383" t="s">
        <v>58</v>
      </c>
      <c r="G383">
        <v>6</v>
      </c>
      <c r="H383">
        <v>574</v>
      </c>
      <c r="I383" t="s">
        <v>76</v>
      </c>
    </row>
    <row r="384" spans="2:9" x14ac:dyDescent="0.25">
      <c r="B384" t="s">
        <v>479</v>
      </c>
      <c r="C384" t="s">
        <v>1022</v>
      </c>
      <c r="D384" t="s">
        <v>21</v>
      </c>
      <c r="E384" s="7">
        <v>45791</v>
      </c>
      <c r="F384" t="s">
        <v>58</v>
      </c>
      <c r="G384">
        <v>2</v>
      </c>
      <c r="H384">
        <v>3925</v>
      </c>
      <c r="I384" t="s">
        <v>76</v>
      </c>
    </row>
    <row r="385" spans="2:9" x14ac:dyDescent="0.25">
      <c r="B385" t="s">
        <v>480</v>
      </c>
      <c r="C385" t="s">
        <v>1022</v>
      </c>
      <c r="D385" t="s">
        <v>21</v>
      </c>
      <c r="E385" s="7">
        <v>45971</v>
      </c>
      <c r="F385" t="s">
        <v>58</v>
      </c>
      <c r="G385">
        <v>2</v>
      </c>
      <c r="H385">
        <v>2423</v>
      </c>
      <c r="I385" t="s">
        <v>84</v>
      </c>
    </row>
    <row r="386" spans="2:9" x14ac:dyDescent="0.25">
      <c r="B386" t="s">
        <v>481</v>
      </c>
      <c r="C386" t="s">
        <v>1017</v>
      </c>
      <c r="D386" t="s">
        <v>14</v>
      </c>
      <c r="E386" s="7">
        <v>45754</v>
      </c>
      <c r="F386" t="s">
        <v>58</v>
      </c>
      <c r="G386">
        <v>8</v>
      </c>
      <c r="H386">
        <v>1487</v>
      </c>
      <c r="I386" t="s">
        <v>84</v>
      </c>
    </row>
    <row r="387" spans="2:9" x14ac:dyDescent="0.25">
      <c r="B387" t="s">
        <v>482</v>
      </c>
      <c r="C387" t="s">
        <v>1011</v>
      </c>
      <c r="D387" t="s">
        <v>27</v>
      </c>
      <c r="E387" s="7">
        <v>45904</v>
      </c>
      <c r="F387" t="s">
        <v>58</v>
      </c>
      <c r="G387">
        <v>10</v>
      </c>
      <c r="H387">
        <v>392</v>
      </c>
      <c r="I387" t="s">
        <v>81</v>
      </c>
    </row>
    <row r="388" spans="2:9" x14ac:dyDescent="0.25">
      <c r="B388" t="s">
        <v>483</v>
      </c>
      <c r="C388" t="s">
        <v>1008</v>
      </c>
      <c r="D388" t="s">
        <v>27</v>
      </c>
      <c r="E388" s="7">
        <v>45779</v>
      </c>
      <c r="F388" t="s">
        <v>58</v>
      </c>
      <c r="G388">
        <v>8</v>
      </c>
      <c r="H388">
        <v>4714</v>
      </c>
      <c r="I388" t="s">
        <v>81</v>
      </c>
    </row>
    <row r="389" spans="2:9" x14ac:dyDescent="0.25">
      <c r="B389" t="s">
        <v>484</v>
      </c>
      <c r="C389" t="s">
        <v>1006</v>
      </c>
      <c r="D389" t="s">
        <v>21</v>
      </c>
      <c r="E389" s="7">
        <v>46002</v>
      </c>
      <c r="F389" t="s">
        <v>58</v>
      </c>
      <c r="G389">
        <v>10</v>
      </c>
      <c r="H389">
        <v>3920</v>
      </c>
      <c r="I389" t="s">
        <v>84</v>
      </c>
    </row>
    <row r="390" spans="2:9" x14ac:dyDescent="0.25">
      <c r="B390" t="s">
        <v>485</v>
      </c>
      <c r="C390" t="s">
        <v>1021</v>
      </c>
      <c r="D390" t="s">
        <v>21</v>
      </c>
      <c r="E390" s="7">
        <v>45703</v>
      </c>
      <c r="F390" t="s">
        <v>58</v>
      </c>
      <c r="G390">
        <v>1</v>
      </c>
      <c r="H390">
        <v>3741</v>
      </c>
      <c r="I390" t="s">
        <v>84</v>
      </c>
    </row>
    <row r="391" spans="2:9" x14ac:dyDescent="0.25">
      <c r="B391" t="s">
        <v>486</v>
      </c>
      <c r="C391" t="s">
        <v>1009</v>
      </c>
      <c r="D391" t="s">
        <v>19</v>
      </c>
      <c r="E391" s="7">
        <v>45698</v>
      </c>
      <c r="F391" t="s">
        <v>58</v>
      </c>
      <c r="G391">
        <v>6</v>
      </c>
      <c r="H391">
        <v>3763</v>
      </c>
      <c r="I391" t="s">
        <v>81</v>
      </c>
    </row>
    <row r="392" spans="2:9" x14ac:dyDescent="0.25">
      <c r="B392" t="s">
        <v>487</v>
      </c>
      <c r="C392" t="s">
        <v>1019</v>
      </c>
      <c r="D392" t="s">
        <v>21</v>
      </c>
      <c r="E392" s="7">
        <v>45733</v>
      </c>
      <c r="F392" t="s">
        <v>58</v>
      </c>
      <c r="G392">
        <v>5</v>
      </c>
      <c r="H392">
        <v>4892</v>
      </c>
      <c r="I392" t="s">
        <v>84</v>
      </c>
    </row>
    <row r="393" spans="2:9" x14ac:dyDescent="0.25">
      <c r="B393" t="s">
        <v>488</v>
      </c>
      <c r="C393" t="s">
        <v>1007</v>
      </c>
      <c r="D393" t="s">
        <v>27</v>
      </c>
      <c r="E393" s="7">
        <v>45703</v>
      </c>
      <c r="F393" t="s">
        <v>58</v>
      </c>
      <c r="G393">
        <v>2</v>
      </c>
      <c r="H393">
        <v>1887</v>
      </c>
      <c r="I393" t="s">
        <v>81</v>
      </c>
    </row>
    <row r="394" spans="2:9" x14ac:dyDescent="0.25">
      <c r="B394" t="s">
        <v>489</v>
      </c>
      <c r="C394" t="s">
        <v>1020</v>
      </c>
      <c r="D394" t="s">
        <v>14</v>
      </c>
      <c r="E394" s="7">
        <v>45878</v>
      </c>
      <c r="F394" t="s">
        <v>58</v>
      </c>
      <c r="G394">
        <v>2</v>
      </c>
      <c r="H394">
        <v>792</v>
      </c>
      <c r="I394" t="s">
        <v>81</v>
      </c>
    </row>
    <row r="395" spans="2:9" x14ac:dyDescent="0.25">
      <c r="B395" t="s">
        <v>490</v>
      </c>
      <c r="C395" t="s">
        <v>1017</v>
      </c>
      <c r="D395" t="s">
        <v>11</v>
      </c>
      <c r="E395" s="7">
        <v>46010</v>
      </c>
      <c r="F395" t="s">
        <v>58</v>
      </c>
      <c r="G395">
        <v>6</v>
      </c>
      <c r="H395">
        <v>1502</v>
      </c>
      <c r="I395" t="s">
        <v>84</v>
      </c>
    </row>
    <row r="396" spans="2:9" x14ac:dyDescent="0.25">
      <c r="B396" t="s">
        <v>491</v>
      </c>
      <c r="C396" t="s">
        <v>1020</v>
      </c>
      <c r="D396" t="s">
        <v>21</v>
      </c>
      <c r="E396" s="7">
        <v>45811</v>
      </c>
      <c r="F396" t="s">
        <v>58</v>
      </c>
      <c r="G396">
        <v>7</v>
      </c>
      <c r="H396">
        <v>255</v>
      </c>
      <c r="I396" t="s">
        <v>81</v>
      </c>
    </row>
    <row r="397" spans="2:9" x14ac:dyDescent="0.25">
      <c r="B397" t="s">
        <v>492</v>
      </c>
      <c r="C397" t="s">
        <v>1007</v>
      </c>
      <c r="D397" t="s">
        <v>11</v>
      </c>
      <c r="E397" s="7">
        <v>46013</v>
      </c>
      <c r="F397" t="s">
        <v>58</v>
      </c>
      <c r="G397">
        <v>9</v>
      </c>
      <c r="H397">
        <v>2083</v>
      </c>
      <c r="I397" t="s">
        <v>76</v>
      </c>
    </row>
    <row r="398" spans="2:9" x14ac:dyDescent="0.25">
      <c r="B398" t="s">
        <v>493</v>
      </c>
      <c r="C398" t="s">
        <v>1019</v>
      </c>
      <c r="D398" t="s">
        <v>14</v>
      </c>
      <c r="E398" s="7">
        <v>45764</v>
      </c>
      <c r="F398" t="s">
        <v>58</v>
      </c>
      <c r="G398">
        <v>4</v>
      </c>
      <c r="H398">
        <v>3379</v>
      </c>
      <c r="I398" t="s">
        <v>76</v>
      </c>
    </row>
    <row r="399" spans="2:9" x14ac:dyDescent="0.25">
      <c r="B399" t="s">
        <v>494</v>
      </c>
      <c r="C399" t="s">
        <v>1012</v>
      </c>
      <c r="D399" t="s">
        <v>17</v>
      </c>
      <c r="E399" s="7">
        <v>45933</v>
      </c>
      <c r="F399" t="s">
        <v>58</v>
      </c>
      <c r="G399">
        <v>4</v>
      </c>
      <c r="H399">
        <v>4350</v>
      </c>
      <c r="I399" t="s">
        <v>76</v>
      </c>
    </row>
    <row r="400" spans="2:9" x14ac:dyDescent="0.25">
      <c r="B400" t="s">
        <v>495</v>
      </c>
      <c r="C400" t="s">
        <v>1019</v>
      </c>
      <c r="D400" t="s">
        <v>23</v>
      </c>
      <c r="E400" s="7">
        <v>45949</v>
      </c>
      <c r="F400" t="s">
        <v>58</v>
      </c>
      <c r="G400">
        <v>5</v>
      </c>
      <c r="H400">
        <v>1544</v>
      </c>
      <c r="I400" t="s">
        <v>76</v>
      </c>
    </row>
    <row r="401" spans="2:9" x14ac:dyDescent="0.25">
      <c r="B401" t="s">
        <v>496</v>
      </c>
      <c r="C401" t="s">
        <v>1004</v>
      </c>
      <c r="D401" t="s">
        <v>21</v>
      </c>
      <c r="E401" s="7">
        <v>45721</v>
      </c>
      <c r="F401" t="s">
        <v>58</v>
      </c>
      <c r="G401">
        <v>5</v>
      </c>
      <c r="H401">
        <v>305</v>
      </c>
      <c r="I401" t="s">
        <v>81</v>
      </c>
    </row>
    <row r="402" spans="2:9" x14ac:dyDescent="0.25">
      <c r="B402" t="s">
        <v>497</v>
      </c>
      <c r="C402" t="s">
        <v>1007</v>
      </c>
      <c r="D402" t="s">
        <v>21</v>
      </c>
      <c r="E402" s="7">
        <v>45973</v>
      </c>
      <c r="F402" t="s">
        <v>58</v>
      </c>
      <c r="G402">
        <v>9</v>
      </c>
      <c r="H402">
        <v>2319</v>
      </c>
      <c r="I402" t="s">
        <v>76</v>
      </c>
    </row>
    <row r="403" spans="2:9" x14ac:dyDescent="0.25">
      <c r="B403" t="s">
        <v>498</v>
      </c>
      <c r="C403" t="s">
        <v>1020</v>
      </c>
      <c r="D403" t="s">
        <v>14</v>
      </c>
      <c r="E403" s="7">
        <v>45767</v>
      </c>
      <c r="F403" t="s">
        <v>58</v>
      </c>
      <c r="G403">
        <v>1</v>
      </c>
      <c r="H403">
        <v>3122</v>
      </c>
      <c r="I403" t="s">
        <v>84</v>
      </c>
    </row>
    <row r="404" spans="2:9" x14ac:dyDescent="0.25">
      <c r="B404" t="s">
        <v>499</v>
      </c>
      <c r="C404" t="s">
        <v>1012</v>
      </c>
      <c r="D404" t="s">
        <v>21</v>
      </c>
      <c r="E404" s="7">
        <v>45937</v>
      </c>
      <c r="F404" t="s">
        <v>58</v>
      </c>
      <c r="G404">
        <v>2</v>
      </c>
      <c r="H404">
        <v>4556</v>
      </c>
      <c r="I404" t="s">
        <v>84</v>
      </c>
    </row>
    <row r="405" spans="2:9" x14ac:dyDescent="0.25">
      <c r="B405" t="s">
        <v>500</v>
      </c>
      <c r="C405" t="s">
        <v>1017</v>
      </c>
      <c r="D405" t="s">
        <v>23</v>
      </c>
      <c r="E405" s="7">
        <v>45829</v>
      </c>
      <c r="F405" t="s">
        <v>58</v>
      </c>
      <c r="G405">
        <v>3</v>
      </c>
      <c r="H405">
        <v>2313</v>
      </c>
      <c r="I405" t="s">
        <v>76</v>
      </c>
    </row>
    <row r="406" spans="2:9" x14ac:dyDescent="0.25">
      <c r="B406" t="s">
        <v>501</v>
      </c>
      <c r="C406" t="s">
        <v>1021</v>
      </c>
      <c r="D406" t="s">
        <v>19</v>
      </c>
      <c r="E406" s="7">
        <v>45680</v>
      </c>
      <c r="F406" t="s">
        <v>58</v>
      </c>
      <c r="G406">
        <v>10</v>
      </c>
      <c r="H406">
        <v>3372</v>
      </c>
      <c r="I406" t="s">
        <v>81</v>
      </c>
    </row>
    <row r="407" spans="2:9" x14ac:dyDescent="0.25">
      <c r="B407" t="s">
        <v>502</v>
      </c>
      <c r="C407" t="s">
        <v>1013</v>
      </c>
      <c r="D407" t="s">
        <v>14</v>
      </c>
      <c r="E407" s="7">
        <v>45703</v>
      </c>
      <c r="F407" t="s">
        <v>58</v>
      </c>
      <c r="G407">
        <v>2</v>
      </c>
      <c r="H407">
        <v>3579</v>
      </c>
      <c r="I407" t="s">
        <v>76</v>
      </c>
    </row>
    <row r="408" spans="2:9" x14ac:dyDescent="0.25">
      <c r="B408" t="s">
        <v>503</v>
      </c>
      <c r="C408" t="s">
        <v>1018</v>
      </c>
      <c r="D408" t="s">
        <v>14</v>
      </c>
      <c r="E408" s="7">
        <v>45773</v>
      </c>
      <c r="F408" t="s">
        <v>58</v>
      </c>
      <c r="G408">
        <v>2</v>
      </c>
      <c r="H408">
        <v>108</v>
      </c>
      <c r="I408" t="s">
        <v>81</v>
      </c>
    </row>
    <row r="409" spans="2:9" x14ac:dyDescent="0.25">
      <c r="B409" t="s">
        <v>504</v>
      </c>
      <c r="C409" t="s">
        <v>1015</v>
      </c>
      <c r="D409" t="s">
        <v>11</v>
      </c>
      <c r="E409" s="7">
        <v>45792</v>
      </c>
      <c r="F409" t="s">
        <v>58</v>
      </c>
      <c r="G409">
        <v>5</v>
      </c>
      <c r="H409">
        <v>3904</v>
      </c>
      <c r="I409" t="s">
        <v>84</v>
      </c>
    </row>
    <row r="410" spans="2:9" x14ac:dyDescent="0.25">
      <c r="B410" t="s">
        <v>505</v>
      </c>
      <c r="C410" t="s">
        <v>1017</v>
      </c>
      <c r="D410" t="s">
        <v>14</v>
      </c>
      <c r="E410" s="7">
        <v>45830</v>
      </c>
      <c r="F410" t="s">
        <v>58</v>
      </c>
      <c r="G410">
        <v>10</v>
      </c>
      <c r="H410">
        <v>2334</v>
      </c>
      <c r="I410" t="s">
        <v>76</v>
      </c>
    </row>
    <row r="411" spans="2:9" x14ac:dyDescent="0.25">
      <c r="B411" t="s">
        <v>506</v>
      </c>
      <c r="C411" t="s">
        <v>1004</v>
      </c>
      <c r="D411" t="s">
        <v>19</v>
      </c>
      <c r="E411" s="7">
        <v>45673</v>
      </c>
      <c r="F411" t="s">
        <v>58</v>
      </c>
      <c r="G411">
        <v>9</v>
      </c>
      <c r="H411">
        <v>1518</v>
      </c>
      <c r="I411" t="s">
        <v>81</v>
      </c>
    </row>
    <row r="412" spans="2:9" x14ac:dyDescent="0.25">
      <c r="B412" t="s">
        <v>507</v>
      </c>
      <c r="C412" t="s">
        <v>1018</v>
      </c>
      <c r="D412" t="s">
        <v>11</v>
      </c>
      <c r="E412" s="7">
        <v>45921</v>
      </c>
      <c r="F412" t="s">
        <v>58</v>
      </c>
      <c r="G412">
        <v>8</v>
      </c>
      <c r="H412">
        <v>3920</v>
      </c>
      <c r="I412" t="s">
        <v>84</v>
      </c>
    </row>
    <row r="413" spans="2:9" x14ac:dyDescent="0.25">
      <c r="B413" t="s">
        <v>508</v>
      </c>
      <c r="C413" t="s">
        <v>1007</v>
      </c>
      <c r="D413" t="s">
        <v>19</v>
      </c>
      <c r="E413" s="7">
        <v>45886</v>
      </c>
      <c r="F413" t="s">
        <v>58</v>
      </c>
      <c r="G413">
        <v>4</v>
      </c>
      <c r="H413">
        <v>875</v>
      </c>
      <c r="I413" t="s">
        <v>84</v>
      </c>
    </row>
    <row r="414" spans="2:9" x14ac:dyDescent="0.25">
      <c r="B414" t="s">
        <v>509</v>
      </c>
      <c r="C414" t="s">
        <v>1008</v>
      </c>
      <c r="D414" t="s">
        <v>21</v>
      </c>
      <c r="E414" s="7">
        <v>45911</v>
      </c>
      <c r="F414" t="s">
        <v>58</v>
      </c>
      <c r="G414">
        <v>2</v>
      </c>
      <c r="H414">
        <v>4965</v>
      </c>
      <c r="I414" t="s">
        <v>84</v>
      </c>
    </row>
    <row r="415" spans="2:9" x14ac:dyDescent="0.25">
      <c r="B415" t="s">
        <v>510</v>
      </c>
      <c r="C415" t="s">
        <v>1008</v>
      </c>
      <c r="D415" t="s">
        <v>19</v>
      </c>
      <c r="E415" s="7">
        <v>45863</v>
      </c>
      <c r="F415" t="s">
        <v>58</v>
      </c>
      <c r="G415">
        <v>4</v>
      </c>
      <c r="H415">
        <v>2697</v>
      </c>
      <c r="I415" t="s">
        <v>84</v>
      </c>
    </row>
    <row r="416" spans="2:9" x14ac:dyDescent="0.25">
      <c r="B416" t="s">
        <v>511</v>
      </c>
      <c r="C416" t="s">
        <v>1016</v>
      </c>
      <c r="D416" t="s">
        <v>14</v>
      </c>
      <c r="E416" s="7">
        <v>46010</v>
      </c>
      <c r="F416" t="s">
        <v>58</v>
      </c>
      <c r="G416">
        <v>1</v>
      </c>
      <c r="H416">
        <v>1828</v>
      </c>
      <c r="I416" t="s">
        <v>84</v>
      </c>
    </row>
    <row r="417" spans="2:9" x14ac:dyDescent="0.25">
      <c r="B417" t="s">
        <v>512</v>
      </c>
      <c r="C417" t="s">
        <v>1022</v>
      </c>
      <c r="D417" t="s">
        <v>19</v>
      </c>
      <c r="E417" s="7">
        <v>45987</v>
      </c>
      <c r="F417" t="s">
        <v>58</v>
      </c>
      <c r="G417">
        <v>4</v>
      </c>
      <c r="H417">
        <v>3967</v>
      </c>
      <c r="I417" t="s">
        <v>76</v>
      </c>
    </row>
    <row r="418" spans="2:9" x14ac:dyDescent="0.25">
      <c r="B418" t="s">
        <v>513</v>
      </c>
      <c r="C418" t="s">
        <v>1011</v>
      </c>
      <c r="D418" t="s">
        <v>23</v>
      </c>
      <c r="E418" s="7">
        <v>45827</v>
      </c>
      <c r="F418" t="s">
        <v>58</v>
      </c>
      <c r="G418">
        <v>8</v>
      </c>
      <c r="H418">
        <v>2081</v>
      </c>
      <c r="I418" t="s">
        <v>76</v>
      </c>
    </row>
    <row r="419" spans="2:9" x14ac:dyDescent="0.25">
      <c r="B419" t="s">
        <v>514</v>
      </c>
      <c r="C419" t="s">
        <v>1010</v>
      </c>
      <c r="D419" t="s">
        <v>14</v>
      </c>
      <c r="E419" s="7">
        <v>45822</v>
      </c>
      <c r="F419" t="s">
        <v>58</v>
      </c>
      <c r="G419">
        <v>1</v>
      </c>
      <c r="H419">
        <v>2914</v>
      </c>
      <c r="I419" t="s">
        <v>76</v>
      </c>
    </row>
    <row r="420" spans="2:9" x14ac:dyDescent="0.25">
      <c r="B420" t="s">
        <v>515</v>
      </c>
      <c r="C420" t="s">
        <v>1019</v>
      </c>
      <c r="D420" t="s">
        <v>17</v>
      </c>
      <c r="E420" s="7">
        <v>45830</v>
      </c>
      <c r="F420" t="s">
        <v>58</v>
      </c>
      <c r="G420">
        <v>6</v>
      </c>
      <c r="H420">
        <v>4573</v>
      </c>
      <c r="I420" t="s">
        <v>76</v>
      </c>
    </row>
    <row r="421" spans="2:9" x14ac:dyDescent="0.25">
      <c r="B421" t="s">
        <v>516</v>
      </c>
      <c r="C421" t="s">
        <v>1010</v>
      </c>
      <c r="D421" t="s">
        <v>27</v>
      </c>
      <c r="E421" s="7">
        <v>45916</v>
      </c>
      <c r="F421" t="s">
        <v>58</v>
      </c>
      <c r="G421">
        <v>6</v>
      </c>
      <c r="H421">
        <v>3995</v>
      </c>
      <c r="I421" t="s">
        <v>76</v>
      </c>
    </row>
    <row r="422" spans="2:9" x14ac:dyDescent="0.25">
      <c r="B422" t="s">
        <v>517</v>
      </c>
      <c r="C422" t="s">
        <v>1014</v>
      </c>
      <c r="D422" t="s">
        <v>17</v>
      </c>
      <c r="E422" s="7">
        <v>45826</v>
      </c>
      <c r="F422" t="s">
        <v>58</v>
      </c>
      <c r="G422">
        <v>2</v>
      </c>
      <c r="H422">
        <v>4422</v>
      </c>
      <c r="I422" t="s">
        <v>76</v>
      </c>
    </row>
    <row r="423" spans="2:9" x14ac:dyDescent="0.25">
      <c r="B423" t="s">
        <v>518</v>
      </c>
      <c r="C423" t="s">
        <v>1009</v>
      </c>
      <c r="D423" t="s">
        <v>17</v>
      </c>
      <c r="E423" s="7">
        <v>45758</v>
      </c>
      <c r="F423" t="s">
        <v>58</v>
      </c>
      <c r="G423">
        <v>2</v>
      </c>
      <c r="H423">
        <v>2948</v>
      </c>
      <c r="I423" t="s">
        <v>76</v>
      </c>
    </row>
    <row r="424" spans="2:9" x14ac:dyDescent="0.25">
      <c r="B424" t="s">
        <v>519</v>
      </c>
      <c r="C424" t="s">
        <v>1005</v>
      </c>
      <c r="D424" t="s">
        <v>11</v>
      </c>
      <c r="E424" s="7">
        <v>45660</v>
      </c>
      <c r="F424" t="s">
        <v>58</v>
      </c>
      <c r="G424">
        <v>4</v>
      </c>
      <c r="H424">
        <v>2970</v>
      </c>
      <c r="I424" t="s">
        <v>81</v>
      </c>
    </row>
    <row r="425" spans="2:9" x14ac:dyDescent="0.25">
      <c r="B425" t="s">
        <v>520</v>
      </c>
      <c r="C425" t="s">
        <v>1018</v>
      </c>
      <c r="D425" t="s">
        <v>23</v>
      </c>
      <c r="E425" s="7">
        <v>46006</v>
      </c>
      <c r="F425" t="s">
        <v>58</v>
      </c>
      <c r="G425">
        <v>4</v>
      </c>
      <c r="H425">
        <v>1738</v>
      </c>
      <c r="I425" t="s">
        <v>84</v>
      </c>
    </row>
    <row r="426" spans="2:9" x14ac:dyDescent="0.25">
      <c r="B426" t="s">
        <v>521</v>
      </c>
      <c r="C426" t="s">
        <v>1017</v>
      </c>
      <c r="D426" t="s">
        <v>27</v>
      </c>
      <c r="E426" s="7">
        <v>45726</v>
      </c>
      <c r="F426" t="s">
        <v>58</v>
      </c>
      <c r="G426">
        <v>5</v>
      </c>
      <c r="H426">
        <v>2805</v>
      </c>
      <c r="I426" t="s">
        <v>81</v>
      </c>
    </row>
    <row r="427" spans="2:9" x14ac:dyDescent="0.25">
      <c r="B427" t="s">
        <v>522</v>
      </c>
      <c r="C427" t="s">
        <v>1010</v>
      </c>
      <c r="D427" t="s">
        <v>21</v>
      </c>
      <c r="E427" s="7">
        <v>45919</v>
      </c>
      <c r="F427" t="s">
        <v>58</v>
      </c>
      <c r="G427">
        <v>10</v>
      </c>
      <c r="H427">
        <v>3576</v>
      </c>
      <c r="I427" t="s">
        <v>81</v>
      </c>
    </row>
    <row r="428" spans="2:9" x14ac:dyDescent="0.25">
      <c r="B428" t="s">
        <v>523</v>
      </c>
      <c r="C428" t="s">
        <v>1017</v>
      </c>
      <c r="D428" t="s">
        <v>19</v>
      </c>
      <c r="E428" s="7">
        <v>45766</v>
      </c>
      <c r="F428" t="s">
        <v>58</v>
      </c>
      <c r="G428">
        <v>9</v>
      </c>
      <c r="H428">
        <v>2779</v>
      </c>
      <c r="I428" t="s">
        <v>84</v>
      </c>
    </row>
    <row r="429" spans="2:9" x14ac:dyDescent="0.25">
      <c r="B429" t="s">
        <v>524</v>
      </c>
      <c r="C429" t="s">
        <v>1018</v>
      </c>
      <c r="D429" t="s">
        <v>23</v>
      </c>
      <c r="E429" s="7">
        <v>45682</v>
      </c>
      <c r="F429" t="s">
        <v>58</v>
      </c>
      <c r="G429">
        <v>1</v>
      </c>
      <c r="H429">
        <v>2956</v>
      </c>
      <c r="I429" t="s">
        <v>76</v>
      </c>
    </row>
    <row r="430" spans="2:9" x14ac:dyDescent="0.25">
      <c r="B430" t="s">
        <v>525</v>
      </c>
      <c r="C430" t="s">
        <v>1005</v>
      </c>
      <c r="D430" t="s">
        <v>19</v>
      </c>
      <c r="E430" s="7">
        <v>45860</v>
      </c>
      <c r="F430" t="s">
        <v>58</v>
      </c>
      <c r="G430">
        <v>2</v>
      </c>
      <c r="H430">
        <v>2990</v>
      </c>
      <c r="I430" t="s">
        <v>81</v>
      </c>
    </row>
    <row r="431" spans="2:9" x14ac:dyDescent="0.25">
      <c r="B431" t="s">
        <v>526</v>
      </c>
      <c r="C431" t="s">
        <v>1018</v>
      </c>
      <c r="D431" t="s">
        <v>27</v>
      </c>
      <c r="E431" s="7">
        <v>45818</v>
      </c>
      <c r="F431" t="s">
        <v>58</v>
      </c>
      <c r="G431">
        <v>9</v>
      </c>
      <c r="H431">
        <v>597</v>
      </c>
      <c r="I431" t="s">
        <v>76</v>
      </c>
    </row>
    <row r="432" spans="2:9" x14ac:dyDescent="0.25">
      <c r="B432" t="s">
        <v>527</v>
      </c>
      <c r="C432" t="s">
        <v>1019</v>
      </c>
      <c r="D432" t="s">
        <v>11</v>
      </c>
      <c r="E432" s="7">
        <v>45945</v>
      </c>
      <c r="F432" t="s">
        <v>58</v>
      </c>
      <c r="G432">
        <v>3</v>
      </c>
      <c r="H432">
        <v>4779</v>
      </c>
      <c r="I432" t="s">
        <v>84</v>
      </c>
    </row>
    <row r="433" spans="2:9" x14ac:dyDescent="0.25">
      <c r="B433" t="s">
        <v>528</v>
      </c>
      <c r="C433" t="s">
        <v>1019</v>
      </c>
      <c r="D433" t="s">
        <v>21</v>
      </c>
      <c r="E433" s="7">
        <v>45979</v>
      </c>
      <c r="F433" t="s">
        <v>58</v>
      </c>
      <c r="G433">
        <v>9</v>
      </c>
      <c r="H433">
        <v>3445</v>
      </c>
      <c r="I433" t="s">
        <v>84</v>
      </c>
    </row>
    <row r="434" spans="2:9" x14ac:dyDescent="0.25">
      <c r="B434" t="s">
        <v>529</v>
      </c>
      <c r="C434" t="s">
        <v>1008</v>
      </c>
      <c r="D434" t="s">
        <v>21</v>
      </c>
      <c r="E434" s="7">
        <v>45658</v>
      </c>
      <c r="F434" t="s">
        <v>58</v>
      </c>
      <c r="G434">
        <v>4</v>
      </c>
      <c r="H434">
        <v>772</v>
      </c>
      <c r="I434" t="s">
        <v>76</v>
      </c>
    </row>
    <row r="435" spans="2:9" x14ac:dyDescent="0.25">
      <c r="B435" t="s">
        <v>530</v>
      </c>
      <c r="C435" t="s">
        <v>1020</v>
      </c>
      <c r="D435" t="s">
        <v>27</v>
      </c>
      <c r="E435" s="7">
        <v>45729</v>
      </c>
      <c r="F435" t="s">
        <v>58</v>
      </c>
      <c r="G435">
        <v>10</v>
      </c>
      <c r="H435">
        <v>4749</v>
      </c>
      <c r="I435" t="s">
        <v>84</v>
      </c>
    </row>
    <row r="436" spans="2:9" x14ac:dyDescent="0.25">
      <c r="B436" t="s">
        <v>531</v>
      </c>
      <c r="C436" t="s">
        <v>1007</v>
      </c>
      <c r="D436" t="s">
        <v>23</v>
      </c>
      <c r="E436" s="7">
        <v>45796</v>
      </c>
      <c r="F436" t="s">
        <v>58</v>
      </c>
      <c r="G436">
        <v>10</v>
      </c>
      <c r="H436">
        <v>4765</v>
      </c>
      <c r="I436" t="s">
        <v>81</v>
      </c>
    </row>
    <row r="437" spans="2:9" x14ac:dyDescent="0.25">
      <c r="B437" t="s">
        <v>532</v>
      </c>
      <c r="C437" t="s">
        <v>1005</v>
      </c>
      <c r="D437" t="s">
        <v>14</v>
      </c>
      <c r="E437" s="7">
        <v>45984</v>
      </c>
      <c r="F437" t="s">
        <v>58</v>
      </c>
      <c r="G437">
        <v>1</v>
      </c>
      <c r="H437">
        <v>3984</v>
      </c>
      <c r="I437" t="s">
        <v>81</v>
      </c>
    </row>
    <row r="438" spans="2:9" x14ac:dyDescent="0.25">
      <c r="B438" t="s">
        <v>533</v>
      </c>
      <c r="C438" t="s">
        <v>1020</v>
      </c>
      <c r="D438" t="s">
        <v>17</v>
      </c>
      <c r="E438" s="7">
        <v>45749</v>
      </c>
      <c r="F438" t="s">
        <v>58</v>
      </c>
      <c r="G438">
        <v>5</v>
      </c>
      <c r="H438">
        <v>1912</v>
      </c>
      <c r="I438" t="s">
        <v>81</v>
      </c>
    </row>
    <row r="439" spans="2:9" x14ac:dyDescent="0.25">
      <c r="B439" t="s">
        <v>534</v>
      </c>
      <c r="C439" t="s">
        <v>1022</v>
      </c>
      <c r="D439" t="s">
        <v>21</v>
      </c>
      <c r="E439" s="7">
        <v>45836</v>
      </c>
      <c r="F439" t="s">
        <v>58</v>
      </c>
      <c r="G439">
        <v>6</v>
      </c>
      <c r="H439">
        <v>1869</v>
      </c>
      <c r="I439" t="s">
        <v>76</v>
      </c>
    </row>
    <row r="440" spans="2:9" x14ac:dyDescent="0.25">
      <c r="B440" t="s">
        <v>535</v>
      </c>
      <c r="C440" t="s">
        <v>1022</v>
      </c>
      <c r="D440" t="s">
        <v>19</v>
      </c>
      <c r="E440" s="7">
        <v>45842</v>
      </c>
      <c r="F440" t="s">
        <v>58</v>
      </c>
      <c r="G440">
        <v>1</v>
      </c>
      <c r="H440">
        <v>3517</v>
      </c>
      <c r="I440" t="s">
        <v>76</v>
      </c>
    </row>
    <row r="441" spans="2:9" x14ac:dyDescent="0.25">
      <c r="B441" t="s">
        <v>536</v>
      </c>
      <c r="C441" t="s">
        <v>1016</v>
      </c>
      <c r="D441" t="s">
        <v>11</v>
      </c>
      <c r="E441" s="7">
        <v>45974</v>
      </c>
      <c r="F441" t="s">
        <v>58</v>
      </c>
      <c r="G441">
        <v>10</v>
      </c>
      <c r="H441">
        <v>370</v>
      </c>
      <c r="I441" t="s">
        <v>76</v>
      </c>
    </row>
    <row r="442" spans="2:9" x14ac:dyDescent="0.25">
      <c r="B442" t="s">
        <v>537</v>
      </c>
      <c r="C442" t="s">
        <v>1010</v>
      </c>
      <c r="D442" t="s">
        <v>17</v>
      </c>
      <c r="E442" s="7">
        <v>45684</v>
      </c>
      <c r="F442" t="s">
        <v>58</v>
      </c>
      <c r="G442">
        <v>8</v>
      </c>
      <c r="H442">
        <v>2207</v>
      </c>
      <c r="I442" t="s">
        <v>84</v>
      </c>
    </row>
    <row r="443" spans="2:9" x14ac:dyDescent="0.25">
      <c r="B443" t="s">
        <v>538</v>
      </c>
      <c r="C443" t="s">
        <v>1016</v>
      </c>
      <c r="D443" t="s">
        <v>21</v>
      </c>
      <c r="E443" s="7">
        <v>45658</v>
      </c>
      <c r="F443" t="s">
        <v>58</v>
      </c>
      <c r="G443">
        <v>1</v>
      </c>
      <c r="H443">
        <v>2697</v>
      </c>
      <c r="I443" t="s">
        <v>81</v>
      </c>
    </row>
    <row r="444" spans="2:9" x14ac:dyDescent="0.25">
      <c r="B444" t="s">
        <v>539</v>
      </c>
      <c r="C444" t="s">
        <v>1012</v>
      </c>
      <c r="D444" t="s">
        <v>21</v>
      </c>
      <c r="E444" s="7">
        <v>46018</v>
      </c>
      <c r="F444" t="s">
        <v>58</v>
      </c>
      <c r="G444">
        <v>10</v>
      </c>
      <c r="H444">
        <v>1814</v>
      </c>
      <c r="I444" t="s">
        <v>81</v>
      </c>
    </row>
    <row r="445" spans="2:9" x14ac:dyDescent="0.25">
      <c r="B445" t="s">
        <v>540</v>
      </c>
      <c r="C445" t="s">
        <v>1017</v>
      </c>
      <c r="D445" t="s">
        <v>17</v>
      </c>
      <c r="E445" s="7">
        <v>45795</v>
      </c>
      <c r="F445" t="s">
        <v>58</v>
      </c>
      <c r="G445">
        <v>9</v>
      </c>
      <c r="H445">
        <v>3344</v>
      </c>
      <c r="I445" t="s">
        <v>81</v>
      </c>
    </row>
    <row r="446" spans="2:9" x14ac:dyDescent="0.25">
      <c r="B446" t="s">
        <v>541</v>
      </c>
      <c r="C446" t="s">
        <v>1015</v>
      </c>
      <c r="D446" t="s">
        <v>17</v>
      </c>
      <c r="E446" s="7">
        <v>45982</v>
      </c>
      <c r="F446" t="s">
        <v>58</v>
      </c>
      <c r="G446">
        <v>4</v>
      </c>
      <c r="H446">
        <v>2435</v>
      </c>
      <c r="I446" t="s">
        <v>76</v>
      </c>
    </row>
    <row r="447" spans="2:9" x14ac:dyDescent="0.25">
      <c r="B447" t="s">
        <v>542</v>
      </c>
      <c r="C447" t="s">
        <v>1016</v>
      </c>
      <c r="D447" t="s">
        <v>21</v>
      </c>
      <c r="E447" s="7">
        <v>45854</v>
      </c>
      <c r="F447" t="s">
        <v>58</v>
      </c>
      <c r="G447">
        <v>7</v>
      </c>
      <c r="H447">
        <v>3030</v>
      </c>
      <c r="I447" t="s">
        <v>76</v>
      </c>
    </row>
    <row r="448" spans="2:9" x14ac:dyDescent="0.25">
      <c r="B448" t="s">
        <v>543</v>
      </c>
      <c r="C448" t="s">
        <v>1022</v>
      </c>
      <c r="D448" t="s">
        <v>19</v>
      </c>
      <c r="E448" s="7">
        <v>45783</v>
      </c>
      <c r="F448" t="s">
        <v>58</v>
      </c>
      <c r="G448">
        <v>10</v>
      </c>
      <c r="H448">
        <v>432</v>
      </c>
      <c r="I448" t="s">
        <v>81</v>
      </c>
    </row>
    <row r="449" spans="2:9" x14ac:dyDescent="0.25">
      <c r="B449" t="s">
        <v>544</v>
      </c>
      <c r="C449" t="s">
        <v>1018</v>
      </c>
      <c r="D449" t="s">
        <v>19</v>
      </c>
      <c r="E449" s="7">
        <v>45725</v>
      </c>
      <c r="F449" t="s">
        <v>58</v>
      </c>
      <c r="G449">
        <v>10</v>
      </c>
      <c r="H449">
        <v>3721</v>
      </c>
      <c r="I449" t="s">
        <v>76</v>
      </c>
    </row>
    <row r="450" spans="2:9" x14ac:dyDescent="0.25">
      <c r="B450" t="s">
        <v>545</v>
      </c>
      <c r="C450" t="s">
        <v>1006</v>
      </c>
      <c r="D450" t="s">
        <v>14</v>
      </c>
      <c r="E450" s="7">
        <v>45850</v>
      </c>
      <c r="F450" t="s">
        <v>58</v>
      </c>
      <c r="G450">
        <v>8</v>
      </c>
      <c r="H450">
        <v>3374</v>
      </c>
      <c r="I450" t="s">
        <v>81</v>
      </c>
    </row>
    <row r="451" spans="2:9" x14ac:dyDescent="0.25">
      <c r="B451" t="s">
        <v>546</v>
      </c>
      <c r="C451" t="s">
        <v>1008</v>
      </c>
      <c r="D451" t="s">
        <v>21</v>
      </c>
      <c r="E451" s="7">
        <v>45856</v>
      </c>
      <c r="F451" t="s">
        <v>58</v>
      </c>
      <c r="G451">
        <v>7</v>
      </c>
      <c r="H451">
        <v>3646</v>
      </c>
      <c r="I451" t="s">
        <v>84</v>
      </c>
    </row>
    <row r="452" spans="2:9" x14ac:dyDescent="0.25">
      <c r="B452" t="s">
        <v>547</v>
      </c>
      <c r="C452" t="s">
        <v>1013</v>
      </c>
      <c r="D452" t="s">
        <v>17</v>
      </c>
      <c r="E452" s="7">
        <v>45832</v>
      </c>
      <c r="F452" t="s">
        <v>58</v>
      </c>
      <c r="G452">
        <v>3</v>
      </c>
      <c r="H452">
        <v>151</v>
      </c>
      <c r="I452" t="s">
        <v>76</v>
      </c>
    </row>
    <row r="453" spans="2:9" x14ac:dyDescent="0.25">
      <c r="B453" t="s">
        <v>548</v>
      </c>
      <c r="C453" t="s">
        <v>1004</v>
      </c>
      <c r="D453" t="s">
        <v>19</v>
      </c>
      <c r="E453" s="7">
        <v>45976</v>
      </c>
      <c r="F453" t="s">
        <v>58</v>
      </c>
      <c r="G453">
        <v>7</v>
      </c>
      <c r="H453">
        <v>2280</v>
      </c>
      <c r="I453" t="s">
        <v>81</v>
      </c>
    </row>
    <row r="454" spans="2:9" x14ac:dyDescent="0.25">
      <c r="B454" t="s">
        <v>549</v>
      </c>
      <c r="C454" t="s">
        <v>1009</v>
      </c>
      <c r="D454" t="s">
        <v>21</v>
      </c>
      <c r="E454" s="7">
        <v>45871</v>
      </c>
      <c r="F454" t="s">
        <v>58</v>
      </c>
      <c r="G454">
        <v>2</v>
      </c>
      <c r="H454">
        <v>822</v>
      </c>
      <c r="I454" t="s">
        <v>81</v>
      </c>
    </row>
    <row r="455" spans="2:9" x14ac:dyDescent="0.25">
      <c r="B455" t="s">
        <v>550</v>
      </c>
      <c r="C455" t="s">
        <v>1008</v>
      </c>
      <c r="D455" t="s">
        <v>17</v>
      </c>
      <c r="E455" s="7">
        <v>45938</v>
      </c>
      <c r="F455" t="s">
        <v>58</v>
      </c>
      <c r="G455">
        <v>3</v>
      </c>
      <c r="H455">
        <v>343</v>
      </c>
      <c r="I455" t="s">
        <v>76</v>
      </c>
    </row>
    <row r="456" spans="2:9" x14ac:dyDescent="0.25">
      <c r="B456" t="s">
        <v>551</v>
      </c>
      <c r="C456" t="s">
        <v>1004</v>
      </c>
      <c r="D456" t="s">
        <v>14</v>
      </c>
      <c r="E456" s="7">
        <v>45927</v>
      </c>
      <c r="F456" t="s">
        <v>58</v>
      </c>
      <c r="G456">
        <v>3</v>
      </c>
      <c r="H456">
        <v>1749</v>
      </c>
      <c r="I456" t="s">
        <v>81</v>
      </c>
    </row>
    <row r="457" spans="2:9" x14ac:dyDescent="0.25">
      <c r="B457" t="s">
        <v>552</v>
      </c>
      <c r="C457" t="s">
        <v>1013</v>
      </c>
      <c r="D457" t="s">
        <v>27</v>
      </c>
      <c r="E457" s="7">
        <v>45699</v>
      </c>
      <c r="F457" t="s">
        <v>58</v>
      </c>
      <c r="G457">
        <v>2</v>
      </c>
      <c r="H457">
        <v>4781</v>
      </c>
      <c r="I457" t="s">
        <v>84</v>
      </c>
    </row>
    <row r="458" spans="2:9" x14ac:dyDescent="0.25">
      <c r="B458" t="s">
        <v>553</v>
      </c>
      <c r="C458" t="s">
        <v>1009</v>
      </c>
      <c r="D458" t="s">
        <v>19</v>
      </c>
      <c r="E458" s="7">
        <v>45949</v>
      </c>
      <c r="F458" t="s">
        <v>58</v>
      </c>
      <c r="G458">
        <v>8</v>
      </c>
      <c r="H458">
        <v>538</v>
      </c>
      <c r="I458" t="s">
        <v>84</v>
      </c>
    </row>
    <row r="459" spans="2:9" x14ac:dyDescent="0.25">
      <c r="B459" t="s">
        <v>554</v>
      </c>
      <c r="C459" t="s">
        <v>1022</v>
      </c>
      <c r="D459" t="s">
        <v>19</v>
      </c>
      <c r="E459" s="7">
        <v>46007</v>
      </c>
      <c r="F459" t="s">
        <v>58</v>
      </c>
      <c r="G459">
        <v>10</v>
      </c>
      <c r="H459">
        <v>3861</v>
      </c>
      <c r="I459" t="s">
        <v>84</v>
      </c>
    </row>
    <row r="460" spans="2:9" x14ac:dyDescent="0.25">
      <c r="B460" t="s">
        <v>555</v>
      </c>
      <c r="C460" t="s">
        <v>1012</v>
      </c>
      <c r="D460" t="s">
        <v>27</v>
      </c>
      <c r="E460" s="7">
        <v>46007</v>
      </c>
      <c r="F460" t="s">
        <v>58</v>
      </c>
      <c r="G460">
        <v>1</v>
      </c>
      <c r="H460">
        <v>1023</v>
      </c>
      <c r="I460" t="s">
        <v>81</v>
      </c>
    </row>
    <row r="461" spans="2:9" x14ac:dyDescent="0.25">
      <c r="B461" t="s">
        <v>556</v>
      </c>
      <c r="C461" t="s">
        <v>1017</v>
      </c>
      <c r="D461" t="s">
        <v>23</v>
      </c>
      <c r="E461" s="7">
        <v>45861</v>
      </c>
      <c r="F461" t="s">
        <v>58</v>
      </c>
      <c r="G461">
        <v>7</v>
      </c>
      <c r="H461">
        <v>2039</v>
      </c>
      <c r="I461" t="s">
        <v>84</v>
      </c>
    </row>
    <row r="462" spans="2:9" x14ac:dyDescent="0.25">
      <c r="B462" t="s">
        <v>557</v>
      </c>
      <c r="C462" t="s">
        <v>1012</v>
      </c>
      <c r="D462" t="s">
        <v>19</v>
      </c>
      <c r="E462" s="7">
        <v>45908</v>
      </c>
      <c r="F462" t="s">
        <v>58</v>
      </c>
      <c r="G462">
        <v>9</v>
      </c>
      <c r="H462">
        <v>3301</v>
      </c>
      <c r="I462" t="s">
        <v>81</v>
      </c>
    </row>
    <row r="463" spans="2:9" x14ac:dyDescent="0.25">
      <c r="B463" t="s">
        <v>558</v>
      </c>
      <c r="C463" t="s">
        <v>1016</v>
      </c>
      <c r="D463" t="s">
        <v>21</v>
      </c>
      <c r="E463" s="7">
        <v>45882</v>
      </c>
      <c r="F463" t="s">
        <v>58</v>
      </c>
      <c r="G463">
        <v>8</v>
      </c>
      <c r="H463">
        <v>35</v>
      </c>
      <c r="I463" t="s">
        <v>76</v>
      </c>
    </row>
    <row r="464" spans="2:9" x14ac:dyDescent="0.25">
      <c r="B464" t="s">
        <v>559</v>
      </c>
      <c r="C464" t="s">
        <v>1011</v>
      </c>
      <c r="D464" t="s">
        <v>11</v>
      </c>
      <c r="E464" s="7">
        <v>45920</v>
      </c>
      <c r="F464" t="s">
        <v>58</v>
      </c>
      <c r="G464">
        <v>1</v>
      </c>
      <c r="H464">
        <v>3733</v>
      </c>
      <c r="I464" t="s">
        <v>76</v>
      </c>
    </row>
    <row r="465" spans="2:9" x14ac:dyDescent="0.25">
      <c r="B465" t="s">
        <v>560</v>
      </c>
      <c r="C465" t="s">
        <v>1016</v>
      </c>
      <c r="D465" t="s">
        <v>23</v>
      </c>
      <c r="E465" s="7">
        <v>45987</v>
      </c>
      <c r="F465" t="s">
        <v>58</v>
      </c>
      <c r="G465">
        <v>7</v>
      </c>
      <c r="H465">
        <v>4795</v>
      </c>
      <c r="I465" t="s">
        <v>84</v>
      </c>
    </row>
    <row r="466" spans="2:9" x14ac:dyDescent="0.25">
      <c r="B466" t="s">
        <v>561</v>
      </c>
      <c r="C466" t="s">
        <v>1016</v>
      </c>
      <c r="D466" t="s">
        <v>17</v>
      </c>
      <c r="E466" s="7">
        <v>45684</v>
      </c>
      <c r="F466" t="s">
        <v>58</v>
      </c>
      <c r="G466">
        <v>9</v>
      </c>
      <c r="H466">
        <v>4906</v>
      </c>
      <c r="I466" t="s">
        <v>81</v>
      </c>
    </row>
    <row r="467" spans="2:9" x14ac:dyDescent="0.25">
      <c r="B467" t="s">
        <v>562</v>
      </c>
      <c r="C467" t="s">
        <v>1016</v>
      </c>
      <c r="D467" t="s">
        <v>11</v>
      </c>
      <c r="E467" s="7">
        <v>45809</v>
      </c>
      <c r="F467" t="s">
        <v>58</v>
      </c>
      <c r="G467">
        <v>2</v>
      </c>
      <c r="H467">
        <v>4586</v>
      </c>
      <c r="I467" t="s">
        <v>76</v>
      </c>
    </row>
    <row r="468" spans="2:9" x14ac:dyDescent="0.25">
      <c r="B468" t="s">
        <v>563</v>
      </c>
      <c r="C468" t="s">
        <v>1008</v>
      </c>
      <c r="D468" t="s">
        <v>21</v>
      </c>
      <c r="E468" s="7">
        <v>45911</v>
      </c>
      <c r="F468" t="s">
        <v>58</v>
      </c>
      <c r="G468">
        <v>7</v>
      </c>
      <c r="H468">
        <v>694</v>
      </c>
      <c r="I468" t="s">
        <v>84</v>
      </c>
    </row>
    <row r="469" spans="2:9" x14ac:dyDescent="0.25">
      <c r="B469" t="s">
        <v>564</v>
      </c>
      <c r="C469" t="s">
        <v>1011</v>
      </c>
      <c r="D469" t="s">
        <v>21</v>
      </c>
      <c r="E469" s="7">
        <v>45920</v>
      </c>
      <c r="F469" t="s">
        <v>58</v>
      </c>
      <c r="G469">
        <v>4</v>
      </c>
      <c r="H469">
        <v>3865</v>
      </c>
      <c r="I469" t="s">
        <v>81</v>
      </c>
    </row>
    <row r="470" spans="2:9" x14ac:dyDescent="0.25">
      <c r="B470" t="s">
        <v>565</v>
      </c>
      <c r="C470" t="s">
        <v>1007</v>
      </c>
      <c r="D470" t="s">
        <v>11</v>
      </c>
      <c r="E470" s="7">
        <v>45796</v>
      </c>
      <c r="F470" t="s">
        <v>58</v>
      </c>
      <c r="G470">
        <v>10</v>
      </c>
      <c r="H470">
        <v>1153</v>
      </c>
      <c r="I470" t="s">
        <v>84</v>
      </c>
    </row>
    <row r="471" spans="2:9" x14ac:dyDescent="0.25">
      <c r="B471" t="s">
        <v>566</v>
      </c>
      <c r="C471" t="s">
        <v>1008</v>
      </c>
      <c r="D471" t="s">
        <v>14</v>
      </c>
      <c r="E471" s="7">
        <v>45724</v>
      </c>
      <c r="F471" t="s">
        <v>58</v>
      </c>
      <c r="G471">
        <v>4</v>
      </c>
      <c r="H471">
        <v>3350</v>
      </c>
      <c r="I471" t="s">
        <v>81</v>
      </c>
    </row>
    <row r="472" spans="2:9" x14ac:dyDescent="0.25">
      <c r="B472" t="s">
        <v>567</v>
      </c>
      <c r="C472" t="s">
        <v>1008</v>
      </c>
      <c r="D472" t="s">
        <v>19</v>
      </c>
      <c r="E472" s="7">
        <v>45887</v>
      </c>
      <c r="F472" t="s">
        <v>58</v>
      </c>
      <c r="G472">
        <v>9</v>
      </c>
      <c r="H472">
        <v>2646</v>
      </c>
      <c r="I472" t="s">
        <v>81</v>
      </c>
    </row>
    <row r="473" spans="2:9" x14ac:dyDescent="0.25">
      <c r="B473" t="s">
        <v>568</v>
      </c>
      <c r="C473" t="s">
        <v>1013</v>
      </c>
      <c r="D473" t="s">
        <v>17</v>
      </c>
      <c r="E473" s="7">
        <v>45907</v>
      </c>
      <c r="F473" t="s">
        <v>58</v>
      </c>
      <c r="G473">
        <v>9</v>
      </c>
      <c r="H473">
        <v>27</v>
      </c>
      <c r="I473" t="s">
        <v>76</v>
      </c>
    </row>
    <row r="474" spans="2:9" x14ac:dyDescent="0.25">
      <c r="B474" t="s">
        <v>569</v>
      </c>
      <c r="C474" t="s">
        <v>1011</v>
      </c>
      <c r="D474" t="s">
        <v>14</v>
      </c>
      <c r="E474" s="7">
        <v>45821</v>
      </c>
      <c r="F474" t="s">
        <v>58</v>
      </c>
      <c r="G474">
        <v>5</v>
      </c>
      <c r="H474">
        <v>2781</v>
      </c>
      <c r="I474" t="s">
        <v>76</v>
      </c>
    </row>
    <row r="475" spans="2:9" x14ac:dyDescent="0.25">
      <c r="B475" t="s">
        <v>570</v>
      </c>
      <c r="C475" t="s">
        <v>1011</v>
      </c>
      <c r="D475" t="s">
        <v>27</v>
      </c>
      <c r="E475" s="7">
        <v>45816</v>
      </c>
      <c r="F475" t="s">
        <v>58</v>
      </c>
      <c r="G475">
        <v>7</v>
      </c>
      <c r="H475">
        <v>2086</v>
      </c>
      <c r="I475" t="s">
        <v>81</v>
      </c>
    </row>
    <row r="476" spans="2:9" x14ac:dyDescent="0.25">
      <c r="B476" t="s">
        <v>571</v>
      </c>
      <c r="C476" t="s">
        <v>1017</v>
      </c>
      <c r="D476" t="s">
        <v>27</v>
      </c>
      <c r="E476" s="7">
        <v>45703</v>
      </c>
      <c r="F476" t="s">
        <v>58</v>
      </c>
      <c r="G476">
        <v>2</v>
      </c>
      <c r="H476">
        <v>408</v>
      </c>
      <c r="I476" t="s">
        <v>81</v>
      </c>
    </row>
    <row r="477" spans="2:9" x14ac:dyDescent="0.25">
      <c r="B477" t="s">
        <v>572</v>
      </c>
      <c r="C477" t="s">
        <v>1009</v>
      </c>
      <c r="D477" t="s">
        <v>19</v>
      </c>
      <c r="E477" s="7">
        <v>45883</v>
      </c>
      <c r="F477" t="s">
        <v>58</v>
      </c>
      <c r="G477">
        <v>7</v>
      </c>
      <c r="H477">
        <v>4022</v>
      </c>
      <c r="I477" t="s">
        <v>76</v>
      </c>
    </row>
    <row r="478" spans="2:9" x14ac:dyDescent="0.25">
      <c r="B478" t="s">
        <v>573</v>
      </c>
      <c r="C478" t="s">
        <v>1015</v>
      </c>
      <c r="D478" t="s">
        <v>21</v>
      </c>
      <c r="E478" s="7">
        <v>46003</v>
      </c>
      <c r="F478" t="s">
        <v>58</v>
      </c>
      <c r="G478">
        <v>7</v>
      </c>
      <c r="H478">
        <v>606</v>
      </c>
      <c r="I478" t="s">
        <v>84</v>
      </c>
    </row>
    <row r="479" spans="2:9" x14ac:dyDescent="0.25">
      <c r="B479" t="s">
        <v>574</v>
      </c>
      <c r="C479" t="s">
        <v>1004</v>
      </c>
      <c r="D479" t="s">
        <v>11</v>
      </c>
      <c r="E479" s="7">
        <v>45932</v>
      </c>
      <c r="F479" t="s">
        <v>58</v>
      </c>
      <c r="G479">
        <v>3</v>
      </c>
      <c r="H479">
        <v>1573</v>
      </c>
      <c r="I479" t="s">
        <v>84</v>
      </c>
    </row>
    <row r="480" spans="2:9" x14ac:dyDescent="0.25">
      <c r="B480" t="s">
        <v>575</v>
      </c>
      <c r="C480" t="s">
        <v>1009</v>
      </c>
      <c r="D480" t="s">
        <v>17</v>
      </c>
      <c r="E480" s="7">
        <v>45931</v>
      </c>
      <c r="F480" t="s">
        <v>58</v>
      </c>
      <c r="G480">
        <v>8</v>
      </c>
      <c r="H480">
        <v>4717</v>
      </c>
      <c r="I480" t="s">
        <v>76</v>
      </c>
    </row>
    <row r="481" spans="2:9" x14ac:dyDescent="0.25">
      <c r="B481" t="s">
        <v>576</v>
      </c>
      <c r="C481" t="s">
        <v>1006</v>
      </c>
      <c r="D481" t="s">
        <v>21</v>
      </c>
      <c r="E481" s="7">
        <v>46006</v>
      </c>
      <c r="F481" t="s">
        <v>58</v>
      </c>
      <c r="G481">
        <v>1</v>
      </c>
      <c r="H481">
        <v>1685</v>
      </c>
      <c r="I481" t="s">
        <v>76</v>
      </c>
    </row>
    <row r="482" spans="2:9" x14ac:dyDescent="0.25">
      <c r="B482" t="s">
        <v>577</v>
      </c>
      <c r="C482" t="s">
        <v>1017</v>
      </c>
      <c r="D482" t="s">
        <v>14</v>
      </c>
      <c r="E482" s="7">
        <v>45823</v>
      </c>
      <c r="F482" t="s">
        <v>58</v>
      </c>
      <c r="G482">
        <v>8</v>
      </c>
      <c r="H482">
        <v>387</v>
      </c>
      <c r="I482" t="s">
        <v>81</v>
      </c>
    </row>
    <row r="483" spans="2:9" x14ac:dyDescent="0.25">
      <c r="B483" t="s">
        <v>578</v>
      </c>
      <c r="C483" t="s">
        <v>1013</v>
      </c>
      <c r="D483" t="s">
        <v>17</v>
      </c>
      <c r="E483" s="7">
        <v>45674</v>
      </c>
      <c r="F483" t="s">
        <v>58</v>
      </c>
      <c r="G483">
        <v>6</v>
      </c>
      <c r="H483">
        <v>2588</v>
      </c>
      <c r="I483" t="s">
        <v>81</v>
      </c>
    </row>
    <row r="484" spans="2:9" x14ac:dyDescent="0.25">
      <c r="B484" t="s">
        <v>579</v>
      </c>
      <c r="C484" t="s">
        <v>1019</v>
      </c>
      <c r="D484" t="s">
        <v>11</v>
      </c>
      <c r="E484" s="7">
        <v>45754</v>
      </c>
      <c r="F484" t="s">
        <v>58</v>
      </c>
      <c r="G484">
        <v>10</v>
      </c>
      <c r="H484">
        <v>1411</v>
      </c>
      <c r="I484" t="s">
        <v>84</v>
      </c>
    </row>
    <row r="485" spans="2:9" x14ac:dyDescent="0.25">
      <c r="B485" t="s">
        <v>580</v>
      </c>
      <c r="C485" t="s">
        <v>1009</v>
      </c>
      <c r="D485" t="s">
        <v>11</v>
      </c>
      <c r="E485" s="7">
        <v>45818</v>
      </c>
      <c r="F485" t="s">
        <v>58</v>
      </c>
      <c r="G485">
        <v>2</v>
      </c>
      <c r="H485">
        <v>3756</v>
      </c>
      <c r="I485" t="s">
        <v>81</v>
      </c>
    </row>
    <row r="486" spans="2:9" x14ac:dyDescent="0.25">
      <c r="B486" t="s">
        <v>581</v>
      </c>
      <c r="C486" t="s">
        <v>1016</v>
      </c>
      <c r="D486" t="s">
        <v>21</v>
      </c>
      <c r="E486" s="7">
        <v>45892</v>
      </c>
      <c r="F486" t="s">
        <v>58</v>
      </c>
      <c r="G486">
        <v>1</v>
      </c>
      <c r="H486">
        <v>2904</v>
      </c>
      <c r="I486" t="s">
        <v>84</v>
      </c>
    </row>
    <row r="487" spans="2:9" x14ac:dyDescent="0.25">
      <c r="B487" t="s">
        <v>582</v>
      </c>
      <c r="C487" t="s">
        <v>1022</v>
      </c>
      <c r="D487" t="s">
        <v>19</v>
      </c>
      <c r="E487" s="7">
        <v>45928</v>
      </c>
      <c r="F487" t="s">
        <v>58</v>
      </c>
      <c r="G487">
        <v>9</v>
      </c>
      <c r="H487">
        <v>929</v>
      </c>
      <c r="I487" t="s">
        <v>84</v>
      </c>
    </row>
    <row r="488" spans="2:9" x14ac:dyDescent="0.25">
      <c r="B488" t="s">
        <v>583</v>
      </c>
      <c r="C488" t="s">
        <v>1007</v>
      </c>
      <c r="D488" t="s">
        <v>11</v>
      </c>
      <c r="E488" s="7">
        <v>45751</v>
      </c>
      <c r="F488" t="s">
        <v>58</v>
      </c>
      <c r="G488">
        <v>1</v>
      </c>
      <c r="H488">
        <v>1228</v>
      </c>
      <c r="I488" t="s">
        <v>76</v>
      </c>
    </row>
    <row r="489" spans="2:9" x14ac:dyDescent="0.25">
      <c r="B489" t="s">
        <v>584</v>
      </c>
      <c r="C489" t="s">
        <v>1015</v>
      </c>
      <c r="D489" t="s">
        <v>14</v>
      </c>
      <c r="E489" s="7">
        <v>45901</v>
      </c>
      <c r="F489" t="s">
        <v>58</v>
      </c>
      <c r="G489">
        <v>3</v>
      </c>
      <c r="H489">
        <v>1052</v>
      </c>
      <c r="I489" t="s">
        <v>84</v>
      </c>
    </row>
    <row r="490" spans="2:9" x14ac:dyDescent="0.25">
      <c r="B490" t="s">
        <v>585</v>
      </c>
      <c r="C490" t="s">
        <v>1012</v>
      </c>
      <c r="D490" t="s">
        <v>21</v>
      </c>
      <c r="E490" s="7">
        <v>45726</v>
      </c>
      <c r="F490" t="s">
        <v>58</v>
      </c>
      <c r="G490">
        <v>10</v>
      </c>
      <c r="H490">
        <v>3953</v>
      </c>
      <c r="I490" t="s">
        <v>84</v>
      </c>
    </row>
    <row r="491" spans="2:9" x14ac:dyDescent="0.25">
      <c r="B491" t="s">
        <v>586</v>
      </c>
      <c r="C491" t="s">
        <v>1007</v>
      </c>
      <c r="D491" t="s">
        <v>17</v>
      </c>
      <c r="E491" s="7">
        <v>45845</v>
      </c>
      <c r="F491" t="s">
        <v>58</v>
      </c>
      <c r="G491">
        <v>3</v>
      </c>
      <c r="H491">
        <v>2355</v>
      </c>
      <c r="I491" t="s">
        <v>76</v>
      </c>
    </row>
    <row r="492" spans="2:9" x14ac:dyDescent="0.25">
      <c r="B492" t="s">
        <v>587</v>
      </c>
      <c r="C492" t="s">
        <v>1018</v>
      </c>
      <c r="D492" t="s">
        <v>11</v>
      </c>
      <c r="E492" s="7">
        <v>45861</v>
      </c>
      <c r="F492" t="s">
        <v>58</v>
      </c>
      <c r="G492">
        <v>3</v>
      </c>
      <c r="H492">
        <v>4948</v>
      </c>
      <c r="I492" t="s">
        <v>81</v>
      </c>
    </row>
    <row r="493" spans="2:9" x14ac:dyDescent="0.25">
      <c r="B493" t="s">
        <v>588</v>
      </c>
      <c r="C493" t="s">
        <v>1019</v>
      </c>
      <c r="D493" t="s">
        <v>11</v>
      </c>
      <c r="E493" s="7">
        <v>45825</v>
      </c>
      <c r="F493" t="s">
        <v>58</v>
      </c>
      <c r="G493">
        <v>8</v>
      </c>
      <c r="H493">
        <v>4313</v>
      </c>
      <c r="I493" t="s">
        <v>81</v>
      </c>
    </row>
    <row r="494" spans="2:9" x14ac:dyDescent="0.25">
      <c r="B494" t="s">
        <v>589</v>
      </c>
      <c r="C494" t="s">
        <v>1004</v>
      </c>
      <c r="D494" t="s">
        <v>11</v>
      </c>
      <c r="E494" s="7">
        <v>45904</v>
      </c>
      <c r="F494" t="s">
        <v>58</v>
      </c>
      <c r="G494">
        <v>6</v>
      </c>
      <c r="H494">
        <v>4312</v>
      </c>
      <c r="I494" t="s">
        <v>84</v>
      </c>
    </row>
    <row r="495" spans="2:9" x14ac:dyDescent="0.25">
      <c r="B495" t="s">
        <v>590</v>
      </c>
      <c r="C495" t="s">
        <v>1012</v>
      </c>
      <c r="D495" t="s">
        <v>21</v>
      </c>
      <c r="E495" s="7">
        <v>45698</v>
      </c>
      <c r="F495" t="s">
        <v>58</v>
      </c>
      <c r="G495">
        <v>2</v>
      </c>
      <c r="H495">
        <v>2664</v>
      </c>
      <c r="I495" t="s">
        <v>76</v>
      </c>
    </row>
    <row r="496" spans="2:9" x14ac:dyDescent="0.25">
      <c r="B496" t="s">
        <v>591</v>
      </c>
      <c r="C496" t="s">
        <v>1005</v>
      </c>
      <c r="D496" t="s">
        <v>23</v>
      </c>
      <c r="E496" s="7">
        <v>45844</v>
      </c>
      <c r="F496" t="s">
        <v>58</v>
      </c>
      <c r="G496">
        <v>9</v>
      </c>
      <c r="H496">
        <v>3387</v>
      </c>
      <c r="I496" t="s">
        <v>81</v>
      </c>
    </row>
    <row r="497" spans="2:9" x14ac:dyDescent="0.25">
      <c r="B497" t="s">
        <v>592</v>
      </c>
      <c r="C497" t="s">
        <v>1006</v>
      </c>
      <c r="D497" t="s">
        <v>14</v>
      </c>
      <c r="E497" s="7">
        <v>45779</v>
      </c>
      <c r="F497" t="s">
        <v>58</v>
      </c>
      <c r="G497">
        <v>10</v>
      </c>
      <c r="H497">
        <v>4354</v>
      </c>
      <c r="I497" t="s">
        <v>84</v>
      </c>
    </row>
    <row r="498" spans="2:9" x14ac:dyDescent="0.25">
      <c r="B498" t="s">
        <v>593</v>
      </c>
      <c r="C498" t="s">
        <v>1016</v>
      </c>
      <c r="D498" t="s">
        <v>21</v>
      </c>
      <c r="E498" s="7">
        <v>45967</v>
      </c>
      <c r="F498" t="s">
        <v>58</v>
      </c>
      <c r="G498">
        <v>4</v>
      </c>
      <c r="H498">
        <v>4760</v>
      </c>
      <c r="I498" t="s">
        <v>76</v>
      </c>
    </row>
    <row r="499" spans="2:9" x14ac:dyDescent="0.25">
      <c r="B499" t="s">
        <v>594</v>
      </c>
      <c r="C499" t="s">
        <v>1004</v>
      </c>
      <c r="D499" t="s">
        <v>17</v>
      </c>
      <c r="E499" s="7">
        <v>45728</v>
      </c>
      <c r="F499" t="s">
        <v>58</v>
      </c>
      <c r="G499">
        <v>9</v>
      </c>
      <c r="H499">
        <v>2633</v>
      </c>
      <c r="I499" t="s">
        <v>76</v>
      </c>
    </row>
    <row r="500" spans="2:9" x14ac:dyDescent="0.25">
      <c r="B500" t="s">
        <v>595</v>
      </c>
      <c r="C500" t="s">
        <v>1015</v>
      </c>
      <c r="D500" t="s">
        <v>17</v>
      </c>
      <c r="E500" s="7">
        <v>45669</v>
      </c>
      <c r="F500" t="s">
        <v>58</v>
      </c>
      <c r="G500">
        <v>3</v>
      </c>
      <c r="H500">
        <v>2303</v>
      </c>
      <c r="I500" t="s">
        <v>84</v>
      </c>
    </row>
    <row r="501" spans="2:9" x14ac:dyDescent="0.25">
      <c r="B501" t="s">
        <v>596</v>
      </c>
      <c r="C501" t="s">
        <v>1009</v>
      </c>
      <c r="D501" t="s">
        <v>19</v>
      </c>
      <c r="E501" s="7">
        <v>46004</v>
      </c>
      <c r="F501" t="s">
        <v>58</v>
      </c>
      <c r="G501">
        <v>1</v>
      </c>
      <c r="H501">
        <v>1955</v>
      </c>
      <c r="I501" t="s">
        <v>84</v>
      </c>
    </row>
    <row r="502" spans="2:9" x14ac:dyDescent="0.25">
      <c r="B502" t="s">
        <v>597</v>
      </c>
      <c r="C502" t="s">
        <v>1018</v>
      </c>
      <c r="D502" t="s">
        <v>17</v>
      </c>
      <c r="E502" s="7">
        <v>45793</v>
      </c>
      <c r="F502" t="s">
        <v>58</v>
      </c>
      <c r="G502">
        <v>4</v>
      </c>
      <c r="H502">
        <v>1094</v>
      </c>
      <c r="I502" t="s">
        <v>81</v>
      </c>
    </row>
    <row r="503" spans="2:9" x14ac:dyDescent="0.25">
      <c r="B503" t="s">
        <v>598</v>
      </c>
      <c r="C503" t="s">
        <v>1004</v>
      </c>
      <c r="D503" t="s">
        <v>11</v>
      </c>
      <c r="E503" s="7">
        <v>45759</v>
      </c>
      <c r="F503" t="s">
        <v>58</v>
      </c>
      <c r="G503">
        <v>7</v>
      </c>
      <c r="H503">
        <v>3041</v>
      </c>
      <c r="I503" t="s">
        <v>81</v>
      </c>
    </row>
    <row r="504" spans="2:9" x14ac:dyDescent="0.25">
      <c r="B504" t="s">
        <v>599</v>
      </c>
      <c r="C504" t="s">
        <v>1016</v>
      </c>
      <c r="D504" t="s">
        <v>11</v>
      </c>
      <c r="E504" s="7">
        <v>45914</v>
      </c>
      <c r="F504" t="s">
        <v>58</v>
      </c>
      <c r="G504">
        <v>7</v>
      </c>
      <c r="H504">
        <v>2476</v>
      </c>
      <c r="I504" t="s">
        <v>76</v>
      </c>
    </row>
    <row r="505" spans="2:9" x14ac:dyDescent="0.25">
      <c r="B505" t="s">
        <v>600</v>
      </c>
      <c r="C505" t="s">
        <v>1010</v>
      </c>
      <c r="D505" t="s">
        <v>21</v>
      </c>
      <c r="E505" s="7">
        <v>45680</v>
      </c>
      <c r="F505" t="s">
        <v>58</v>
      </c>
      <c r="G505">
        <v>3</v>
      </c>
      <c r="H505">
        <v>2875</v>
      </c>
      <c r="I505" t="s">
        <v>76</v>
      </c>
    </row>
    <row r="506" spans="2:9" x14ac:dyDescent="0.25">
      <c r="B506" t="s">
        <v>601</v>
      </c>
      <c r="C506" t="s">
        <v>1008</v>
      </c>
      <c r="D506" t="s">
        <v>21</v>
      </c>
      <c r="E506" s="7">
        <v>45970</v>
      </c>
      <c r="F506" t="s">
        <v>58</v>
      </c>
      <c r="G506">
        <v>2</v>
      </c>
      <c r="H506">
        <v>4055</v>
      </c>
      <c r="I506" t="s">
        <v>81</v>
      </c>
    </row>
    <row r="507" spans="2:9" x14ac:dyDescent="0.25">
      <c r="B507" t="s">
        <v>602</v>
      </c>
      <c r="C507" t="s">
        <v>1014</v>
      </c>
      <c r="D507" t="s">
        <v>21</v>
      </c>
      <c r="E507" s="7">
        <v>45727</v>
      </c>
      <c r="F507" t="s">
        <v>58</v>
      </c>
      <c r="G507">
        <v>8</v>
      </c>
      <c r="H507">
        <v>4667</v>
      </c>
      <c r="I507" t="s">
        <v>81</v>
      </c>
    </row>
    <row r="508" spans="2:9" x14ac:dyDescent="0.25">
      <c r="B508" t="s">
        <v>603</v>
      </c>
      <c r="C508" t="s">
        <v>1010</v>
      </c>
      <c r="D508" t="s">
        <v>27</v>
      </c>
      <c r="E508" s="7">
        <v>45700</v>
      </c>
      <c r="F508" t="s">
        <v>58</v>
      </c>
      <c r="G508">
        <v>3</v>
      </c>
      <c r="H508">
        <v>4683</v>
      </c>
      <c r="I508" t="s">
        <v>84</v>
      </c>
    </row>
    <row r="509" spans="2:9" x14ac:dyDescent="0.25">
      <c r="B509" t="s">
        <v>604</v>
      </c>
      <c r="C509" t="s">
        <v>1015</v>
      </c>
      <c r="D509" t="s">
        <v>21</v>
      </c>
      <c r="E509" s="7">
        <v>45721</v>
      </c>
      <c r="F509" t="s">
        <v>58</v>
      </c>
      <c r="G509">
        <v>1</v>
      </c>
      <c r="H509">
        <v>2910</v>
      </c>
      <c r="I509" t="s">
        <v>84</v>
      </c>
    </row>
    <row r="510" spans="2:9" x14ac:dyDescent="0.25">
      <c r="B510" t="s">
        <v>605</v>
      </c>
      <c r="C510" t="s">
        <v>1008</v>
      </c>
      <c r="D510" t="s">
        <v>21</v>
      </c>
      <c r="E510" s="7">
        <v>46003</v>
      </c>
      <c r="F510" t="s">
        <v>58</v>
      </c>
      <c r="G510">
        <v>8</v>
      </c>
      <c r="H510">
        <v>4458</v>
      </c>
      <c r="I510" t="s">
        <v>84</v>
      </c>
    </row>
    <row r="511" spans="2:9" x14ac:dyDescent="0.25">
      <c r="B511" t="s">
        <v>606</v>
      </c>
      <c r="C511" t="s">
        <v>1017</v>
      </c>
      <c r="D511" t="s">
        <v>21</v>
      </c>
      <c r="E511" s="7">
        <v>45849</v>
      </c>
      <c r="F511" t="s">
        <v>58</v>
      </c>
      <c r="G511">
        <v>5</v>
      </c>
      <c r="H511">
        <v>3307</v>
      </c>
      <c r="I511" t="s">
        <v>76</v>
      </c>
    </row>
    <row r="512" spans="2:9" x14ac:dyDescent="0.25">
      <c r="B512" t="s">
        <v>607</v>
      </c>
      <c r="C512" t="s">
        <v>1004</v>
      </c>
      <c r="D512" t="s">
        <v>23</v>
      </c>
      <c r="E512" s="7">
        <v>45663</v>
      </c>
      <c r="F512" t="s">
        <v>58</v>
      </c>
      <c r="G512">
        <v>5</v>
      </c>
      <c r="H512">
        <v>4722</v>
      </c>
      <c r="I512" t="s">
        <v>84</v>
      </c>
    </row>
    <row r="513" spans="2:9" x14ac:dyDescent="0.25">
      <c r="B513" t="s">
        <v>608</v>
      </c>
      <c r="C513" t="s">
        <v>1021</v>
      </c>
      <c r="D513" t="s">
        <v>14</v>
      </c>
      <c r="E513" s="7">
        <v>45673</v>
      </c>
      <c r="F513" t="s">
        <v>58</v>
      </c>
      <c r="G513">
        <v>6</v>
      </c>
      <c r="H513">
        <v>2840</v>
      </c>
      <c r="I513" t="s">
        <v>76</v>
      </c>
    </row>
    <row r="514" spans="2:9" x14ac:dyDescent="0.25">
      <c r="B514" t="s">
        <v>609</v>
      </c>
      <c r="C514" t="s">
        <v>1006</v>
      </c>
      <c r="D514" t="s">
        <v>27</v>
      </c>
      <c r="E514" s="7">
        <v>45774</v>
      </c>
      <c r="F514" t="s">
        <v>58</v>
      </c>
      <c r="G514">
        <v>7</v>
      </c>
      <c r="H514">
        <v>3082</v>
      </c>
      <c r="I514" t="s">
        <v>84</v>
      </c>
    </row>
    <row r="515" spans="2:9" x14ac:dyDescent="0.25">
      <c r="B515" t="s">
        <v>610</v>
      </c>
      <c r="C515" t="s">
        <v>1011</v>
      </c>
      <c r="D515" t="s">
        <v>14</v>
      </c>
      <c r="E515" s="7">
        <v>45973</v>
      </c>
      <c r="F515" t="s">
        <v>58</v>
      </c>
      <c r="G515">
        <v>1</v>
      </c>
      <c r="H515">
        <v>4721</v>
      </c>
      <c r="I515" t="s">
        <v>76</v>
      </c>
    </row>
    <row r="516" spans="2:9" x14ac:dyDescent="0.25">
      <c r="B516" t="s">
        <v>611</v>
      </c>
      <c r="C516" t="s">
        <v>1020</v>
      </c>
      <c r="D516" t="s">
        <v>19</v>
      </c>
      <c r="E516" s="7">
        <v>45684</v>
      </c>
      <c r="F516" t="s">
        <v>58</v>
      </c>
      <c r="G516">
        <v>6</v>
      </c>
      <c r="H516">
        <v>3371</v>
      </c>
      <c r="I516" t="s">
        <v>84</v>
      </c>
    </row>
    <row r="517" spans="2:9" x14ac:dyDescent="0.25">
      <c r="B517" t="s">
        <v>612</v>
      </c>
      <c r="C517" t="s">
        <v>1011</v>
      </c>
      <c r="D517" t="s">
        <v>27</v>
      </c>
      <c r="E517" s="7">
        <v>45805</v>
      </c>
      <c r="F517" t="s">
        <v>58</v>
      </c>
      <c r="G517">
        <v>1</v>
      </c>
      <c r="H517">
        <v>3442</v>
      </c>
      <c r="I517" t="s">
        <v>84</v>
      </c>
    </row>
    <row r="518" spans="2:9" x14ac:dyDescent="0.25">
      <c r="B518" t="s">
        <v>613</v>
      </c>
      <c r="C518" t="s">
        <v>1013</v>
      </c>
      <c r="D518" t="s">
        <v>17</v>
      </c>
      <c r="E518" s="7">
        <v>45895</v>
      </c>
      <c r="F518" t="s">
        <v>58</v>
      </c>
      <c r="G518">
        <v>10</v>
      </c>
      <c r="H518">
        <v>705</v>
      </c>
      <c r="I518" t="s">
        <v>76</v>
      </c>
    </row>
    <row r="519" spans="2:9" x14ac:dyDescent="0.25">
      <c r="B519" t="s">
        <v>614</v>
      </c>
      <c r="C519" t="s">
        <v>1006</v>
      </c>
      <c r="D519" t="s">
        <v>27</v>
      </c>
      <c r="E519" s="7">
        <v>45672</v>
      </c>
      <c r="F519" t="s">
        <v>58</v>
      </c>
      <c r="G519">
        <v>9</v>
      </c>
      <c r="H519">
        <v>4706</v>
      </c>
      <c r="I519" t="s">
        <v>76</v>
      </c>
    </row>
    <row r="520" spans="2:9" x14ac:dyDescent="0.25">
      <c r="B520" t="s">
        <v>615</v>
      </c>
      <c r="C520" t="s">
        <v>1021</v>
      </c>
      <c r="D520" t="s">
        <v>21</v>
      </c>
      <c r="E520" s="7">
        <v>45949</v>
      </c>
      <c r="F520" t="s">
        <v>58</v>
      </c>
      <c r="G520">
        <v>8</v>
      </c>
      <c r="H520">
        <v>1408</v>
      </c>
      <c r="I520" t="s">
        <v>76</v>
      </c>
    </row>
    <row r="521" spans="2:9" x14ac:dyDescent="0.25">
      <c r="B521" t="s">
        <v>616</v>
      </c>
      <c r="C521" t="s">
        <v>1006</v>
      </c>
      <c r="D521" t="s">
        <v>23</v>
      </c>
      <c r="E521" s="7">
        <v>45915</v>
      </c>
      <c r="F521" t="s">
        <v>58</v>
      </c>
      <c r="G521">
        <v>10</v>
      </c>
      <c r="H521">
        <v>514</v>
      </c>
      <c r="I521" t="s">
        <v>84</v>
      </c>
    </row>
    <row r="522" spans="2:9" x14ac:dyDescent="0.25">
      <c r="B522" t="s">
        <v>617</v>
      </c>
      <c r="C522" t="s">
        <v>1005</v>
      </c>
      <c r="D522" t="s">
        <v>21</v>
      </c>
      <c r="E522" s="7">
        <v>45848</v>
      </c>
      <c r="F522" t="s">
        <v>58</v>
      </c>
      <c r="G522">
        <v>1</v>
      </c>
      <c r="H522">
        <v>3087</v>
      </c>
      <c r="I522" t="s">
        <v>84</v>
      </c>
    </row>
    <row r="523" spans="2:9" x14ac:dyDescent="0.25">
      <c r="B523" t="s">
        <v>618</v>
      </c>
      <c r="C523" t="s">
        <v>1012</v>
      </c>
      <c r="D523" t="s">
        <v>21</v>
      </c>
      <c r="E523" s="7">
        <v>45859</v>
      </c>
      <c r="F523" t="s">
        <v>58</v>
      </c>
      <c r="G523">
        <v>1</v>
      </c>
      <c r="H523">
        <v>4040</v>
      </c>
      <c r="I523" t="s">
        <v>81</v>
      </c>
    </row>
    <row r="524" spans="2:9" x14ac:dyDescent="0.25">
      <c r="B524" t="s">
        <v>619</v>
      </c>
      <c r="C524" t="s">
        <v>1005</v>
      </c>
      <c r="D524" t="s">
        <v>23</v>
      </c>
      <c r="E524" s="7">
        <v>46001</v>
      </c>
      <c r="F524" t="s">
        <v>58</v>
      </c>
      <c r="G524">
        <v>4</v>
      </c>
      <c r="H524">
        <v>4593</v>
      </c>
      <c r="I524" t="s">
        <v>76</v>
      </c>
    </row>
    <row r="525" spans="2:9" x14ac:dyDescent="0.25">
      <c r="B525" t="s">
        <v>620</v>
      </c>
      <c r="C525" t="s">
        <v>1017</v>
      </c>
      <c r="D525" t="s">
        <v>19</v>
      </c>
      <c r="E525" s="7">
        <v>45936</v>
      </c>
      <c r="F525" t="s">
        <v>58</v>
      </c>
      <c r="G525">
        <v>4</v>
      </c>
      <c r="H525">
        <v>4796</v>
      </c>
      <c r="I525" t="s">
        <v>76</v>
      </c>
    </row>
    <row r="526" spans="2:9" x14ac:dyDescent="0.25">
      <c r="B526" t="s">
        <v>621</v>
      </c>
      <c r="C526" t="s">
        <v>1019</v>
      </c>
      <c r="D526" t="s">
        <v>19</v>
      </c>
      <c r="E526" s="7">
        <v>45877</v>
      </c>
      <c r="F526" t="s">
        <v>58</v>
      </c>
      <c r="G526">
        <v>3</v>
      </c>
      <c r="H526">
        <v>1043</v>
      </c>
      <c r="I526" t="s">
        <v>84</v>
      </c>
    </row>
    <row r="527" spans="2:9" x14ac:dyDescent="0.25">
      <c r="B527" t="s">
        <v>622</v>
      </c>
      <c r="C527" t="s">
        <v>1004</v>
      </c>
      <c r="D527" t="s">
        <v>27</v>
      </c>
      <c r="E527" s="7">
        <v>45660</v>
      </c>
      <c r="F527" t="s">
        <v>58</v>
      </c>
      <c r="G527">
        <v>1</v>
      </c>
      <c r="H527">
        <v>3502</v>
      </c>
      <c r="I527" t="s">
        <v>84</v>
      </c>
    </row>
    <row r="528" spans="2:9" x14ac:dyDescent="0.25">
      <c r="B528" t="s">
        <v>623</v>
      </c>
      <c r="C528" t="s">
        <v>1010</v>
      </c>
      <c r="D528" t="s">
        <v>17</v>
      </c>
      <c r="E528" s="7">
        <v>45718</v>
      </c>
      <c r="F528" t="s">
        <v>58</v>
      </c>
      <c r="G528">
        <v>7</v>
      </c>
      <c r="H528">
        <v>3742</v>
      </c>
      <c r="I528" t="s">
        <v>81</v>
      </c>
    </row>
    <row r="529" spans="2:9" x14ac:dyDescent="0.25">
      <c r="B529" t="s">
        <v>624</v>
      </c>
      <c r="C529" t="s">
        <v>1012</v>
      </c>
      <c r="D529" t="s">
        <v>21</v>
      </c>
      <c r="E529" s="7">
        <v>45744</v>
      </c>
      <c r="F529" t="s">
        <v>58</v>
      </c>
      <c r="G529">
        <v>7</v>
      </c>
      <c r="H529">
        <v>2124</v>
      </c>
      <c r="I529" t="s">
        <v>84</v>
      </c>
    </row>
    <row r="530" spans="2:9" x14ac:dyDescent="0.25">
      <c r="B530" t="s">
        <v>625</v>
      </c>
      <c r="C530" t="s">
        <v>1020</v>
      </c>
      <c r="D530" t="s">
        <v>23</v>
      </c>
      <c r="E530" s="7">
        <v>45922</v>
      </c>
      <c r="F530" t="s">
        <v>58</v>
      </c>
      <c r="G530">
        <v>7</v>
      </c>
      <c r="H530">
        <v>334</v>
      </c>
      <c r="I530" t="s">
        <v>76</v>
      </c>
    </row>
    <row r="531" spans="2:9" x14ac:dyDescent="0.25">
      <c r="B531" t="s">
        <v>626</v>
      </c>
      <c r="C531" t="s">
        <v>1017</v>
      </c>
      <c r="D531" t="s">
        <v>23</v>
      </c>
      <c r="E531" s="7">
        <v>45734</v>
      </c>
      <c r="F531" t="s">
        <v>58</v>
      </c>
      <c r="G531">
        <v>1</v>
      </c>
      <c r="H531">
        <v>3871</v>
      </c>
      <c r="I531" t="s">
        <v>81</v>
      </c>
    </row>
    <row r="532" spans="2:9" x14ac:dyDescent="0.25">
      <c r="B532" t="s">
        <v>627</v>
      </c>
      <c r="C532" t="s">
        <v>1019</v>
      </c>
      <c r="D532" t="s">
        <v>21</v>
      </c>
      <c r="E532" s="7">
        <v>45739</v>
      </c>
      <c r="F532" t="s">
        <v>58</v>
      </c>
      <c r="G532">
        <v>9</v>
      </c>
      <c r="H532">
        <v>4614</v>
      </c>
      <c r="I532" t="s">
        <v>84</v>
      </c>
    </row>
    <row r="533" spans="2:9" x14ac:dyDescent="0.25">
      <c r="B533" t="s">
        <v>628</v>
      </c>
      <c r="C533" t="s">
        <v>1004</v>
      </c>
      <c r="D533" t="s">
        <v>19</v>
      </c>
      <c r="E533" s="7">
        <v>45897</v>
      </c>
      <c r="F533" t="s">
        <v>58</v>
      </c>
      <c r="G533">
        <v>2</v>
      </c>
      <c r="H533">
        <v>3237</v>
      </c>
      <c r="I533" t="s">
        <v>84</v>
      </c>
    </row>
    <row r="534" spans="2:9" x14ac:dyDescent="0.25">
      <c r="B534" t="s">
        <v>629</v>
      </c>
      <c r="C534" t="s">
        <v>1020</v>
      </c>
      <c r="D534" t="s">
        <v>19</v>
      </c>
      <c r="E534" s="7">
        <v>45770</v>
      </c>
      <c r="F534" t="s">
        <v>58</v>
      </c>
      <c r="G534">
        <v>8</v>
      </c>
      <c r="H534">
        <v>1736</v>
      </c>
      <c r="I534" t="s">
        <v>84</v>
      </c>
    </row>
    <row r="535" spans="2:9" x14ac:dyDescent="0.25">
      <c r="B535" t="s">
        <v>630</v>
      </c>
      <c r="C535" t="s">
        <v>1005</v>
      </c>
      <c r="D535" t="s">
        <v>11</v>
      </c>
      <c r="E535" s="7">
        <v>45940</v>
      </c>
      <c r="F535" t="s">
        <v>58</v>
      </c>
      <c r="G535">
        <v>4</v>
      </c>
      <c r="H535">
        <v>942</v>
      </c>
      <c r="I535" t="s">
        <v>81</v>
      </c>
    </row>
    <row r="536" spans="2:9" x14ac:dyDescent="0.25">
      <c r="B536" t="s">
        <v>631</v>
      </c>
      <c r="C536" t="s">
        <v>1016</v>
      </c>
      <c r="D536" t="s">
        <v>19</v>
      </c>
      <c r="E536" s="7">
        <v>45888</v>
      </c>
      <c r="F536" t="s">
        <v>58</v>
      </c>
      <c r="G536">
        <v>4</v>
      </c>
      <c r="H536">
        <v>3006</v>
      </c>
      <c r="I536" t="s">
        <v>81</v>
      </c>
    </row>
    <row r="537" spans="2:9" x14ac:dyDescent="0.25">
      <c r="B537" t="s">
        <v>632</v>
      </c>
      <c r="C537" t="s">
        <v>1005</v>
      </c>
      <c r="D537" t="s">
        <v>17</v>
      </c>
      <c r="E537" s="7">
        <v>45906</v>
      </c>
      <c r="F537" t="s">
        <v>58</v>
      </c>
      <c r="G537">
        <v>2</v>
      </c>
      <c r="H537">
        <v>3933</v>
      </c>
      <c r="I537" t="s">
        <v>76</v>
      </c>
    </row>
    <row r="538" spans="2:9" x14ac:dyDescent="0.25">
      <c r="B538" t="s">
        <v>633</v>
      </c>
      <c r="C538" t="s">
        <v>1004</v>
      </c>
      <c r="D538" t="s">
        <v>27</v>
      </c>
      <c r="E538" s="7">
        <v>45701</v>
      </c>
      <c r="F538" t="s">
        <v>58</v>
      </c>
      <c r="G538">
        <v>8</v>
      </c>
      <c r="H538">
        <v>1049</v>
      </c>
      <c r="I538" t="s">
        <v>81</v>
      </c>
    </row>
    <row r="539" spans="2:9" x14ac:dyDescent="0.25">
      <c r="B539" t="s">
        <v>634</v>
      </c>
      <c r="C539" t="s">
        <v>1017</v>
      </c>
      <c r="D539" t="s">
        <v>17</v>
      </c>
      <c r="E539" s="7">
        <v>45786</v>
      </c>
      <c r="F539" t="s">
        <v>58</v>
      </c>
      <c r="G539">
        <v>3</v>
      </c>
      <c r="H539">
        <v>476</v>
      </c>
      <c r="I539" t="s">
        <v>76</v>
      </c>
    </row>
    <row r="540" spans="2:9" x14ac:dyDescent="0.25">
      <c r="B540" t="s">
        <v>635</v>
      </c>
      <c r="C540" t="s">
        <v>1014</v>
      </c>
      <c r="D540" t="s">
        <v>21</v>
      </c>
      <c r="E540" s="7">
        <v>45675</v>
      </c>
      <c r="F540" t="s">
        <v>58</v>
      </c>
      <c r="G540">
        <v>4</v>
      </c>
      <c r="H540">
        <v>4678</v>
      </c>
      <c r="I540" t="s">
        <v>81</v>
      </c>
    </row>
    <row r="541" spans="2:9" x14ac:dyDescent="0.25">
      <c r="B541" t="s">
        <v>636</v>
      </c>
      <c r="C541" t="s">
        <v>1008</v>
      </c>
      <c r="D541" t="s">
        <v>14</v>
      </c>
      <c r="E541" s="7">
        <v>45735</v>
      </c>
      <c r="F541" t="s">
        <v>58</v>
      </c>
      <c r="G541">
        <v>9</v>
      </c>
      <c r="H541">
        <v>4990</v>
      </c>
      <c r="I541" t="s">
        <v>81</v>
      </c>
    </row>
    <row r="542" spans="2:9" x14ac:dyDescent="0.25">
      <c r="B542" t="s">
        <v>637</v>
      </c>
      <c r="C542" t="s">
        <v>1022</v>
      </c>
      <c r="D542" t="s">
        <v>17</v>
      </c>
      <c r="E542" s="7">
        <v>45951</v>
      </c>
      <c r="F542" t="s">
        <v>58</v>
      </c>
      <c r="G542">
        <v>9</v>
      </c>
      <c r="H542">
        <v>4030</v>
      </c>
      <c r="I542" t="s">
        <v>81</v>
      </c>
    </row>
    <row r="543" spans="2:9" x14ac:dyDescent="0.25">
      <c r="B543" t="s">
        <v>638</v>
      </c>
      <c r="C543" t="s">
        <v>1017</v>
      </c>
      <c r="D543" t="s">
        <v>19</v>
      </c>
      <c r="E543" s="7">
        <v>45884</v>
      </c>
      <c r="F543" t="s">
        <v>58</v>
      </c>
      <c r="G543">
        <v>1</v>
      </c>
      <c r="H543">
        <v>3251</v>
      </c>
      <c r="I543" t="s">
        <v>81</v>
      </c>
    </row>
    <row r="544" spans="2:9" x14ac:dyDescent="0.25">
      <c r="B544" t="s">
        <v>639</v>
      </c>
      <c r="C544" t="s">
        <v>1019</v>
      </c>
      <c r="D544" t="s">
        <v>14</v>
      </c>
      <c r="E544" s="7">
        <v>45737</v>
      </c>
      <c r="F544" t="s">
        <v>58</v>
      </c>
      <c r="G544">
        <v>3</v>
      </c>
      <c r="H544">
        <v>446</v>
      </c>
      <c r="I544" t="s">
        <v>76</v>
      </c>
    </row>
    <row r="545" spans="2:9" x14ac:dyDescent="0.25">
      <c r="B545" t="s">
        <v>640</v>
      </c>
      <c r="C545" t="s">
        <v>1016</v>
      </c>
      <c r="D545" t="s">
        <v>23</v>
      </c>
      <c r="E545" s="7">
        <v>45881</v>
      </c>
      <c r="F545" t="s">
        <v>58</v>
      </c>
      <c r="G545">
        <v>5</v>
      </c>
      <c r="H545">
        <v>2205</v>
      </c>
      <c r="I545" t="s">
        <v>76</v>
      </c>
    </row>
    <row r="546" spans="2:9" x14ac:dyDescent="0.25">
      <c r="B546" t="s">
        <v>641</v>
      </c>
      <c r="C546" t="s">
        <v>1008</v>
      </c>
      <c r="D546" t="s">
        <v>17</v>
      </c>
      <c r="E546" s="7">
        <v>45676</v>
      </c>
      <c r="F546" t="s">
        <v>58</v>
      </c>
      <c r="G546">
        <v>5</v>
      </c>
      <c r="H546">
        <v>1496</v>
      </c>
      <c r="I546" t="s">
        <v>84</v>
      </c>
    </row>
    <row r="547" spans="2:9" x14ac:dyDescent="0.25">
      <c r="B547" t="s">
        <v>642</v>
      </c>
      <c r="C547" t="s">
        <v>1008</v>
      </c>
      <c r="D547" t="s">
        <v>17</v>
      </c>
      <c r="E547" s="7">
        <v>45718</v>
      </c>
      <c r="F547" t="s">
        <v>58</v>
      </c>
      <c r="G547">
        <v>10</v>
      </c>
      <c r="H547">
        <v>82</v>
      </c>
      <c r="I547" t="s">
        <v>84</v>
      </c>
    </row>
    <row r="548" spans="2:9" x14ac:dyDescent="0.25">
      <c r="B548" t="s">
        <v>643</v>
      </c>
      <c r="C548" t="s">
        <v>1019</v>
      </c>
      <c r="D548" t="s">
        <v>21</v>
      </c>
      <c r="E548" s="7">
        <v>45928</v>
      </c>
      <c r="F548" t="s">
        <v>58</v>
      </c>
      <c r="G548">
        <v>2</v>
      </c>
      <c r="H548">
        <v>1050</v>
      </c>
      <c r="I548" t="s">
        <v>76</v>
      </c>
    </row>
    <row r="549" spans="2:9" x14ac:dyDescent="0.25">
      <c r="B549" t="s">
        <v>644</v>
      </c>
      <c r="C549" t="s">
        <v>1005</v>
      </c>
      <c r="D549" t="s">
        <v>27</v>
      </c>
      <c r="E549" s="7">
        <v>45913</v>
      </c>
      <c r="F549" t="s">
        <v>58</v>
      </c>
      <c r="G549">
        <v>5</v>
      </c>
      <c r="H549">
        <v>1338</v>
      </c>
      <c r="I549" t="s">
        <v>84</v>
      </c>
    </row>
    <row r="550" spans="2:9" x14ac:dyDescent="0.25">
      <c r="B550" t="s">
        <v>645</v>
      </c>
      <c r="C550" t="s">
        <v>1013</v>
      </c>
      <c r="D550" t="s">
        <v>21</v>
      </c>
      <c r="E550" s="7">
        <v>45817</v>
      </c>
      <c r="F550" t="s">
        <v>58</v>
      </c>
      <c r="G550">
        <v>9</v>
      </c>
      <c r="H550">
        <v>4188</v>
      </c>
      <c r="I550" t="s">
        <v>76</v>
      </c>
    </row>
    <row r="551" spans="2:9" x14ac:dyDescent="0.25">
      <c r="B551" t="s">
        <v>646</v>
      </c>
      <c r="C551" t="s">
        <v>1013</v>
      </c>
      <c r="D551" t="s">
        <v>19</v>
      </c>
      <c r="E551" s="7">
        <v>45925</v>
      </c>
      <c r="F551" t="s">
        <v>58</v>
      </c>
      <c r="G551">
        <v>3</v>
      </c>
      <c r="H551">
        <v>1712</v>
      </c>
      <c r="I551" t="s">
        <v>84</v>
      </c>
    </row>
    <row r="552" spans="2:9" x14ac:dyDescent="0.25">
      <c r="B552" t="s">
        <v>647</v>
      </c>
      <c r="C552" t="s">
        <v>1007</v>
      </c>
      <c r="D552" t="s">
        <v>21</v>
      </c>
      <c r="E552" s="7">
        <v>45730</v>
      </c>
      <c r="F552" t="s">
        <v>58</v>
      </c>
      <c r="G552">
        <v>5</v>
      </c>
      <c r="H552">
        <v>2288</v>
      </c>
      <c r="I552" t="s">
        <v>81</v>
      </c>
    </row>
    <row r="553" spans="2:9" x14ac:dyDescent="0.25">
      <c r="B553" t="s">
        <v>648</v>
      </c>
      <c r="C553" t="s">
        <v>1009</v>
      </c>
      <c r="D553" t="s">
        <v>19</v>
      </c>
      <c r="E553" s="7">
        <v>45681</v>
      </c>
      <c r="F553" t="s">
        <v>58</v>
      </c>
      <c r="G553">
        <v>10</v>
      </c>
      <c r="H553">
        <v>3167</v>
      </c>
      <c r="I553" t="s">
        <v>84</v>
      </c>
    </row>
    <row r="554" spans="2:9" x14ac:dyDescent="0.25">
      <c r="B554" t="s">
        <v>649</v>
      </c>
      <c r="C554" t="s">
        <v>1021</v>
      </c>
      <c r="D554" t="s">
        <v>11</v>
      </c>
      <c r="E554" s="7">
        <v>45919</v>
      </c>
      <c r="F554" t="s">
        <v>58</v>
      </c>
      <c r="G554">
        <v>2</v>
      </c>
      <c r="H554">
        <v>2921</v>
      </c>
      <c r="I554" t="s">
        <v>81</v>
      </c>
    </row>
    <row r="555" spans="2:9" x14ac:dyDescent="0.25">
      <c r="B555" t="s">
        <v>650</v>
      </c>
      <c r="C555" t="s">
        <v>1015</v>
      </c>
      <c r="D555" t="s">
        <v>27</v>
      </c>
      <c r="E555" s="7">
        <v>45964</v>
      </c>
      <c r="F555" t="s">
        <v>58</v>
      </c>
      <c r="G555">
        <v>4</v>
      </c>
      <c r="H555">
        <v>3935</v>
      </c>
      <c r="I555" t="s">
        <v>84</v>
      </c>
    </row>
    <row r="556" spans="2:9" x14ac:dyDescent="0.25">
      <c r="B556" t="s">
        <v>651</v>
      </c>
      <c r="C556" t="s">
        <v>1015</v>
      </c>
      <c r="D556" t="s">
        <v>19</v>
      </c>
      <c r="E556" s="7">
        <v>45784</v>
      </c>
      <c r="F556" t="s">
        <v>58</v>
      </c>
      <c r="G556">
        <v>4</v>
      </c>
      <c r="H556">
        <v>4938</v>
      </c>
      <c r="I556" t="s">
        <v>76</v>
      </c>
    </row>
    <row r="557" spans="2:9" x14ac:dyDescent="0.25">
      <c r="B557" t="s">
        <v>652</v>
      </c>
      <c r="C557" t="s">
        <v>1010</v>
      </c>
      <c r="D557" t="s">
        <v>11</v>
      </c>
      <c r="E557" s="7">
        <v>45826</v>
      </c>
      <c r="F557" t="s">
        <v>58</v>
      </c>
      <c r="G557">
        <v>4</v>
      </c>
      <c r="H557">
        <v>3490</v>
      </c>
      <c r="I557" t="s">
        <v>81</v>
      </c>
    </row>
    <row r="558" spans="2:9" x14ac:dyDescent="0.25">
      <c r="B558" t="s">
        <v>653</v>
      </c>
      <c r="C558" t="s">
        <v>1009</v>
      </c>
      <c r="D558" t="s">
        <v>19</v>
      </c>
      <c r="E558" s="7">
        <v>45830</v>
      </c>
      <c r="F558" t="s">
        <v>58</v>
      </c>
      <c r="G558">
        <v>9</v>
      </c>
      <c r="H558">
        <v>3456</v>
      </c>
      <c r="I558" t="s">
        <v>76</v>
      </c>
    </row>
    <row r="559" spans="2:9" x14ac:dyDescent="0.25">
      <c r="B559" t="s">
        <v>654</v>
      </c>
      <c r="C559" t="s">
        <v>1012</v>
      </c>
      <c r="D559" t="s">
        <v>17</v>
      </c>
      <c r="E559" s="7">
        <v>45766</v>
      </c>
      <c r="F559" t="s">
        <v>58</v>
      </c>
      <c r="G559">
        <v>4</v>
      </c>
      <c r="H559">
        <v>2551</v>
      </c>
      <c r="I559" t="s">
        <v>81</v>
      </c>
    </row>
    <row r="560" spans="2:9" x14ac:dyDescent="0.25">
      <c r="B560" t="s">
        <v>655</v>
      </c>
      <c r="C560" t="s">
        <v>1020</v>
      </c>
      <c r="D560" t="s">
        <v>19</v>
      </c>
      <c r="E560" s="7">
        <v>45968</v>
      </c>
      <c r="F560" t="s">
        <v>58</v>
      </c>
      <c r="G560">
        <v>3</v>
      </c>
      <c r="H560">
        <v>4797</v>
      </c>
      <c r="I560" t="s">
        <v>76</v>
      </c>
    </row>
    <row r="561" spans="2:9" x14ac:dyDescent="0.25">
      <c r="B561" t="s">
        <v>656</v>
      </c>
      <c r="C561" t="s">
        <v>1017</v>
      </c>
      <c r="D561" t="s">
        <v>19</v>
      </c>
      <c r="E561" s="7">
        <v>45799</v>
      </c>
      <c r="F561" t="s">
        <v>58</v>
      </c>
      <c r="G561">
        <v>9</v>
      </c>
      <c r="H561">
        <v>3084</v>
      </c>
      <c r="I561" t="s">
        <v>84</v>
      </c>
    </row>
    <row r="562" spans="2:9" x14ac:dyDescent="0.25">
      <c r="B562" t="s">
        <v>657</v>
      </c>
      <c r="C562" t="s">
        <v>1017</v>
      </c>
      <c r="D562" t="s">
        <v>21</v>
      </c>
      <c r="E562" s="7">
        <v>45796</v>
      </c>
      <c r="F562" t="s">
        <v>58</v>
      </c>
      <c r="G562">
        <v>1</v>
      </c>
      <c r="H562">
        <v>1588</v>
      </c>
      <c r="I562" t="s">
        <v>84</v>
      </c>
    </row>
    <row r="563" spans="2:9" x14ac:dyDescent="0.25">
      <c r="B563" t="s">
        <v>658</v>
      </c>
      <c r="C563" t="s">
        <v>1007</v>
      </c>
      <c r="D563" t="s">
        <v>21</v>
      </c>
      <c r="E563" s="7">
        <v>45919</v>
      </c>
      <c r="F563" t="s">
        <v>58</v>
      </c>
      <c r="G563">
        <v>7</v>
      </c>
      <c r="H563">
        <v>3318</v>
      </c>
      <c r="I563" t="s">
        <v>76</v>
      </c>
    </row>
    <row r="564" spans="2:9" x14ac:dyDescent="0.25">
      <c r="B564" t="s">
        <v>659</v>
      </c>
      <c r="C564" t="s">
        <v>1011</v>
      </c>
      <c r="D564" t="s">
        <v>21</v>
      </c>
      <c r="E564" s="7">
        <v>45762</v>
      </c>
      <c r="F564" t="s">
        <v>58</v>
      </c>
      <c r="G564">
        <v>5</v>
      </c>
      <c r="H564">
        <v>2643</v>
      </c>
      <c r="I564" t="s">
        <v>81</v>
      </c>
    </row>
    <row r="565" spans="2:9" x14ac:dyDescent="0.25">
      <c r="B565" t="s">
        <v>660</v>
      </c>
      <c r="C565" t="s">
        <v>1020</v>
      </c>
      <c r="D565" t="s">
        <v>21</v>
      </c>
      <c r="E565" s="7">
        <v>45880</v>
      </c>
      <c r="F565" t="s">
        <v>58</v>
      </c>
      <c r="G565">
        <v>9</v>
      </c>
      <c r="H565">
        <v>2728</v>
      </c>
      <c r="I565" t="s">
        <v>84</v>
      </c>
    </row>
    <row r="566" spans="2:9" x14ac:dyDescent="0.25">
      <c r="B566" t="s">
        <v>661</v>
      </c>
      <c r="C566" t="s">
        <v>1012</v>
      </c>
      <c r="D566" t="s">
        <v>11</v>
      </c>
      <c r="E566" s="7">
        <v>45699</v>
      </c>
      <c r="F566" t="s">
        <v>58</v>
      </c>
      <c r="G566">
        <v>2</v>
      </c>
      <c r="H566">
        <v>3079</v>
      </c>
      <c r="I566" t="s">
        <v>76</v>
      </c>
    </row>
    <row r="567" spans="2:9" x14ac:dyDescent="0.25">
      <c r="B567" t="s">
        <v>662</v>
      </c>
      <c r="C567" t="s">
        <v>1018</v>
      </c>
      <c r="D567" t="s">
        <v>14</v>
      </c>
      <c r="E567" s="7">
        <v>45904</v>
      </c>
      <c r="F567" t="s">
        <v>58</v>
      </c>
      <c r="G567">
        <v>6</v>
      </c>
      <c r="H567">
        <v>2034</v>
      </c>
      <c r="I567" t="s">
        <v>81</v>
      </c>
    </row>
    <row r="568" spans="2:9" x14ac:dyDescent="0.25">
      <c r="B568" t="s">
        <v>663</v>
      </c>
      <c r="C568" t="s">
        <v>1008</v>
      </c>
      <c r="D568" t="s">
        <v>19</v>
      </c>
      <c r="E568" s="7">
        <v>45813</v>
      </c>
      <c r="F568" t="s">
        <v>58</v>
      </c>
      <c r="G568">
        <v>1</v>
      </c>
      <c r="H568">
        <v>4236</v>
      </c>
      <c r="I568" t="s">
        <v>84</v>
      </c>
    </row>
    <row r="569" spans="2:9" x14ac:dyDescent="0.25">
      <c r="B569" t="s">
        <v>664</v>
      </c>
      <c r="C569" t="s">
        <v>1005</v>
      </c>
      <c r="D569" t="s">
        <v>14</v>
      </c>
      <c r="E569" s="7">
        <v>45943</v>
      </c>
      <c r="F569" t="s">
        <v>58</v>
      </c>
      <c r="G569">
        <v>5</v>
      </c>
      <c r="H569">
        <v>3200</v>
      </c>
      <c r="I569" t="s">
        <v>84</v>
      </c>
    </row>
    <row r="570" spans="2:9" x14ac:dyDescent="0.25">
      <c r="B570" t="s">
        <v>665</v>
      </c>
      <c r="C570" t="s">
        <v>1021</v>
      </c>
      <c r="D570" t="s">
        <v>27</v>
      </c>
      <c r="E570" s="7">
        <v>45774</v>
      </c>
      <c r="F570" t="s">
        <v>58</v>
      </c>
      <c r="G570">
        <v>4</v>
      </c>
      <c r="H570">
        <v>3724</v>
      </c>
      <c r="I570" t="s">
        <v>76</v>
      </c>
    </row>
    <row r="571" spans="2:9" x14ac:dyDescent="0.25">
      <c r="B571" t="s">
        <v>666</v>
      </c>
      <c r="C571" t="s">
        <v>1014</v>
      </c>
      <c r="D571" t="s">
        <v>17</v>
      </c>
      <c r="E571" s="7">
        <v>45993</v>
      </c>
      <c r="F571" t="s">
        <v>58</v>
      </c>
      <c r="G571">
        <v>3</v>
      </c>
      <c r="H571">
        <v>4457</v>
      </c>
      <c r="I571" t="s">
        <v>84</v>
      </c>
    </row>
    <row r="572" spans="2:9" x14ac:dyDescent="0.25">
      <c r="B572" t="s">
        <v>667</v>
      </c>
      <c r="C572" t="s">
        <v>1011</v>
      </c>
      <c r="D572" t="s">
        <v>11</v>
      </c>
      <c r="E572" s="7">
        <v>45966</v>
      </c>
      <c r="F572" t="s">
        <v>58</v>
      </c>
      <c r="G572">
        <v>5</v>
      </c>
      <c r="H572">
        <v>392</v>
      </c>
      <c r="I572" t="s">
        <v>84</v>
      </c>
    </row>
    <row r="573" spans="2:9" x14ac:dyDescent="0.25">
      <c r="B573" t="s">
        <v>668</v>
      </c>
      <c r="C573" t="s">
        <v>1011</v>
      </c>
      <c r="D573" t="s">
        <v>27</v>
      </c>
      <c r="E573" s="7">
        <v>45839</v>
      </c>
      <c r="F573" t="s">
        <v>58</v>
      </c>
      <c r="G573">
        <v>1</v>
      </c>
      <c r="H573">
        <v>298</v>
      </c>
      <c r="I573" t="s">
        <v>84</v>
      </c>
    </row>
    <row r="574" spans="2:9" x14ac:dyDescent="0.25">
      <c r="B574" t="s">
        <v>669</v>
      </c>
      <c r="C574" t="s">
        <v>1018</v>
      </c>
      <c r="D574" t="s">
        <v>23</v>
      </c>
      <c r="E574" s="7">
        <v>45881</v>
      </c>
      <c r="F574" t="s">
        <v>58</v>
      </c>
      <c r="G574">
        <v>10</v>
      </c>
      <c r="H574">
        <v>4302</v>
      </c>
      <c r="I574" t="s">
        <v>81</v>
      </c>
    </row>
    <row r="575" spans="2:9" x14ac:dyDescent="0.25">
      <c r="B575" t="s">
        <v>670</v>
      </c>
      <c r="C575" t="s">
        <v>1009</v>
      </c>
      <c r="D575" t="s">
        <v>19</v>
      </c>
      <c r="E575" s="7">
        <v>45703</v>
      </c>
      <c r="F575" t="s">
        <v>58</v>
      </c>
      <c r="G575">
        <v>1</v>
      </c>
      <c r="H575">
        <v>1404</v>
      </c>
      <c r="I575" t="s">
        <v>81</v>
      </c>
    </row>
    <row r="576" spans="2:9" x14ac:dyDescent="0.25">
      <c r="B576" t="s">
        <v>671</v>
      </c>
      <c r="C576" t="s">
        <v>1012</v>
      </c>
      <c r="D576" t="s">
        <v>14</v>
      </c>
      <c r="E576" s="7">
        <v>45732</v>
      </c>
      <c r="F576" t="s">
        <v>58</v>
      </c>
      <c r="G576">
        <v>9</v>
      </c>
      <c r="H576">
        <v>1852</v>
      </c>
      <c r="I576" t="s">
        <v>84</v>
      </c>
    </row>
    <row r="577" spans="2:9" x14ac:dyDescent="0.25">
      <c r="B577" t="s">
        <v>672</v>
      </c>
      <c r="C577" t="s">
        <v>1007</v>
      </c>
      <c r="D577" t="s">
        <v>21</v>
      </c>
      <c r="E577" s="7">
        <v>45841</v>
      </c>
      <c r="F577" t="s">
        <v>58</v>
      </c>
      <c r="G577">
        <v>9</v>
      </c>
      <c r="H577">
        <v>4761</v>
      </c>
      <c r="I577" t="s">
        <v>84</v>
      </c>
    </row>
    <row r="578" spans="2:9" x14ac:dyDescent="0.25">
      <c r="B578" t="s">
        <v>673</v>
      </c>
      <c r="C578" t="s">
        <v>1013</v>
      </c>
      <c r="D578" t="s">
        <v>19</v>
      </c>
      <c r="E578" s="7">
        <v>45922</v>
      </c>
      <c r="F578" t="s">
        <v>58</v>
      </c>
      <c r="G578">
        <v>4</v>
      </c>
      <c r="H578">
        <v>611</v>
      </c>
      <c r="I578" t="s">
        <v>76</v>
      </c>
    </row>
    <row r="579" spans="2:9" x14ac:dyDescent="0.25">
      <c r="B579" t="s">
        <v>674</v>
      </c>
      <c r="C579" t="s">
        <v>1021</v>
      </c>
      <c r="D579" t="s">
        <v>21</v>
      </c>
      <c r="E579" s="7">
        <v>45976</v>
      </c>
      <c r="F579" t="s">
        <v>58</v>
      </c>
      <c r="G579">
        <v>3</v>
      </c>
      <c r="H579">
        <v>3616</v>
      </c>
      <c r="I579" t="s">
        <v>76</v>
      </c>
    </row>
    <row r="580" spans="2:9" x14ac:dyDescent="0.25">
      <c r="B580" t="s">
        <v>675</v>
      </c>
      <c r="C580" t="s">
        <v>1007</v>
      </c>
      <c r="D580" t="s">
        <v>19</v>
      </c>
      <c r="E580" s="7">
        <v>45727</v>
      </c>
      <c r="F580" t="s">
        <v>58</v>
      </c>
      <c r="G580">
        <v>7</v>
      </c>
      <c r="H580">
        <v>4411</v>
      </c>
      <c r="I580" t="s">
        <v>84</v>
      </c>
    </row>
    <row r="581" spans="2:9" x14ac:dyDescent="0.25">
      <c r="B581" t="s">
        <v>676</v>
      </c>
      <c r="C581" t="s">
        <v>1007</v>
      </c>
      <c r="D581" t="s">
        <v>17</v>
      </c>
      <c r="E581" s="7">
        <v>45799</v>
      </c>
      <c r="F581" t="s">
        <v>58</v>
      </c>
      <c r="G581">
        <v>3</v>
      </c>
      <c r="H581">
        <v>2425</v>
      </c>
      <c r="I581" t="s">
        <v>84</v>
      </c>
    </row>
    <row r="582" spans="2:9" x14ac:dyDescent="0.25">
      <c r="B582" t="s">
        <v>677</v>
      </c>
      <c r="C582" t="s">
        <v>1021</v>
      </c>
      <c r="D582" t="s">
        <v>23</v>
      </c>
      <c r="E582" s="7">
        <v>45718</v>
      </c>
      <c r="F582" t="s">
        <v>58</v>
      </c>
      <c r="G582">
        <v>7</v>
      </c>
      <c r="H582">
        <v>3390</v>
      </c>
      <c r="I582" t="s">
        <v>81</v>
      </c>
    </row>
    <row r="583" spans="2:9" x14ac:dyDescent="0.25">
      <c r="B583" t="s">
        <v>678</v>
      </c>
      <c r="C583" t="s">
        <v>1012</v>
      </c>
      <c r="D583" t="s">
        <v>17</v>
      </c>
      <c r="E583" s="7">
        <v>45933</v>
      </c>
      <c r="F583" t="s">
        <v>58</v>
      </c>
      <c r="G583">
        <v>2</v>
      </c>
      <c r="H583">
        <v>1908</v>
      </c>
      <c r="I583" t="s">
        <v>76</v>
      </c>
    </row>
    <row r="584" spans="2:9" x14ac:dyDescent="0.25">
      <c r="B584" t="s">
        <v>679</v>
      </c>
      <c r="C584" t="s">
        <v>1005</v>
      </c>
      <c r="D584" t="s">
        <v>21</v>
      </c>
      <c r="E584" s="7">
        <v>45827</v>
      </c>
      <c r="F584" t="s">
        <v>58</v>
      </c>
      <c r="G584">
        <v>1</v>
      </c>
      <c r="H584">
        <v>3869</v>
      </c>
      <c r="I584" t="s">
        <v>76</v>
      </c>
    </row>
    <row r="585" spans="2:9" x14ac:dyDescent="0.25">
      <c r="B585" t="s">
        <v>680</v>
      </c>
      <c r="C585" t="s">
        <v>1006</v>
      </c>
      <c r="D585" t="s">
        <v>19</v>
      </c>
      <c r="E585" s="7">
        <v>45962</v>
      </c>
      <c r="F585" t="s">
        <v>58</v>
      </c>
      <c r="G585">
        <v>6</v>
      </c>
      <c r="H585">
        <v>4031</v>
      </c>
      <c r="I585" t="s">
        <v>81</v>
      </c>
    </row>
    <row r="586" spans="2:9" x14ac:dyDescent="0.25">
      <c r="B586" t="s">
        <v>681</v>
      </c>
      <c r="C586" t="s">
        <v>1007</v>
      </c>
      <c r="D586" t="s">
        <v>19</v>
      </c>
      <c r="E586" s="7">
        <v>45939</v>
      </c>
      <c r="F586" t="s">
        <v>58</v>
      </c>
      <c r="G586">
        <v>3</v>
      </c>
      <c r="H586">
        <v>3456</v>
      </c>
      <c r="I586" t="s">
        <v>84</v>
      </c>
    </row>
    <row r="587" spans="2:9" x14ac:dyDescent="0.25">
      <c r="B587" t="s">
        <v>682</v>
      </c>
      <c r="C587" t="s">
        <v>1008</v>
      </c>
      <c r="D587" t="s">
        <v>19</v>
      </c>
      <c r="E587" s="7">
        <v>45877</v>
      </c>
      <c r="F587" t="s">
        <v>58</v>
      </c>
      <c r="G587">
        <v>1</v>
      </c>
      <c r="H587">
        <v>2041</v>
      </c>
      <c r="I587" t="s">
        <v>76</v>
      </c>
    </row>
    <row r="588" spans="2:9" x14ac:dyDescent="0.25">
      <c r="B588" t="s">
        <v>683</v>
      </c>
      <c r="C588" t="s">
        <v>1022</v>
      </c>
      <c r="D588" t="s">
        <v>21</v>
      </c>
      <c r="E588" s="7">
        <v>45881</v>
      </c>
      <c r="F588" t="s">
        <v>58</v>
      </c>
      <c r="G588">
        <v>5</v>
      </c>
      <c r="H588">
        <v>1003</v>
      </c>
      <c r="I588" t="s">
        <v>81</v>
      </c>
    </row>
    <row r="589" spans="2:9" x14ac:dyDescent="0.25">
      <c r="B589" t="s">
        <v>684</v>
      </c>
      <c r="C589" t="s">
        <v>1007</v>
      </c>
      <c r="D589" t="s">
        <v>23</v>
      </c>
      <c r="E589" s="7">
        <v>45833</v>
      </c>
      <c r="F589" t="s">
        <v>58</v>
      </c>
      <c r="G589">
        <v>9</v>
      </c>
      <c r="H589">
        <v>394</v>
      </c>
      <c r="I589" t="s">
        <v>76</v>
      </c>
    </row>
    <row r="590" spans="2:9" x14ac:dyDescent="0.25">
      <c r="B590" t="s">
        <v>685</v>
      </c>
      <c r="C590" t="s">
        <v>1020</v>
      </c>
      <c r="D590" t="s">
        <v>17</v>
      </c>
      <c r="E590" s="7">
        <v>45733</v>
      </c>
      <c r="F590" t="s">
        <v>58</v>
      </c>
      <c r="G590">
        <v>4</v>
      </c>
      <c r="H590">
        <v>1588</v>
      </c>
      <c r="I590" t="s">
        <v>84</v>
      </c>
    </row>
    <row r="591" spans="2:9" x14ac:dyDescent="0.25">
      <c r="B591" t="s">
        <v>686</v>
      </c>
      <c r="C591" t="s">
        <v>1016</v>
      </c>
      <c r="D591" t="s">
        <v>27</v>
      </c>
      <c r="E591" s="7">
        <v>45660</v>
      </c>
      <c r="F591" t="s">
        <v>58</v>
      </c>
      <c r="G591">
        <v>2</v>
      </c>
      <c r="H591">
        <v>4791</v>
      </c>
      <c r="I591" t="s">
        <v>76</v>
      </c>
    </row>
    <row r="592" spans="2:9" x14ac:dyDescent="0.25">
      <c r="B592" t="s">
        <v>687</v>
      </c>
      <c r="C592" t="s">
        <v>1012</v>
      </c>
      <c r="D592" t="s">
        <v>17</v>
      </c>
      <c r="E592" s="7">
        <v>45768</v>
      </c>
      <c r="F592" t="s">
        <v>58</v>
      </c>
      <c r="G592">
        <v>10</v>
      </c>
      <c r="H592">
        <v>1572</v>
      </c>
      <c r="I592" t="s">
        <v>84</v>
      </c>
    </row>
    <row r="593" spans="2:9" x14ac:dyDescent="0.25">
      <c r="B593" t="s">
        <v>688</v>
      </c>
      <c r="C593" t="s">
        <v>1013</v>
      </c>
      <c r="D593" t="s">
        <v>19</v>
      </c>
      <c r="E593" s="7">
        <v>45668</v>
      </c>
      <c r="F593" t="s">
        <v>58</v>
      </c>
      <c r="G593">
        <v>6</v>
      </c>
      <c r="H593">
        <v>2255</v>
      </c>
      <c r="I593" t="s">
        <v>81</v>
      </c>
    </row>
    <row r="594" spans="2:9" x14ac:dyDescent="0.25">
      <c r="B594" t="s">
        <v>689</v>
      </c>
      <c r="C594" t="s">
        <v>1009</v>
      </c>
      <c r="D594" t="s">
        <v>11</v>
      </c>
      <c r="E594" s="7">
        <v>46017</v>
      </c>
      <c r="F594" t="s">
        <v>58</v>
      </c>
      <c r="G594">
        <v>4</v>
      </c>
      <c r="H594">
        <v>3544</v>
      </c>
      <c r="I594" t="s">
        <v>84</v>
      </c>
    </row>
    <row r="595" spans="2:9" x14ac:dyDescent="0.25">
      <c r="B595" t="s">
        <v>690</v>
      </c>
      <c r="C595" t="s">
        <v>1018</v>
      </c>
      <c r="D595" t="s">
        <v>19</v>
      </c>
      <c r="E595" s="7">
        <v>45854</v>
      </c>
      <c r="F595" t="s">
        <v>58</v>
      </c>
      <c r="G595">
        <v>8</v>
      </c>
      <c r="H595">
        <v>976</v>
      </c>
      <c r="I595" t="s">
        <v>76</v>
      </c>
    </row>
    <row r="596" spans="2:9" x14ac:dyDescent="0.25">
      <c r="B596" t="s">
        <v>691</v>
      </c>
      <c r="C596" t="s">
        <v>1005</v>
      </c>
      <c r="D596" t="s">
        <v>14</v>
      </c>
      <c r="E596" s="7">
        <v>45763</v>
      </c>
      <c r="F596" t="s">
        <v>58</v>
      </c>
      <c r="G596">
        <v>10</v>
      </c>
      <c r="H596">
        <v>1374</v>
      </c>
      <c r="I596" t="s">
        <v>81</v>
      </c>
    </row>
    <row r="597" spans="2:9" x14ac:dyDescent="0.25">
      <c r="B597" t="s">
        <v>692</v>
      </c>
      <c r="C597" t="s">
        <v>1013</v>
      </c>
      <c r="D597" t="s">
        <v>27</v>
      </c>
      <c r="E597" s="7">
        <v>45674</v>
      </c>
      <c r="F597" t="s">
        <v>58</v>
      </c>
      <c r="G597">
        <v>9</v>
      </c>
      <c r="H597">
        <v>430</v>
      </c>
      <c r="I597" t="s">
        <v>84</v>
      </c>
    </row>
    <row r="598" spans="2:9" x14ac:dyDescent="0.25">
      <c r="B598" t="s">
        <v>693</v>
      </c>
      <c r="C598" t="s">
        <v>1013</v>
      </c>
      <c r="D598" t="s">
        <v>21</v>
      </c>
      <c r="E598" s="7">
        <v>45939</v>
      </c>
      <c r="F598" t="s">
        <v>58</v>
      </c>
      <c r="G598">
        <v>4</v>
      </c>
      <c r="H598">
        <v>140</v>
      </c>
      <c r="I598" t="s">
        <v>76</v>
      </c>
    </row>
    <row r="599" spans="2:9" x14ac:dyDescent="0.25">
      <c r="B599" t="s">
        <v>694</v>
      </c>
      <c r="C599" t="s">
        <v>1019</v>
      </c>
      <c r="D599" t="s">
        <v>21</v>
      </c>
      <c r="E599" s="7">
        <v>46012</v>
      </c>
      <c r="F599" t="s">
        <v>58</v>
      </c>
      <c r="G599">
        <v>2</v>
      </c>
      <c r="H599">
        <v>1335</v>
      </c>
      <c r="I599" t="s">
        <v>81</v>
      </c>
    </row>
    <row r="600" spans="2:9" x14ac:dyDescent="0.25">
      <c r="B600" t="s">
        <v>695</v>
      </c>
      <c r="C600" t="s">
        <v>1017</v>
      </c>
      <c r="D600" t="s">
        <v>14</v>
      </c>
      <c r="E600" s="7">
        <v>45716</v>
      </c>
      <c r="F600" t="s">
        <v>58</v>
      </c>
      <c r="G600">
        <v>7</v>
      </c>
      <c r="H600">
        <v>1186</v>
      </c>
      <c r="I600" t="s">
        <v>84</v>
      </c>
    </row>
    <row r="601" spans="2:9" x14ac:dyDescent="0.25">
      <c r="B601" t="s">
        <v>696</v>
      </c>
      <c r="C601" t="s">
        <v>1020</v>
      </c>
      <c r="D601" t="s">
        <v>14</v>
      </c>
      <c r="E601" s="7">
        <v>45762</v>
      </c>
      <c r="F601" t="s">
        <v>58</v>
      </c>
      <c r="G601">
        <v>2</v>
      </c>
      <c r="H601">
        <v>678</v>
      </c>
      <c r="I601" t="s">
        <v>84</v>
      </c>
    </row>
    <row r="602" spans="2:9" x14ac:dyDescent="0.25">
      <c r="B602" t="s">
        <v>697</v>
      </c>
      <c r="C602" t="s">
        <v>1006</v>
      </c>
      <c r="D602" t="s">
        <v>21</v>
      </c>
      <c r="E602" s="7">
        <v>45769</v>
      </c>
      <c r="F602" t="s">
        <v>58</v>
      </c>
      <c r="G602">
        <v>9</v>
      </c>
      <c r="H602">
        <v>2118</v>
      </c>
      <c r="I602" t="s">
        <v>84</v>
      </c>
    </row>
    <row r="603" spans="2:9" x14ac:dyDescent="0.25">
      <c r="B603" t="s">
        <v>698</v>
      </c>
      <c r="C603" t="s">
        <v>1020</v>
      </c>
      <c r="D603" t="s">
        <v>19</v>
      </c>
      <c r="E603" s="7">
        <v>45980</v>
      </c>
      <c r="F603" t="s">
        <v>58</v>
      </c>
      <c r="G603">
        <v>7</v>
      </c>
      <c r="H603">
        <v>1667</v>
      </c>
      <c r="I603" t="s">
        <v>81</v>
      </c>
    </row>
    <row r="604" spans="2:9" x14ac:dyDescent="0.25">
      <c r="B604" t="s">
        <v>699</v>
      </c>
      <c r="C604" t="s">
        <v>1018</v>
      </c>
      <c r="D604" t="s">
        <v>14</v>
      </c>
      <c r="E604" s="7">
        <v>45839</v>
      </c>
      <c r="F604" t="s">
        <v>58</v>
      </c>
      <c r="G604">
        <v>5</v>
      </c>
      <c r="H604">
        <v>1788</v>
      </c>
      <c r="I604" t="s">
        <v>81</v>
      </c>
    </row>
    <row r="605" spans="2:9" x14ac:dyDescent="0.25">
      <c r="B605" t="s">
        <v>700</v>
      </c>
      <c r="C605" t="s">
        <v>1006</v>
      </c>
      <c r="D605" t="s">
        <v>23</v>
      </c>
      <c r="E605" s="7">
        <v>45753</v>
      </c>
      <c r="F605" t="s">
        <v>58</v>
      </c>
      <c r="G605">
        <v>8</v>
      </c>
      <c r="H605">
        <v>3778</v>
      </c>
      <c r="I605" t="s">
        <v>76</v>
      </c>
    </row>
    <row r="606" spans="2:9" x14ac:dyDescent="0.25">
      <c r="B606" t="s">
        <v>701</v>
      </c>
      <c r="C606" t="s">
        <v>1020</v>
      </c>
      <c r="D606" t="s">
        <v>27</v>
      </c>
      <c r="E606" s="7">
        <v>45758</v>
      </c>
      <c r="F606" t="s">
        <v>58</v>
      </c>
      <c r="G606">
        <v>10</v>
      </c>
      <c r="H606">
        <v>294</v>
      </c>
      <c r="I606" t="s">
        <v>84</v>
      </c>
    </row>
    <row r="607" spans="2:9" x14ac:dyDescent="0.25">
      <c r="B607" t="s">
        <v>702</v>
      </c>
      <c r="C607" t="s">
        <v>1015</v>
      </c>
      <c r="D607" t="s">
        <v>21</v>
      </c>
      <c r="E607" s="7">
        <v>46001</v>
      </c>
      <c r="F607" t="s">
        <v>58</v>
      </c>
      <c r="G607">
        <v>6</v>
      </c>
      <c r="H607">
        <v>2749</v>
      </c>
      <c r="I607" t="s">
        <v>81</v>
      </c>
    </row>
    <row r="608" spans="2:9" x14ac:dyDescent="0.25">
      <c r="B608" t="s">
        <v>703</v>
      </c>
      <c r="C608" t="s">
        <v>1008</v>
      </c>
      <c r="D608" t="s">
        <v>23</v>
      </c>
      <c r="E608" s="7">
        <v>45708</v>
      </c>
      <c r="F608" t="s">
        <v>58</v>
      </c>
      <c r="G608">
        <v>5</v>
      </c>
      <c r="H608">
        <v>3958</v>
      </c>
      <c r="I608" t="s">
        <v>84</v>
      </c>
    </row>
    <row r="609" spans="2:9" x14ac:dyDescent="0.25">
      <c r="B609" t="s">
        <v>704</v>
      </c>
      <c r="C609" t="s">
        <v>1014</v>
      </c>
      <c r="D609" t="s">
        <v>23</v>
      </c>
      <c r="E609" s="7">
        <v>45979</v>
      </c>
      <c r="F609" t="s">
        <v>58</v>
      </c>
      <c r="G609">
        <v>8</v>
      </c>
      <c r="H609">
        <v>546</v>
      </c>
      <c r="I609" t="s">
        <v>84</v>
      </c>
    </row>
    <row r="610" spans="2:9" x14ac:dyDescent="0.25">
      <c r="B610" t="s">
        <v>705</v>
      </c>
      <c r="C610" t="s">
        <v>1022</v>
      </c>
      <c r="D610" t="s">
        <v>17</v>
      </c>
      <c r="E610" s="7">
        <v>45721</v>
      </c>
      <c r="F610" t="s">
        <v>58</v>
      </c>
      <c r="G610">
        <v>1</v>
      </c>
      <c r="H610">
        <v>425</v>
      </c>
      <c r="I610" t="s">
        <v>84</v>
      </c>
    </row>
    <row r="611" spans="2:9" x14ac:dyDescent="0.25">
      <c r="B611" t="s">
        <v>706</v>
      </c>
      <c r="C611" t="s">
        <v>1022</v>
      </c>
      <c r="D611" t="s">
        <v>11</v>
      </c>
      <c r="E611" s="7">
        <v>45984</v>
      </c>
      <c r="F611" t="s">
        <v>58</v>
      </c>
      <c r="G611">
        <v>1</v>
      </c>
      <c r="H611">
        <v>379</v>
      </c>
      <c r="I611" t="s">
        <v>81</v>
      </c>
    </row>
    <row r="612" spans="2:9" x14ac:dyDescent="0.25">
      <c r="B612" t="s">
        <v>707</v>
      </c>
      <c r="C612" t="s">
        <v>1013</v>
      </c>
      <c r="D612" t="s">
        <v>27</v>
      </c>
      <c r="E612" s="7">
        <v>45872</v>
      </c>
      <c r="F612" t="s">
        <v>58</v>
      </c>
      <c r="G612">
        <v>2</v>
      </c>
      <c r="H612">
        <v>3492</v>
      </c>
      <c r="I612" t="s">
        <v>76</v>
      </c>
    </row>
    <row r="613" spans="2:9" x14ac:dyDescent="0.25">
      <c r="B613" t="s">
        <v>708</v>
      </c>
      <c r="C613" t="s">
        <v>1005</v>
      </c>
      <c r="D613" t="s">
        <v>21</v>
      </c>
      <c r="E613" s="7">
        <v>45863</v>
      </c>
      <c r="F613" t="s">
        <v>58</v>
      </c>
      <c r="G613">
        <v>6</v>
      </c>
      <c r="H613">
        <v>1722</v>
      </c>
      <c r="I613" t="s">
        <v>81</v>
      </c>
    </row>
    <row r="614" spans="2:9" x14ac:dyDescent="0.25">
      <c r="B614" t="s">
        <v>709</v>
      </c>
      <c r="C614" t="s">
        <v>1004</v>
      </c>
      <c r="D614" t="s">
        <v>21</v>
      </c>
      <c r="E614" s="7">
        <v>45965</v>
      </c>
      <c r="F614" t="s">
        <v>58</v>
      </c>
      <c r="G614">
        <v>4</v>
      </c>
      <c r="H614">
        <v>3292</v>
      </c>
      <c r="I614" t="s">
        <v>76</v>
      </c>
    </row>
    <row r="615" spans="2:9" x14ac:dyDescent="0.25">
      <c r="B615" t="s">
        <v>710</v>
      </c>
      <c r="C615" t="s">
        <v>1006</v>
      </c>
      <c r="D615" t="s">
        <v>17</v>
      </c>
      <c r="E615" s="7">
        <v>45750</v>
      </c>
      <c r="F615" t="s">
        <v>58</v>
      </c>
      <c r="G615">
        <v>6</v>
      </c>
      <c r="H615">
        <v>315</v>
      </c>
      <c r="I615" t="s">
        <v>81</v>
      </c>
    </row>
    <row r="616" spans="2:9" x14ac:dyDescent="0.25">
      <c r="B616" t="s">
        <v>711</v>
      </c>
      <c r="C616" t="s">
        <v>1007</v>
      </c>
      <c r="D616" t="s">
        <v>17</v>
      </c>
      <c r="E616" s="7">
        <v>45874</v>
      </c>
      <c r="F616" t="s">
        <v>58</v>
      </c>
      <c r="G616">
        <v>7</v>
      </c>
      <c r="H616">
        <v>1169</v>
      </c>
      <c r="I616" t="s">
        <v>76</v>
      </c>
    </row>
    <row r="617" spans="2:9" x14ac:dyDescent="0.25">
      <c r="B617" t="s">
        <v>712</v>
      </c>
      <c r="C617" t="s">
        <v>1015</v>
      </c>
      <c r="D617" t="s">
        <v>21</v>
      </c>
      <c r="E617" s="7">
        <v>45685</v>
      </c>
      <c r="F617" t="s">
        <v>58</v>
      </c>
      <c r="G617">
        <v>5</v>
      </c>
      <c r="H617">
        <v>3104</v>
      </c>
      <c r="I617" t="s">
        <v>81</v>
      </c>
    </row>
    <row r="618" spans="2:9" x14ac:dyDescent="0.25">
      <c r="B618" t="s">
        <v>713</v>
      </c>
      <c r="C618" t="s">
        <v>1005</v>
      </c>
      <c r="D618" t="s">
        <v>19</v>
      </c>
      <c r="E618" s="7">
        <v>45939</v>
      </c>
      <c r="F618" t="s">
        <v>58</v>
      </c>
      <c r="G618">
        <v>3</v>
      </c>
      <c r="H618">
        <v>4691</v>
      </c>
      <c r="I618" t="s">
        <v>76</v>
      </c>
    </row>
    <row r="619" spans="2:9" x14ac:dyDescent="0.25">
      <c r="B619" t="s">
        <v>714</v>
      </c>
      <c r="C619" t="s">
        <v>1008</v>
      </c>
      <c r="D619" t="s">
        <v>17</v>
      </c>
      <c r="E619" s="7">
        <v>45938</v>
      </c>
      <c r="F619" t="s">
        <v>58</v>
      </c>
      <c r="G619">
        <v>3</v>
      </c>
      <c r="H619">
        <v>3337</v>
      </c>
      <c r="I619" t="s">
        <v>76</v>
      </c>
    </row>
    <row r="620" spans="2:9" x14ac:dyDescent="0.25">
      <c r="B620" t="s">
        <v>715</v>
      </c>
      <c r="C620" t="s">
        <v>1009</v>
      </c>
      <c r="D620" t="s">
        <v>21</v>
      </c>
      <c r="E620" s="7">
        <v>45927</v>
      </c>
      <c r="F620" t="s">
        <v>58</v>
      </c>
      <c r="G620">
        <v>4</v>
      </c>
      <c r="H620">
        <v>2749</v>
      </c>
      <c r="I620" t="s">
        <v>81</v>
      </c>
    </row>
    <row r="621" spans="2:9" x14ac:dyDescent="0.25">
      <c r="B621" t="s">
        <v>716</v>
      </c>
      <c r="C621" t="s">
        <v>1017</v>
      </c>
      <c r="D621" t="s">
        <v>27</v>
      </c>
      <c r="E621" s="7">
        <v>46018</v>
      </c>
      <c r="F621" t="s">
        <v>58</v>
      </c>
      <c r="G621">
        <v>8</v>
      </c>
      <c r="H621">
        <v>488</v>
      </c>
      <c r="I621" t="s">
        <v>81</v>
      </c>
    </row>
    <row r="622" spans="2:9" x14ac:dyDescent="0.25">
      <c r="B622" t="s">
        <v>717</v>
      </c>
      <c r="C622" t="s">
        <v>1010</v>
      </c>
      <c r="D622" t="s">
        <v>21</v>
      </c>
      <c r="E622" s="7">
        <v>45951</v>
      </c>
      <c r="F622" t="s">
        <v>58</v>
      </c>
      <c r="G622">
        <v>9</v>
      </c>
      <c r="H622">
        <v>420</v>
      </c>
      <c r="I622" t="s">
        <v>84</v>
      </c>
    </row>
    <row r="623" spans="2:9" x14ac:dyDescent="0.25">
      <c r="B623" t="s">
        <v>718</v>
      </c>
      <c r="C623" t="s">
        <v>1010</v>
      </c>
      <c r="D623" t="s">
        <v>23</v>
      </c>
      <c r="E623" s="7">
        <v>45666</v>
      </c>
      <c r="F623" t="s">
        <v>58</v>
      </c>
      <c r="G623">
        <v>4</v>
      </c>
      <c r="H623">
        <v>260</v>
      </c>
      <c r="I623" t="s">
        <v>84</v>
      </c>
    </row>
    <row r="624" spans="2:9" x14ac:dyDescent="0.25">
      <c r="B624" t="s">
        <v>719</v>
      </c>
      <c r="C624" t="s">
        <v>1006</v>
      </c>
      <c r="D624" t="s">
        <v>23</v>
      </c>
      <c r="E624" s="7">
        <v>45916</v>
      </c>
      <c r="F624" t="s">
        <v>58</v>
      </c>
      <c r="G624">
        <v>6</v>
      </c>
      <c r="H624">
        <v>4028</v>
      </c>
      <c r="I624" t="s">
        <v>76</v>
      </c>
    </row>
    <row r="625" spans="2:9" x14ac:dyDescent="0.25">
      <c r="B625" t="s">
        <v>720</v>
      </c>
      <c r="C625" t="s">
        <v>1005</v>
      </c>
      <c r="D625" t="s">
        <v>21</v>
      </c>
      <c r="E625" s="7">
        <v>45681</v>
      </c>
      <c r="F625" t="s">
        <v>58</v>
      </c>
      <c r="G625">
        <v>7</v>
      </c>
      <c r="H625">
        <v>4616</v>
      </c>
      <c r="I625" t="s">
        <v>81</v>
      </c>
    </row>
    <row r="626" spans="2:9" x14ac:dyDescent="0.25">
      <c r="B626" t="s">
        <v>721</v>
      </c>
      <c r="C626" t="s">
        <v>1012</v>
      </c>
      <c r="D626" t="s">
        <v>14</v>
      </c>
      <c r="E626" s="7">
        <v>45822</v>
      </c>
      <c r="F626" t="s">
        <v>58</v>
      </c>
      <c r="G626">
        <v>6</v>
      </c>
      <c r="H626">
        <v>1218</v>
      </c>
      <c r="I626" t="s">
        <v>76</v>
      </c>
    </row>
    <row r="627" spans="2:9" x14ac:dyDescent="0.25">
      <c r="B627" t="s">
        <v>722</v>
      </c>
      <c r="C627" t="s">
        <v>1013</v>
      </c>
      <c r="D627" t="s">
        <v>19</v>
      </c>
      <c r="E627" s="7">
        <v>45938</v>
      </c>
      <c r="F627" t="s">
        <v>58</v>
      </c>
      <c r="G627">
        <v>3</v>
      </c>
      <c r="H627">
        <v>1824</v>
      </c>
      <c r="I627" t="s">
        <v>76</v>
      </c>
    </row>
    <row r="628" spans="2:9" x14ac:dyDescent="0.25">
      <c r="B628" t="s">
        <v>723</v>
      </c>
      <c r="C628" t="s">
        <v>1020</v>
      </c>
      <c r="D628" t="s">
        <v>21</v>
      </c>
      <c r="E628" s="7">
        <v>45714</v>
      </c>
      <c r="F628" t="s">
        <v>58</v>
      </c>
      <c r="G628">
        <v>4</v>
      </c>
      <c r="H628">
        <v>804</v>
      </c>
      <c r="I628" t="s">
        <v>84</v>
      </c>
    </row>
    <row r="629" spans="2:9" x14ac:dyDescent="0.25">
      <c r="B629" t="s">
        <v>724</v>
      </c>
      <c r="C629" t="s">
        <v>1021</v>
      </c>
      <c r="D629" t="s">
        <v>21</v>
      </c>
      <c r="E629" s="7">
        <v>45979</v>
      </c>
      <c r="F629" t="s">
        <v>58</v>
      </c>
      <c r="G629">
        <v>5</v>
      </c>
      <c r="H629">
        <v>1322</v>
      </c>
      <c r="I629" t="s">
        <v>81</v>
      </c>
    </row>
    <row r="630" spans="2:9" x14ac:dyDescent="0.25">
      <c r="B630" t="s">
        <v>725</v>
      </c>
      <c r="C630" t="s">
        <v>1018</v>
      </c>
      <c r="D630" t="s">
        <v>21</v>
      </c>
      <c r="E630" s="7">
        <v>45792</v>
      </c>
      <c r="F630" t="s">
        <v>58</v>
      </c>
      <c r="G630">
        <v>7</v>
      </c>
      <c r="H630">
        <v>2884</v>
      </c>
      <c r="I630" t="s">
        <v>84</v>
      </c>
    </row>
    <row r="631" spans="2:9" x14ac:dyDescent="0.25">
      <c r="B631" t="s">
        <v>726</v>
      </c>
      <c r="C631" t="s">
        <v>1011</v>
      </c>
      <c r="D631" t="s">
        <v>17</v>
      </c>
      <c r="E631" s="7">
        <v>45875</v>
      </c>
      <c r="F631" t="s">
        <v>58</v>
      </c>
      <c r="G631">
        <v>3</v>
      </c>
      <c r="H631">
        <v>3828</v>
      </c>
      <c r="I631" t="s">
        <v>76</v>
      </c>
    </row>
    <row r="632" spans="2:9" x14ac:dyDescent="0.25">
      <c r="B632" t="s">
        <v>727</v>
      </c>
      <c r="C632" t="s">
        <v>1012</v>
      </c>
      <c r="D632" t="s">
        <v>21</v>
      </c>
      <c r="E632" s="7">
        <v>45905</v>
      </c>
      <c r="F632" t="s">
        <v>58</v>
      </c>
      <c r="G632">
        <v>3</v>
      </c>
      <c r="H632">
        <v>3818</v>
      </c>
      <c r="I632" t="s">
        <v>76</v>
      </c>
    </row>
    <row r="633" spans="2:9" x14ac:dyDescent="0.25">
      <c r="B633" t="s">
        <v>728</v>
      </c>
      <c r="C633" t="s">
        <v>1017</v>
      </c>
      <c r="D633" t="s">
        <v>19</v>
      </c>
      <c r="E633" s="7">
        <v>45700</v>
      </c>
      <c r="F633" t="s">
        <v>58</v>
      </c>
      <c r="G633">
        <v>5</v>
      </c>
      <c r="H633">
        <v>1346</v>
      </c>
      <c r="I633" t="s">
        <v>81</v>
      </c>
    </row>
    <row r="634" spans="2:9" x14ac:dyDescent="0.25">
      <c r="B634" t="s">
        <v>729</v>
      </c>
      <c r="C634" t="s">
        <v>1006</v>
      </c>
      <c r="D634" t="s">
        <v>27</v>
      </c>
      <c r="E634" s="7">
        <v>45773</v>
      </c>
      <c r="F634" t="s">
        <v>58</v>
      </c>
      <c r="G634">
        <v>4</v>
      </c>
      <c r="H634">
        <v>1213</v>
      </c>
      <c r="I634" t="s">
        <v>76</v>
      </c>
    </row>
    <row r="635" spans="2:9" x14ac:dyDescent="0.25">
      <c r="B635" t="s">
        <v>730</v>
      </c>
      <c r="C635" t="s">
        <v>1014</v>
      </c>
      <c r="D635" t="s">
        <v>27</v>
      </c>
      <c r="E635" s="7">
        <v>45750</v>
      </c>
      <c r="F635" t="s">
        <v>58</v>
      </c>
      <c r="G635">
        <v>6</v>
      </c>
      <c r="H635">
        <v>2068</v>
      </c>
      <c r="I635" t="s">
        <v>84</v>
      </c>
    </row>
    <row r="636" spans="2:9" x14ac:dyDescent="0.25">
      <c r="B636" t="s">
        <v>731</v>
      </c>
      <c r="C636" t="s">
        <v>1019</v>
      </c>
      <c r="D636" t="s">
        <v>11</v>
      </c>
      <c r="E636" s="7">
        <v>45695</v>
      </c>
      <c r="F636" t="s">
        <v>58</v>
      </c>
      <c r="G636">
        <v>4</v>
      </c>
      <c r="H636">
        <v>3884</v>
      </c>
      <c r="I636" t="s">
        <v>81</v>
      </c>
    </row>
    <row r="637" spans="2:9" x14ac:dyDescent="0.25">
      <c r="B637" t="s">
        <v>732</v>
      </c>
      <c r="C637" t="s">
        <v>1020</v>
      </c>
      <c r="D637" t="s">
        <v>27</v>
      </c>
      <c r="E637" s="7">
        <v>45814</v>
      </c>
      <c r="F637" t="s">
        <v>58</v>
      </c>
      <c r="G637">
        <v>9</v>
      </c>
      <c r="H637">
        <v>487</v>
      </c>
      <c r="I637" t="s">
        <v>81</v>
      </c>
    </row>
    <row r="638" spans="2:9" x14ac:dyDescent="0.25">
      <c r="B638" t="s">
        <v>733</v>
      </c>
      <c r="C638" t="s">
        <v>1012</v>
      </c>
      <c r="D638" t="s">
        <v>21</v>
      </c>
      <c r="E638" s="7">
        <v>45950</v>
      </c>
      <c r="F638" t="s">
        <v>58</v>
      </c>
      <c r="G638">
        <v>10</v>
      </c>
      <c r="H638">
        <v>1967</v>
      </c>
      <c r="I638" t="s">
        <v>81</v>
      </c>
    </row>
    <row r="639" spans="2:9" x14ac:dyDescent="0.25">
      <c r="B639" t="s">
        <v>734</v>
      </c>
      <c r="C639" t="s">
        <v>1011</v>
      </c>
      <c r="D639" t="s">
        <v>11</v>
      </c>
      <c r="E639" s="7">
        <v>45775</v>
      </c>
      <c r="F639" t="s">
        <v>58</v>
      </c>
      <c r="G639">
        <v>6</v>
      </c>
      <c r="H639">
        <v>2304</v>
      </c>
      <c r="I639" t="s">
        <v>81</v>
      </c>
    </row>
    <row r="640" spans="2:9" x14ac:dyDescent="0.25">
      <c r="B640" t="s">
        <v>735</v>
      </c>
      <c r="C640" t="s">
        <v>1020</v>
      </c>
      <c r="D640" t="s">
        <v>14</v>
      </c>
      <c r="E640" s="7">
        <v>45997</v>
      </c>
      <c r="F640" t="s">
        <v>58</v>
      </c>
      <c r="G640">
        <v>1</v>
      </c>
      <c r="H640">
        <v>1783</v>
      </c>
      <c r="I640" t="s">
        <v>76</v>
      </c>
    </row>
    <row r="641" spans="2:9" x14ac:dyDescent="0.25">
      <c r="B641" t="s">
        <v>736</v>
      </c>
      <c r="C641" t="s">
        <v>1008</v>
      </c>
      <c r="D641" t="s">
        <v>11</v>
      </c>
      <c r="E641" s="7">
        <v>45866</v>
      </c>
      <c r="F641" t="s">
        <v>58</v>
      </c>
      <c r="G641">
        <v>1</v>
      </c>
      <c r="H641">
        <v>4503</v>
      </c>
      <c r="I641" t="s">
        <v>81</v>
      </c>
    </row>
    <row r="642" spans="2:9" x14ac:dyDescent="0.25">
      <c r="B642" t="s">
        <v>737</v>
      </c>
      <c r="C642" t="s">
        <v>1017</v>
      </c>
      <c r="D642" t="s">
        <v>23</v>
      </c>
      <c r="E642" s="7">
        <v>45894</v>
      </c>
      <c r="F642" t="s">
        <v>58</v>
      </c>
      <c r="G642">
        <v>8</v>
      </c>
      <c r="H642">
        <v>941</v>
      </c>
      <c r="I642" t="s">
        <v>84</v>
      </c>
    </row>
    <row r="643" spans="2:9" x14ac:dyDescent="0.25">
      <c r="B643" t="s">
        <v>738</v>
      </c>
      <c r="C643" t="s">
        <v>1019</v>
      </c>
      <c r="D643" t="s">
        <v>21</v>
      </c>
      <c r="E643" s="7">
        <v>45804</v>
      </c>
      <c r="F643" t="s">
        <v>58</v>
      </c>
      <c r="G643">
        <v>4</v>
      </c>
      <c r="H643">
        <v>332</v>
      </c>
      <c r="I643" t="s">
        <v>84</v>
      </c>
    </row>
    <row r="644" spans="2:9" x14ac:dyDescent="0.25">
      <c r="B644" t="s">
        <v>739</v>
      </c>
      <c r="C644" t="s">
        <v>1021</v>
      </c>
      <c r="D644" t="s">
        <v>14</v>
      </c>
      <c r="E644" s="7">
        <v>45995</v>
      </c>
      <c r="F644" t="s">
        <v>58</v>
      </c>
      <c r="G644">
        <v>6</v>
      </c>
      <c r="H644">
        <v>3273</v>
      </c>
      <c r="I644" t="s">
        <v>84</v>
      </c>
    </row>
    <row r="645" spans="2:9" x14ac:dyDescent="0.25">
      <c r="B645" t="s">
        <v>740</v>
      </c>
      <c r="C645" t="s">
        <v>1008</v>
      </c>
      <c r="D645" t="s">
        <v>19</v>
      </c>
      <c r="E645" s="7">
        <v>45681</v>
      </c>
      <c r="F645" t="s">
        <v>58</v>
      </c>
      <c r="G645">
        <v>4</v>
      </c>
      <c r="H645">
        <v>4210</v>
      </c>
      <c r="I645" t="s">
        <v>81</v>
      </c>
    </row>
    <row r="646" spans="2:9" x14ac:dyDescent="0.25">
      <c r="B646" t="s">
        <v>741</v>
      </c>
      <c r="C646" t="s">
        <v>1020</v>
      </c>
      <c r="D646" t="s">
        <v>11</v>
      </c>
      <c r="E646" s="7">
        <v>45792</v>
      </c>
      <c r="F646" t="s">
        <v>58</v>
      </c>
      <c r="G646">
        <v>2</v>
      </c>
      <c r="H646">
        <v>3895</v>
      </c>
      <c r="I646" t="s">
        <v>76</v>
      </c>
    </row>
    <row r="647" spans="2:9" x14ac:dyDescent="0.25">
      <c r="B647" t="s">
        <v>742</v>
      </c>
      <c r="C647" t="s">
        <v>1015</v>
      </c>
      <c r="D647" t="s">
        <v>21</v>
      </c>
      <c r="E647" s="7">
        <v>45715</v>
      </c>
      <c r="F647" t="s">
        <v>58</v>
      </c>
      <c r="G647">
        <v>4</v>
      </c>
      <c r="H647">
        <v>1913</v>
      </c>
      <c r="I647" t="s">
        <v>84</v>
      </c>
    </row>
    <row r="648" spans="2:9" x14ac:dyDescent="0.25">
      <c r="B648" t="s">
        <v>743</v>
      </c>
      <c r="C648" t="s">
        <v>1016</v>
      </c>
      <c r="D648" t="s">
        <v>21</v>
      </c>
      <c r="E648" s="7">
        <v>45897</v>
      </c>
      <c r="F648" t="s">
        <v>58</v>
      </c>
      <c r="G648">
        <v>3</v>
      </c>
      <c r="H648">
        <v>4151</v>
      </c>
      <c r="I648" t="s">
        <v>84</v>
      </c>
    </row>
    <row r="649" spans="2:9" x14ac:dyDescent="0.25">
      <c r="B649" t="s">
        <v>744</v>
      </c>
      <c r="C649" t="s">
        <v>1017</v>
      </c>
      <c r="D649" t="s">
        <v>23</v>
      </c>
      <c r="E649" s="7">
        <v>45861</v>
      </c>
      <c r="F649" t="s">
        <v>58</v>
      </c>
      <c r="G649">
        <v>10</v>
      </c>
      <c r="H649">
        <v>387</v>
      </c>
      <c r="I649" t="s">
        <v>76</v>
      </c>
    </row>
    <row r="650" spans="2:9" x14ac:dyDescent="0.25">
      <c r="B650" t="s">
        <v>745</v>
      </c>
      <c r="C650" t="s">
        <v>1007</v>
      </c>
      <c r="D650" t="s">
        <v>14</v>
      </c>
      <c r="E650" s="7">
        <v>45918</v>
      </c>
      <c r="F650" t="s">
        <v>58</v>
      </c>
      <c r="G650">
        <v>2</v>
      </c>
      <c r="H650">
        <v>1646</v>
      </c>
      <c r="I650" t="s">
        <v>76</v>
      </c>
    </row>
    <row r="651" spans="2:9" x14ac:dyDescent="0.25">
      <c r="B651" t="s">
        <v>746</v>
      </c>
      <c r="C651" t="s">
        <v>1015</v>
      </c>
      <c r="D651" t="s">
        <v>17</v>
      </c>
      <c r="E651" s="7">
        <v>45750</v>
      </c>
      <c r="F651" t="s">
        <v>58</v>
      </c>
      <c r="G651">
        <v>9</v>
      </c>
      <c r="H651">
        <v>2843</v>
      </c>
      <c r="I651" t="s">
        <v>76</v>
      </c>
    </row>
    <row r="652" spans="2:9" x14ac:dyDescent="0.25">
      <c r="B652" t="s">
        <v>747</v>
      </c>
      <c r="C652" t="s">
        <v>1005</v>
      </c>
      <c r="D652" t="s">
        <v>17</v>
      </c>
      <c r="E652" s="7">
        <v>45954</v>
      </c>
      <c r="F652" t="s">
        <v>58</v>
      </c>
      <c r="G652">
        <v>4</v>
      </c>
      <c r="H652">
        <v>214</v>
      </c>
      <c r="I652" t="s">
        <v>84</v>
      </c>
    </row>
    <row r="653" spans="2:9" x14ac:dyDescent="0.25">
      <c r="B653" t="s">
        <v>748</v>
      </c>
      <c r="C653" t="s">
        <v>1004</v>
      </c>
      <c r="D653" t="s">
        <v>11</v>
      </c>
      <c r="E653" s="7">
        <v>45955</v>
      </c>
      <c r="F653" t="s">
        <v>58</v>
      </c>
      <c r="G653">
        <v>2</v>
      </c>
      <c r="H653">
        <v>3774</v>
      </c>
      <c r="I653" t="s">
        <v>84</v>
      </c>
    </row>
    <row r="654" spans="2:9" x14ac:dyDescent="0.25">
      <c r="B654" t="s">
        <v>749</v>
      </c>
      <c r="C654" t="s">
        <v>1022</v>
      </c>
      <c r="D654" t="s">
        <v>27</v>
      </c>
      <c r="E654" s="7">
        <v>45754</v>
      </c>
      <c r="F654" t="s">
        <v>58</v>
      </c>
      <c r="G654">
        <v>4</v>
      </c>
      <c r="H654">
        <v>4934</v>
      </c>
      <c r="I654" t="s">
        <v>81</v>
      </c>
    </row>
    <row r="655" spans="2:9" x14ac:dyDescent="0.25">
      <c r="B655" t="s">
        <v>750</v>
      </c>
      <c r="C655" t="s">
        <v>1018</v>
      </c>
      <c r="D655" t="s">
        <v>23</v>
      </c>
      <c r="E655" s="7">
        <v>45849</v>
      </c>
      <c r="F655" t="s">
        <v>58</v>
      </c>
      <c r="G655">
        <v>1</v>
      </c>
      <c r="H655">
        <v>3900</v>
      </c>
      <c r="I655" t="s">
        <v>76</v>
      </c>
    </row>
    <row r="656" spans="2:9" x14ac:dyDescent="0.25">
      <c r="B656" t="s">
        <v>751</v>
      </c>
      <c r="C656" t="s">
        <v>1009</v>
      </c>
      <c r="D656" t="s">
        <v>11</v>
      </c>
      <c r="E656" s="7">
        <v>46011</v>
      </c>
      <c r="F656" t="s">
        <v>58</v>
      </c>
      <c r="G656">
        <v>1</v>
      </c>
      <c r="H656">
        <v>2204</v>
      </c>
      <c r="I656" t="s">
        <v>84</v>
      </c>
    </row>
    <row r="657" spans="2:9" x14ac:dyDescent="0.25">
      <c r="B657" t="s">
        <v>752</v>
      </c>
      <c r="C657" t="s">
        <v>1014</v>
      </c>
      <c r="D657" t="s">
        <v>11</v>
      </c>
      <c r="E657" s="7">
        <v>45780</v>
      </c>
      <c r="F657" t="s">
        <v>58</v>
      </c>
      <c r="G657">
        <v>2</v>
      </c>
      <c r="H657">
        <v>206</v>
      </c>
      <c r="I657" t="s">
        <v>84</v>
      </c>
    </row>
    <row r="658" spans="2:9" x14ac:dyDescent="0.25">
      <c r="B658" t="s">
        <v>753</v>
      </c>
      <c r="C658" t="s">
        <v>1005</v>
      </c>
      <c r="D658" t="s">
        <v>11</v>
      </c>
      <c r="E658" s="7">
        <v>45941</v>
      </c>
      <c r="F658" t="s">
        <v>58</v>
      </c>
      <c r="G658">
        <v>8</v>
      </c>
      <c r="H658">
        <v>4574</v>
      </c>
      <c r="I658" t="s">
        <v>84</v>
      </c>
    </row>
    <row r="659" spans="2:9" x14ac:dyDescent="0.25">
      <c r="B659" t="s">
        <v>754</v>
      </c>
      <c r="C659" t="s">
        <v>1015</v>
      </c>
      <c r="D659" t="s">
        <v>23</v>
      </c>
      <c r="E659" s="7">
        <v>45831</v>
      </c>
      <c r="F659" t="s">
        <v>58</v>
      </c>
      <c r="G659">
        <v>3</v>
      </c>
      <c r="H659">
        <v>883</v>
      </c>
      <c r="I659" t="s">
        <v>84</v>
      </c>
    </row>
    <row r="660" spans="2:9" x14ac:dyDescent="0.25">
      <c r="B660" t="s">
        <v>755</v>
      </c>
      <c r="C660" t="s">
        <v>1008</v>
      </c>
      <c r="D660" t="s">
        <v>21</v>
      </c>
      <c r="E660" s="7">
        <v>45979</v>
      </c>
      <c r="F660" t="s">
        <v>58</v>
      </c>
      <c r="G660">
        <v>8</v>
      </c>
      <c r="H660">
        <v>935</v>
      </c>
      <c r="I660" t="s">
        <v>84</v>
      </c>
    </row>
    <row r="661" spans="2:9" x14ac:dyDescent="0.25">
      <c r="B661" t="s">
        <v>756</v>
      </c>
      <c r="C661" t="s">
        <v>1021</v>
      </c>
      <c r="D661" t="s">
        <v>17</v>
      </c>
      <c r="E661" s="7">
        <v>45672</v>
      </c>
      <c r="F661" t="s">
        <v>58</v>
      </c>
      <c r="G661">
        <v>4</v>
      </c>
      <c r="H661">
        <v>424</v>
      </c>
      <c r="I661" t="s">
        <v>76</v>
      </c>
    </row>
    <row r="662" spans="2:9" x14ac:dyDescent="0.25">
      <c r="B662" t="s">
        <v>757</v>
      </c>
      <c r="C662" t="s">
        <v>1008</v>
      </c>
      <c r="D662" t="s">
        <v>21</v>
      </c>
      <c r="E662" s="7">
        <v>45933</v>
      </c>
      <c r="F662" t="s">
        <v>58</v>
      </c>
      <c r="G662">
        <v>9</v>
      </c>
      <c r="H662">
        <v>1346</v>
      </c>
      <c r="I662" t="s">
        <v>81</v>
      </c>
    </row>
    <row r="663" spans="2:9" x14ac:dyDescent="0.25">
      <c r="B663" t="s">
        <v>758</v>
      </c>
      <c r="C663" t="s">
        <v>1011</v>
      </c>
      <c r="D663" t="s">
        <v>11</v>
      </c>
      <c r="E663" s="7">
        <v>45913</v>
      </c>
      <c r="F663" t="s">
        <v>58</v>
      </c>
      <c r="G663">
        <v>9</v>
      </c>
      <c r="H663">
        <v>4531</v>
      </c>
      <c r="I663" t="s">
        <v>84</v>
      </c>
    </row>
    <row r="664" spans="2:9" x14ac:dyDescent="0.25">
      <c r="B664" t="s">
        <v>759</v>
      </c>
      <c r="C664" t="s">
        <v>1018</v>
      </c>
      <c r="D664" t="s">
        <v>27</v>
      </c>
      <c r="E664" s="7">
        <v>45734</v>
      </c>
      <c r="F664" t="s">
        <v>58</v>
      </c>
      <c r="G664">
        <v>8</v>
      </c>
      <c r="H664">
        <v>2168</v>
      </c>
      <c r="I664" t="s">
        <v>76</v>
      </c>
    </row>
    <row r="665" spans="2:9" x14ac:dyDescent="0.25">
      <c r="B665" t="s">
        <v>760</v>
      </c>
      <c r="C665" t="s">
        <v>1015</v>
      </c>
      <c r="D665" t="s">
        <v>23</v>
      </c>
      <c r="E665" s="7">
        <v>45781</v>
      </c>
      <c r="F665" t="s">
        <v>58</v>
      </c>
      <c r="G665">
        <v>1</v>
      </c>
      <c r="H665">
        <v>225</v>
      </c>
      <c r="I665" t="s">
        <v>76</v>
      </c>
    </row>
    <row r="666" spans="2:9" x14ac:dyDescent="0.25">
      <c r="B666" t="s">
        <v>761</v>
      </c>
      <c r="C666" t="s">
        <v>1014</v>
      </c>
      <c r="D666" t="s">
        <v>11</v>
      </c>
      <c r="E666" s="7">
        <v>45700</v>
      </c>
      <c r="F666" t="s">
        <v>58</v>
      </c>
      <c r="G666">
        <v>8</v>
      </c>
      <c r="H666">
        <v>1009</v>
      </c>
      <c r="I666" t="s">
        <v>84</v>
      </c>
    </row>
    <row r="667" spans="2:9" x14ac:dyDescent="0.25">
      <c r="B667" t="s">
        <v>762</v>
      </c>
      <c r="C667" t="s">
        <v>1007</v>
      </c>
      <c r="D667" t="s">
        <v>19</v>
      </c>
      <c r="E667" s="7">
        <v>46000</v>
      </c>
      <c r="F667" t="s">
        <v>58</v>
      </c>
      <c r="G667">
        <v>10</v>
      </c>
      <c r="H667">
        <v>679</v>
      </c>
      <c r="I667" t="s">
        <v>81</v>
      </c>
    </row>
    <row r="668" spans="2:9" x14ac:dyDescent="0.25">
      <c r="B668" t="s">
        <v>763</v>
      </c>
      <c r="C668" t="s">
        <v>1022</v>
      </c>
      <c r="D668" t="s">
        <v>21</v>
      </c>
      <c r="E668" s="7">
        <v>45891</v>
      </c>
      <c r="F668" t="s">
        <v>58</v>
      </c>
      <c r="G668">
        <v>3</v>
      </c>
      <c r="H668">
        <v>1700</v>
      </c>
      <c r="I668" t="s">
        <v>76</v>
      </c>
    </row>
    <row r="669" spans="2:9" x14ac:dyDescent="0.25">
      <c r="B669" t="s">
        <v>764</v>
      </c>
      <c r="C669" t="s">
        <v>1009</v>
      </c>
      <c r="D669" t="s">
        <v>17</v>
      </c>
      <c r="E669" s="7">
        <v>45992</v>
      </c>
      <c r="F669" t="s">
        <v>58</v>
      </c>
      <c r="G669">
        <v>5</v>
      </c>
      <c r="H669">
        <v>387</v>
      </c>
      <c r="I669" t="s">
        <v>84</v>
      </c>
    </row>
    <row r="670" spans="2:9" x14ac:dyDescent="0.25">
      <c r="B670" t="s">
        <v>765</v>
      </c>
      <c r="C670" t="s">
        <v>1006</v>
      </c>
      <c r="D670" t="s">
        <v>17</v>
      </c>
      <c r="E670" s="7">
        <v>45726</v>
      </c>
      <c r="F670" t="s">
        <v>58</v>
      </c>
      <c r="G670">
        <v>9</v>
      </c>
      <c r="H670">
        <v>4340</v>
      </c>
      <c r="I670" t="s">
        <v>84</v>
      </c>
    </row>
    <row r="671" spans="2:9" x14ac:dyDescent="0.25">
      <c r="B671" t="s">
        <v>766</v>
      </c>
      <c r="C671" t="s">
        <v>1021</v>
      </c>
      <c r="D671" t="s">
        <v>21</v>
      </c>
      <c r="E671" s="7">
        <v>46004</v>
      </c>
      <c r="F671" t="s">
        <v>58</v>
      </c>
      <c r="G671">
        <v>10</v>
      </c>
      <c r="H671">
        <v>68</v>
      </c>
      <c r="I671" t="s">
        <v>81</v>
      </c>
    </row>
    <row r="672" spans="2:9" x14ac:dyDescent="0.25">
      <c r="B672" t="s">
        <v>767</v>
      </c>
      <c r="C672" t="s">
        <v>1009</v>
      </c>
      <c r="D672" t="s">
        <v>17</v>
      </c>
      <c r="E672" s="7">
        <v>45901</v>
      </c>
      <c r="F672" t="s">
        <v>58</v>
      </c>
      <c r="G672">
        <v>6</v>
      </c>
      <c r="H672">
        <v>309</v>
      </c>
      <c r="I672" t="s">
        <v>76</v>
      </c>
    </row>
    <row r="673" spans="2:9" x14ac:dyDescent="0.25">
      <c r="B673" t="s">
        <v>768</v>
      </c>
      <c r="C673" t="s">
        <v>1014</v>
      </c>
      <c r="D673" t="s">
        <v>21</v>
      </c>
      <c r="E673" s="7">
        <v>45874</v>
      </c>
      <c r="F673" t="s">
        <v>58</v>
      </c>
      <c r="G673">
        <v>9</v>
      </c>
      <c r="H673">
        <v>1689</v>
      </c>
      <c r="I673" t="s">
        <v>76</v>
      </c>
    </row>
    <row r="674" spans="2:9" x14ac:dyDescent="0.25">
      <c r="B674" t="s">
        <v>769</v>
      </c>
      <c r="C674" t="s">
        <v>1016</v>
      </c>
      <c r="D674" t="s">
        <v>11</v>
      </c>
      <c r="E674" s="7">
        <v>45988</v>
      </c>
      <c r="F674" t="s">
        <v>58</v>
      </c>
      <c r="G674">
        <v>5</v>
      </c>
      <c r="H674">
        <v>2157</v>
      </c>
      <c r="I674" t="s">
        <v>81</v>
      </c>
    </row>
    <row r="675" spans="2:9" x14ac:dyDescent="0.25">
      <c r="B675" t="s">
        <v>770</v>
      </c>
      <c r="C675" t="s">
        <v>1019</v>
      </c>
      <c r="D675" t="s">
        <v>21</v>
      </c>
      <c r="E675" s="7">
        <v>45741</v>
      </c>
      <c r="F675" t="s">
        <v>58</v>
      </c>
      <c r="G675">
        <v>1</v>
      </c>
      <c r="H675">
        <v>3477</v>
      </c>
      <c r="I675" t="s">
        <v>84</v>
      </c>
    </row>
    <row r="676" spans="2:9" x14ac:dyDescent="0.25">
      <c r="B676" t="s">
        <v>771</v>
      </c>
      <c r="C676" t="s">
        <v>1022</v>
      </c>
      <c r="D676" t="s">
        <v>11</v>
      </c>
      <c r="E676" s="7">
        <v>45702</v>
      </c>
      <c r="F676" t="s">
        <v>58</v>
      </c>
      <c r="G676">
        <v>10</v>
      </c>
      <c r="H676">
        <v>3754</v>
      </c>
      <c r="I676" t="s">
        <v>84</v>
      </c>
    </row>
    <row r="677" spans="2:9" x14ac:dyDescent="0.25">
      <c r="B677" t="s">
        <v>772</v>
      </c>
      <c r="C677" t="s">
        <v>1004</v>
      </c>
      <c r="D677" t="s">
        <v>17</v>
      </c>
      <c r="E677" s="7">
        <v>45979</v>
      </c>
      <c r="F677" t="s">
        <v>58</v>
      </c>
      <c r="G677">
        <v>6</v>
      </c>
      <c r="H677">
        <v>4908</v>
      </c>
      <c r="I677" t="s">
        <v>76</v>
      </c>
    </row>
    <row r="678" spans="2:9" x14ac:dyDescent="0.25">
      <c r="B678" t="s">
        <v>773</v>
      </c>
      <c r="C678" t="s">
        <v>1008</v>
      </c>
      <c r="D678" t="s">
        <v>14</v>
      </c>
      <c r="E678" s="7">
        <v>45937</v>
      </c>
      <c r="F678" t="s">
        <v>58</v>
      </c>
      <c r="G678">
        <v>8</v>
      </c>
      <c r="H678">
        <v>218</v>
      </c>
      <c r="I678" t="s">
        <v>84</v>
      </c>
    </row>
    <row r="679" spans="2:9" x14ac:dyDescent="0.25">
      <c r="B679" t="s">
        <v>774</v>
      </c>
      <c r="C679" t="s">
        <v>1006</v>
      </c>
      <c r="D679" t="s">
        <v>27</v>
      </c>
      <c r="E679" s="7">
        <v>45795</v>
      </c>
      <c r="F679" t="s">
        <v>58</v>
      </c>
      <c r="G679">
        <v>7</v>
      </c>
      <c r="H679">
        <v>1720</v>
      </c>
      <c r="I679" t="s">
        <v>84</v>
      </c>
    </row>
    <row r="680" spans="2:9" x14ac:dyDescent="0.25">
      <c r="B680" t="s">
        <v>775</v>
      </c>
      <c r="C680" t="s">
        <v>1005</v>
      </c>
      <c r="D680" t="s">
        <v>21</v>
      </c>
      <c r="E680" s="7">
        <v>45842</v>
      </c>
      <c r="F680" t="s">
        <v>58</v>
      </c>
      <c r="G680">
        <v>8</v>
      </c>
      <c r="H680">
        <v>2852</v>
      </c>
      <c r="I680" t="s">
        <v>84</v>
      </c>
    </row>
    <row r="681" spans="2:9" x14ac:dyDescent="0.25">
      <c r="B681" t="s">
        <v>776</v>
      </c>
      <c r="C681" t="s">
        <v>1010</v>
      </c>
      <c r="D681" t="s">
        <v>17</v>
      </c>
      <c r="E681" s="7">
        <v>45820</v>
      </c>
      <c r="F681" t="s">
        <v>58</v>
      </c>
      <c r="G681">
        <v>9</v>
      </c>
      <c r="H681">
        <v>861</v>
      </c>
      <c r="I681" t="s">
        <v>81</v>
      </c>
    </row>
    <row r="682" spans="2:9" x14ac:dyDescent="0.25">
      <c r="B682" t="s">
        <v>777</v>
      </c>
      <c r="C682" t="s">
        <v>1021</v>
      </c>
      <c r="D682" t="s">
        <v>21</v>
      </c>
      <c r="E682" s="7">
        <v>45816</v>
      </c>
      <c r="F682" t="s">
        <v>58</v>
      </c>
      <c r="G682">
        <v>1</v>
      </c>
      <c r="H682">
        <v>4282</v>
      </c>
      <c r="I682" t="s">
        <v>81</v>
      </c>
    </row>
    <row r="683" spans="2:9" x14ac:dyDescent="0.25">
      <c r="B683" t="s">
        <v>778</v>
      </c>
      <c r="C683" t="s">
        <v>1018</v>
      </c>
      <c r="D683" t="s">
        <v>19</v>
      </c>
      <c r="E683" s="7">
        <v>45768</v>
      </c>
      <c r="F683" t="s">
        <v>58</v>
      </c>
      <c r="G683">
        <v>10</v>
      </c>
      <c r="H683">
        <v>559</v>
      </c>
      <c r="I683" t="s">
        <v>76</v>
      </c>
    </row>
    <row r="684" spans="2:9" x14ac:dyDescent="0.25">
      <c r="B684" t="s">
        <v>779</v>
      </c>
      <c r="C684" t="s">
        <v>1015</v>
      </c>
      <c r="D684" t="s">
        <v>21</v>
      </c>
      <c r="E684" s="7">
        <v>45901</v>
      </c>
      <c r="F684" t="s">
        <v>58</v>
      </c>
      <c r="G684">
        <v>2</v>
      </c>
      <c r="H684">
        <v>3361</v>
      </c>
      <c r="I684" t="s">
        <v>81</v>
      </c>
    </row>
    <row r="685" spans="2:9" x14ac:dyDescent="0.25">
      <c r="B685" t="s">
        <v>780</v>
      </c>
      <c r="C685" t="s">
        <v>1021</v>
      </c>
      <c r="D685" t="s">
        <v>21</v>
      </c>
      <c r="E685" s="7">
        <v>45674</v>
      </c>
      <c r="F685" t="s">
        <v>58</v>
      </c>
      <c r="G685">
        <v>10</v>
      </c>
      <c r="H685">
        <v>288</v>
      </c>
      <c r="I685" t="s">
        <v>84</v>
      </c>
    </row>
    <row r="686" spans="2:9" x14ac:dyDescent="0.25">
      <c r="B686" t="s">
        <v>781</v>
      </c>
      <c r="C686" t="s">
        <v>1011</v>
      </c>
      <c r="D686" t="s">
        <v>23</v>
      </c>
      <c r="E686" s="7">
        <v>45870</v>
      </c>
      <c r="F686" t="s">
        <v>58</v>
      </c>
      <c r="G686">
        <v>8</v>
      </c>
      <c r="H686">
        <v>186</v>
      </c>
      <c r="I686" t="s">
        <v>76</v>
      </c>
    </row>
    <row r="687" spans="2:9" x14ac:dyDescent="0.25">
      <c r="B687" t="s">
        <v>782</v>
      </c>
      <c r="C687" t="s">
        <v>1011</v>
      </c>
      <c r="D687" t="s">
        <v>27</v>
      </c>
      <c r="E687" s="7">
        <v>45784</v>
      </c>
      <c r="F687" t="s">
        <v>58</v>
      </c>
      <c r="G687">
        <v>2</v>
      </c>
      <c r="H687">
        <v>770</v>
      </c>
      <c r="I687" t="s">
        <v>84</v>
      </c>
    </row>
    <row r="688" spans="2:9" x14ac:dyDescent="0.25">
      <c r="B688" t="s">
        <v>783</v>
      </c>
      <c r="C688" t="s">
        <v>1010</v>
      </c>
      <c r="D688" t="s">
        <v>11</v>
      </c>
      <c r="E688" s="7">
        <v>45693</v>
      </c>
      <c r="F688" t="s">
        <v>58</v>
      </c>
      <c r="G688">
        <v>6</v>
      </c>
      <c r="H688">
        <v>1080</v>
      </c>
      <c r="I688" t="s">
        <v>76</v>
      </c>
    </row>
    <row r="689" spans="2:9" x14ac:dyDescent="0.25">
      <c r="B689" t="s">
        <v>784</v>
      </c>
      <c r="C689" t="s">
        <v>1010</v>
      </c>
      <c r="D689" t="s">
        <v>21</v>
      </c>
      <c r="E689" s="7">
        <v>45722</v>
      </c>
      <c r="F689" t="s">
        <v>58</v>
      </c>
      <c r="G689">
        <v>2</v>
      </c>
      <c r="H689">
        <v>3969</v>
      </c>
      <c r="I689" t="s">
        <v>81</v>
      </c>
    </row>
    <row r="690" spans="2:9" x14ac:dyDescent="0.25">
      <c r="B690" t="s">
        <v>785</v>
      </c>
      <c r="C690" t="s">
        <v>1016</v>
      </c>
      <c r="D690" t="s">
        <v>21</v>
      </c>
      <c r="E690" s="7">
        <v>45674</v>
      </c>
      <c r="F690" t="s">
        <v>58</v>
      </c>
      <c r="G690">
        <v>10</v>
      </c>
      <c r="H690">
        <v>3650</v>
      </c>
      <c r="I690" t="s">
        <v>76</v>
      </c>
    </row>
    <row r="691" spans="2:9" x14ac:dyDescent="0.25">
      <c r="B691" t="s">
        <v>786</v>
      </c>
      <c r="C691" t="s">
        <v>1006</v>
      </c>
      <c r="D691" t="s">
        <v>17</v>
      </c>
      <c r="E691" s="7">
        <v>45813</v>
      </c>
      <c r="F691" t="s">
        <v>58</v>
      </c>
      <c r="G691">
        <v>8</v>
      </c>
      <c r="H691">
        <v>3132</v>
      </c>
      <c r="I691" t="s">
        <v>81</v>
      </c>
    </row>
    <row r="692" spans="2:9" x14ac:dyDescent="0.25">
      <c r="B692" t="s">
        <v>787</v>
      </c>
      <c r="C692" t="s">
        <v>1018</v>
      </c>
      <c r="D692" t="s">
        <v>19</v>
      </c>
      <c r="E692" s="7">
        <v>45857</v>
      </c>
      <c r="F692" t="s">
        <v>58</v>
      </c>
      <c r="G692">
        <v>2</v>
      </c>
      <c r="H692">
        <v>1767</v>
      </c>
      <c r="I692" t="s">
        <v>76</v>
      </c>
    </row>
    <row r="693" spans="2:9" x14ac:dyDescent="0.25">
      <c r="B693" t="s">
        <v>788</v>
      </c>
      <c r="C693" t="s">
        <v>1017</v>
      </c>
      <c r="D693" t="s">
        <v>17</v>
      </c>
      <c r="E693" s="7">
        <v>45875</v>
      </c>
      <c r="F693" t="s">
        <v>58</v>
      </c>
      <c r="G693">
        <v>9</v>
      </c>
      <c r="H693">
        <v>2717</v>
      </c>
      <c r="I693" t="s">
        <v>84</v>
      </c>
    </row>
    <row r="694" spans="2:9" x14ac:dyDescent="0.25">
      <c r="B694" t="s">
        <v>789</v>
      </c>
      <c r="C694" t="s">
        <v>1010</v>
      </c>
      <c r="D694" t="s">
        <v>11</v>
      </c>
      <c r="E694" s="7">
        <v>45744</v>
      </c>
      <c r="F694" t="s">
        <v>58</v>
      </c>
      <c r="G694">
        <v>10</v>
      </c>
      <c r="H694">
        <v>509</v>
      </c>
      <c r="I694" t="s">
        <v>84</v>
      </c>
    </row>
    <row r="695" spans="2:9" x14ac:dyDescent="0.25">
      <c r="B695" t="s">
        <v>790</v>
      </c>
      <c r="C695" t="s">
        <v>1019</v>
      </c>
      <c r="D695" t="s">
        <v>11</v>
      </c>
      <c r="E695" s="7">
        <v>45732</v>
      </c>
      <c r="F695" t="s">
        <v>58</v>
      </c>
      <c r="G695">
        <v>9</v>
      </c>
      <c r="H695">
        <v>3443</v>
      </c>
      <c r="I695" t="s">
        <v>81</v>
      </c>
    </row>
    <row r="696" spans="2:9" x14ac:dyDescent="0.25">
      <c r="B696" t="s">
        <v>791</v>
      </c>
      <c r="C696" t="s">
        <v>1005</v>
      </c>
      <c r="D696" t="s">
        <v>23</v>
      </c>
      <c r="E696" s="7">
        <v>45882</v>
      </c>
      <c r="F696" t="s">
        <v>58</v>
      </c>
      <c r="G696">
        <v>3</v>
      </c>
      <c r="H696">
        <v>1220</v>
      </c>
      <c r="I696" t="s">
        <v>76</v>
      </c>
    </row>
    <row r="697" spans="2:9" x14ac:dyDescent="0.25">
      <c r="B697" t="s">
        <v>792</v>
      </c>
      <c r="C697" t="s">
        <v>1019</v>
      </c>
      <c r="D697" t="s">
        <v>19</v>
      </c>
      <c r="E697" s="7">
        <v>46011</v>
      </c>
      <c r="F697" t="s">
        <v>58</v>
      </c>
      <c r="G697">
        <v>2</v>
      </c>
      <c r="H697">
        <v>2295</v>
      </c>
      <c r="I697" t="s">
        <v>81</v>
      </c>
    </row>
    <row r="698" spans="2:9" x14ac:dyDescent="0.25">
      <c r="B698" t="s">
        <v>793</v>
      </c>
      <c r="C698" t="s">
        <v>1005</v>
      </c>
      <c r="D698" t="s">
        <v>23</v>
      </c>
      <c r="E698" s="7">
        <v>45936</v>
      </c>
      <c r="F698" t="s">
        <v>58</v>
      </c>
      <c r="G698">
        <v>2</v>
      </c>
      <c r="H698">
        <v>1505</v>
      </c>
      <c r="I698" t="s">
        <v>84</v>
      </c>
    </row>
    <row r="699" spans="2:9" x14ac:dyDescent="0.25">
      <c r="B699" t="s">
        <v>794</v>
      </c>
      <c r="C699" t="s">
        <v>1016</v>
      </c>
      <c r="D699" t="s">
        <v>17</v>
      </c>
      <c r="E699" s="7">
        <v>45699</v>
      </c>
      <c r="F699" t="s">
        <v>58</v>
      </c>
      <c r="G699">
        <v>8</v>
      </c>
      <c r="H699">
        <v>2481</v>
      </c>
      <c r="I699" t="s">
        <v>84</v>
      </c>
    </row>
    <row r="700" spans="2:9" x14ac:dyDescent="0.25">
      <c r="B700" t="s">
        <v>795</v>
      </c>
      <c r="C700" t="s">
        <v>1005</v>
      </c>
      <c r="D700" t="s">
        <v>21</v>
      </c>
      <c r="E700" s="7">
        <v>46009</v>
      </c>
      <c r="F700" t="s">
        <v>58</v>
      </c>
      <c r="G700">
        <v>2</v>
      </c>
      <c r="H700">
        <v>216</v>
      </c>
      <c r="I700" t="s">
        <v>84</v>
      </c>
    </row>
    <row r="701" spans="2:9" x14ac:dyDescent="0.25">
      <c r="B701" t="s">
        <v>796</v>
      </c>
      <c r="C701" t="s">
        <v>1018</v>
      </c>
      <c r="D701" t="s">
        <v>23</v>
      </c>
      <c r="E701" s="7">
        <v>46010</v>
      </c>
      <c r="F701" t="s">
        <v>58</v>
      </c>
      <c r="G701">
        <v>6</v>
      </c>
      <c r="H701">
        <v>3478</v>
      </c>
      <c r="I701" t="s">
        <v>84</v>
      </c>
    </row>
    <row r="702" spans="2:9" x14ac:dyDescent="0.25">
      <c r="B702" t="s">
        <v>797</v>
      </c>
      <c r="C702" t="s">
        <v>1009</v>
      </c>
      <c r="D702" t="s">
        <v>19</v>
      </c>
      <c r="E702" s="7">
        <v>45847</v>
      </c>
      <c r="F702" t="s">
        <v>58</v>
      </c>
      <c r="G702">
        <v>8</v>
      </c>
      <c r="H702">
        <v>2433</v>
      </c>
      <c r="I702" t="s">
        <v>81</v>
      </c>
    </row>
    <row r="703" spans="2:9" x14ac:dyDescent="0.25">
      <c r="B703" t="s">
        <v>798</v>
      </c>
      <c r="C703" t="s">
        <v>1017</v>
      </c>
      <c r="D703" t="s">
        <v>21</v>
      </c>
      <c r="E703" s="7">
        <v>46013</v>
      </c>
      <c r="F703" t="s">
        <v>58</v>
      </c>
      <c r="G703">
        <v>8</v>
      </c>
      <c r="H703">
        <v>1024</v>
      </c>
      <c r="I703" t="s">
        <v>81</v>
      </c>
    </row>
    <row r="704" spans="2:9" x14ac:dyDescent="0.25">
      <c r="B704" t="s">
        <v>799</v>
      </c>
      <c r="C704" t="s">
        <v>1016</v>
      </c>
      <c r="D704" t="s">
        <v>14</v>
      </c>
      <c r="E704" s="7">
        <v>45752</v>
      </c>
      <c r="F704" t="s">
        <v>58</v>
      </c>
      <c r="G704">
        <v>1</v>
      </c>
      <c r="H704">
        <v>4516</v>
      </c>
      <c r="I704" t="s">
        <v>81</v>
      </c>
    </row>
    <row r="705" spans="2:9" x14ac:dyDescent="0.25">
      <c r="B705" t="s">
        <v>800</v>
      </c>
      <c r="C705" t="s">
        <v>1017</v>
      </c>
      <c r="D705" t="s">
        <v>14</v>
      </c>
      <c r="E705" s="7">
        <v>45693</v>
      </c>
      <c r="F705" t="s">
        <v>58</v>
      </c>
      <c r="G705">
        <v>1</v>
      </c>
      <c r="H705">
        <v>2065</v>
      </c>
      <c r="I705" t="s">
        <v>81</v>
      </c>
    </row>
    <row r="706" spans="2:9" x14ac:dyDescent="0.25">
      <c r="B706" t="s">
        <v>801</v>
      </c>
      <c r="C706" t="s">
        <v>1005</v>
      </c>
      <c r="D706" t="s">
        <v>11</v>
      </c>
      <c r="E706" s="7">
        <v>45698</v>
      </c>
      <c r="F706" t="s">
        <v>58</v>
      </c>
      <c r="G706">
        <v>1</v>
      </c>
      <c r="H706">
        <v>4073</v>
      </c>
      <c r="I706" t="s">
        <v>81</v>
      </c>
    </row>
    <row r="707" spans="2:9" x14ac:dyDescent="0.25">
      <c r="B707" t="s">
        <v>802</v>
      </c>
      <c r="C707" t="s">
        <v>1007</v>
      </c>
      <c r="D707" t="s">
        <v>21</v>
      </c>
      <c r="E707" s="7">
        <v>45796</v>
      </c>
      <c r="F707" t="s">
        <v>58</v>
      </c>
      <c r="G707">
        <v>3</v>
      </c>
      <c r="H707">
        <v>4831</v>
      </c>
      <c r="I707" t="s">
        <v>76</v>
      </c>
    </row>
    <row r="708" spans="2:9" x14ac:dyDescent="0.25">
      <c r="B708" t="s">
        <v>803</v>
      </c>
      <c r="C708" t="s">
        <v>1018</v>
      </c>
      <c r="D708" t="s">
        <v>21</v>
      </c>
      <c r="E708" s="7">
        <v>45721</v>
      </c>
      <c r="F708" t="s">
        <v>58</v>
      </c>
      <c r="G708">
        <v>4</v>
      </c>
      <c r="H708">
        <v>4936</v>
      </c>
      <c r="I708" t="s">
        <v>81</v>
      </c>
    </row>
    <row r="709" spans="2:9" x14ac:dyDescent="0.25">
      <c r="B709" t="s">
        <v>804</v>
      </c>
      <c r="C709" t="s">
        <v>1022</v>
      </c>
      <c r="D709" t="s">
        <v>17</v>
      </c>
      <c r="E709" s="7">
        <v>45723</v>
      </c>
      <c r="F709" t="s">
        <v>58</v>
      </c>
      <c r="G709">
        <v>3</v>
      </c>
      <c r="H709">
        <v>3815</v>
      </c>
      <c r="I709" t="s">
        <v>84</v>
      </c>
    </row>
    <row r="710" spans="2:9" x14ac:dyDescent="0.25">
      <c r="B710" t="s">
        <v>805</v>
      </c>
      <c r="C710" t="s">
        <v>1012</v>
      </c>
      <c r="D710" t="s">
        <v>14</v>
      </c>
      <c r="E710" s="7">
        <v>45666</v>
      </c>
      <c r="F710" t="s">
        <v>58</v>
      </c>
      <c r="G710">
        <v>4</v>
      </c>
      <c r="H710">
        <v>2221</v>
      </c>
      <c r="I710" t="s">
        <v>84</v>
      </c>
    </row>
    <row r="711" spans="2:9" x14ac:dyDescent="0.25">
      <c r="B711" t="s">
        <v>806</v>
      </c>
      <c r="C711" t="s">
        <v>1012</v>
      </c>
      <c r="D711" t="s">
        <v>21</v>
      </c>
      <c r="E711" s="7">
        <v>45662</v>
      </c>
      <c r="F711" t="s">
        <v>58</v>
      </c>
      <c r="G711">
        <v>4</v>
      </c>
      <c r="H711">
        <v>4719</v>
      </c>
      <c r="I711" t="s">
        <v>76</v>
      </c>
    </row>
    <row r="712" spans="2:9" x14ac:dyDescent="0.25">
      <c r="B712" t="s">
        <v>807</v>
      </c>
      <c r="C712" t="s">
        <v>1018</v>
      </c>
      <c r="D712" t="s">
        <v>17</v>
      </c>
      <c r="E712" s="7">
        <v>45794</v>
      </c>
      <c r="F712" t="s">
        <v>58</v>
      </c>
      <c r="G712">
        <v>3</v>
      </c>
      <c r="H712">
        <v>2253</v>
      </c>
      <c r="I712" t="s">
        <v>81</v>
      </c>
    </row>
    <row r="713" spans="2:9" x14ac:dyDescent="0.25">
      <c r="B713" t="s">
        <v>808</v>
      </c>
      <c r="C713" t="s">
        <v>1022</v>
      </c>
      <c r="D713" t="s">
        <v>11</v>
      </c>
      <c r="E713" s="7">
        <v>45956</v>
      </c>
      <c r="F713" t="s">
        <v>58</v>
      </c>
      <c r="G713">
        <v>2</v>
      </c>
      <c r="H713">
        <v>4526</v>
      </c>
      <c r="I713" t="s">
        <v>76</v>
      </c>
    </row>
    <row r="714" spans="2:9" x14ac:dyDescent="0.25">
      <c r="B714" t="s">
        <v>809</v>
      </c>
      <c r="C714" t="s">
        <v>1007</v>
      </c>
      <c r="D714" t="s">
        <v>21</v>
      </c>
      <c r="E714" s="7">
        <v>45695</v>
      </c>
      <c r="F714" t="s">
        <v>58</v>
      </c>
      <c r="G714">
        <v>10</v>
      </c>
      <c r="H714">
        <v>2638</v>
      </c>
      <c r="I714" t="s">
        <v>81</v>
      </c>
    </row>
    <row r="715" spans="2:9" x14ac:dyDescent="0.25">
      <c r="B715" t="s">
        <v>810</v>
      </c>
      <c r="C715" t="s">
        <v>1005</v>
      </c>
      <c r="D715" t="s">
        <v>23</v>
      </c>
      <c r="E715" s="7">
        <v>45845</v>
      </c>
      <c r="F715" t="s">
        <v>58</v>
      </c>
      <c r="G715">
        <v>5</v>
      </c>
      <c r="H715">
        <v>1466</v>
      </c>
      <c r="I715" t="s">
        <v>84</v>
      </c>
    </row>
    <row r="716" spans="2:9" x14ac:dyDescent="0.25">
      <c r="B716" t="s">
        <v>811</v>
      </c>
      <c r="C716" t="s">
        <v>1004</v>
      </c>
      <c r="D716" t="s">
        <v>21</v>
      </c>
      <c r="E716" s="7">
        <v>45823</v>
      </c>
      <c r="F716" t="s">
        <v>58</v>
      </c>
      <c r="G716">
        <v>1</v>
      </c>
      <c r="H716">
        <v>2228</v>
      </c>
      <c r="I716" t="s">
        <v>81</v>
      </c>
    </row>
    <row r="717" spans="2:9" x14ac:dyDescent="0.25">
      <c r="B717" t="s">
        <v>812</v>
      </c>
      <c r="C717" t="s">
        <v>1010</v>
      </c>
      <c r="D717" t="s">
        <v>14</v>
      </c>
      <c r="E717" s="7">
        <v>45874</v>
      </c>
      <c r="F717" t="s">
        <v>58</v>
      </c>
      <c r="G717">
        <v>3</v>
      </c>
      <c r="H717">
        <v>4975</v>
      </c>
      <c r="I717" t="s">
        <v>76</v>
      </c>
    </row>
    <row r="718" spans="2:9" x14ac:dyDescent="0.25">
      <c r="B718" t="s">
        <v>813</v>
      </c>
      <c r="C718" t="s">
        <v>1019</v>
      </c>
      <c r="D718" t="s">
        <v>17</v>
      </c>
      <c r="E718" s="7">
        <v>45996</v>
      </c>
      <c r="F718" t="s">
        <v>58</v>
      </c>
      <c r="G718">
        <v>1</v>
      </c>
      <c r="H718">
        <v>1120</v>
      </c>
      <c r="I718" t="s">
        <v>81</v>
      </c>
    </row>
    <row r="719" spans="2:9" x14ac:dyDescent="0.25">
      <c r="B719" t="s">
        <v>814</v>
      </c>
      <c r="C719" t="s">
        <v>1017</v>
      </c>
      <c r="D719" t="s">
        <v>19</v>
      </c>
      <c r="E719" s="7">
        <v>45896</v>
      </c>
      <c r="F719" t="s">
        <v>58</v>
      </c>
      <c r="G719">
        <v>8</v>
      </c>
      <c r="H719">
        <v>831</v>
      </c>
      <c r="I719" t="s">
        <v>76</v>
      </c>
    </row>
    <row r="720" spans="2:9" x14ac:dyDescent="0.25">
      <c r="B720" t="s">
        <v>815</v>
      </c>
      <c r="C720" t="s">
        <v>1009</v>
      </c>
      <c r="D720" t="s">
        <v>21</v>
      </c>
      <c r="E720" s="7">
        <v>45744</v>
      </c>
      <c r="F720" t="s">
        <v>58</v>
      </c>
      <c r="G720">
        <v>1</v>
      </c>
      <c r="H720">
        <v>656</v>
      </c>
      <c r="I720" t="s">
        <v>81</v>
      </c>
    </row>
    <row r="721" spans="2:9" x14ac:dyDescent="0.25">
      <c r="B721" t="s">
        <v>816</v>
      </c>
      <c r="C721" t="s">
        <v>1010</v>
      </c>
      <c r="D721" t="s">
        <v>17</v>
      </c>
      <c r="E721" s="7">
        <v>45781</v>
      </c>
      <c r="F721" t="s">
        <v>58</v>
      </c>
      <c r="G721">
        <v>7</v>
      </c>
      <c r="H721">
        <v>960</v>
      </c>
      <c r="I721" t="s">
        <v>76</v>
      </c>
    </row>
    <row r="722" spans="2:9" x14ac:dyDescent="0.25">
      <c r="B722" t="s">
        <v>817</v>
      </c>
      <c r="C722" t="s">
        <v>1007</v>
      </c>
      <c r="D722" t="s">
        <v>11</v>
      </c>
      <c r="E722" s="7">
        <v>45692</v>
      </c>
      <c r="F722" t="s">
        <v>58</v>
      </c>
      <c r="G722">
        <v>1</v>
      </c>
      <c r="H722">
        <v>3426</v>
      </c>
      <c r="I722" t="s">
        <v>84</v>
      </c>
    </row>
    <row r="723" spans="2:9" x14ac:dyDescent="0.25">
      <c r="B723" t="s">
        <v>818</v>
      </c>
      <c r="C723" t="s">
        <v>1009</v>
      </c>
      <c r="D723" t="s">
        <v>27</v>
      </c>
      <c r="E723" s="7">
        <v>45972</v>
      </c>
      <c r="F723" t="s">
        <v>58</v>
      </c>
      <c r="G723">
        <v>7</v>
      </c>
      <c r="H723">
        <v>3592</v>
      </c>
      <c r="I723" t="s">
        <v>84</v>
      </c>
    </row>
    <row r="724" spans="2:9" x14ac:dyDescent="0.25">
      <c r="B724" t="s">
        <v>819</v>
      </c>
      <c r="C724" t="s">
        <v>1017</v>
      </c>
      <c r="D724" t="s">
        <v>27</v>
      </c>
      <c r="E724" s="7">
        <v>45685</v>
      </c>
      <c r="F724" t="s">
        <v>58</v>
      </c>
      <c r="G724">
        <v>5</v>
      </c>
      <c r="H724">
        <v>3299</v>
      </c>
      <c r="I724" t="s">
        <v>84</v>
      </c>
    </row>
    <row r="725" spans="2:9" x14ac:dyDescent="0.25">
      <c r="B725" t="s">
        <v>820</v>
      </c>
      <c r="C725" t="s">
        <v>1008</v>
      </c>
      <c r="D725" t="s">
        <v>19</v>
      </c>
      <c r="E725" s="7">
        <v>45890</v>
      </c>
      <c r="F725" t="s">
        <v>58</v>
      </c>
      <c r="G725">
        <v>8</v>
      </c>
      <c r="H725">
        <v>3221</v>
      </c>
      <c r="I725" t="s">
        <v>81</v>
      </c>
    </row>
    <row r="726" spans="2:9" x14ac:dyDescent="0.25">
      <c r="B726" t="s">
        <v>821</v>
      </c>
      <c r="C726" t="s">
        <v>1022</v>
      </c>
      <c r="D726" t="s">
        <v>17</v>
      </c>
      <c r="E726" s="7">
        <v>45814</v>
      </c>
      <c r="F726" t="s">
        <v>58</v>
      </c>
      <c r="G726">
        <v>1</v>
      </c>
      <c r="H726">
        <v>373</v>
      </c>
      <c r="I726" t="s">
        <v>81</v>
      </c>
    </row>
    <row r="727" spans="2:9" x14ac:dyDescent="0.25">
      <c r="B727" t="s">
        <v>822</v>
      </c>
      <c r="C727" t="s">
        <v>1018</v>
      </c>
      <c r="D727" t="s">
        <v>17</v>
      </c>
      <c r="E727" s="7">
        <v>45670</v>
      </c>
      <c r="F727" t="s">
        <v>58</v>
      </c>
      <c r="G727">
        <v>3</v>
      </c>
      <c r="H727">
        <v>566</v>
      </c>
      <c r="I727" t="s">
        <v>76</v>
      </c>
    </row>
    <row r="728" spans="2:9" x14ac:dyDescent="0.25">
      <c r="B728" t="s">
        <v>823</v>
      </c>
      <c r="C728" t="s">
        <v>1016</v>
      </c>
      <c r="D728" t="s">
        <v>17</v>
      </c>
      <c r="E728" s="7">
        <v>45978</v>
      </c>
      <c r="F728" t="s">
        <v>58</v>
      </c>
      <c r="G728">
        <v>7</v>
      </c>
      <c r="H728">
        <v>971</v>
      </c>
      <c r="I728" t="s">
        <v>84</v>
      </c>
    </row>
    <row r="729" spans="2:9" x14ac:dyDescent="0.25">
      <c r="B729" t="s">
        <v>824</v>
      </c>
      <c r="C729" t="s">
        <v>1004</v>
      </c>
      <c r="D729" t="s">
        <v>17</v>
      </c>
      <c r="E729" s="7">
        <v>45659</v>
      </c>
      <c r="F729" t="s">
        <v>58</v>
      </c>
      <c r="G729">
        <v>8</v>
      </c>
      <c r="H729">
        <v>2574</v>
      </c>
      <c r="I729" t="s">
        <v>76</v>
      </c>
    </row>
    <row r="730" spans="2:9" x14ac:dyDescent="0.25">
      <c r="B730" t="s">
        <v>825</v>
      </c>
      <c r="C730" t="s">
        <v>1010</v>
      </c>
      <c r="D730" t="s">
        <v>14</v>
      </c>
      <c r="E730" s="7">
        <v>45787</v>
      </c>
      <c r="F730" t="s">
        <v>58</v>
      </c>
      <c r="G730">
        <v>5</v>
      </c>
      <c r="H730">
        <v>2701</v>
      </c>
      <c r="I730" t="s">
        <v>81</v>
      </c>
    </row>
    <row r="731" spans="2:9" x14ac:dyDescent="0.25">
      <c r="B731" t="s">
        <v>826</v>
      </c>
      <c r="C731" t="s">
        <v>1021</v>
      </c>
      <c r="D731" t="s">
        <v>17</v>
      </c>
      <c r="E731" s="7">
        <v>45878</v>
      </c>
      <c r="F731" t="s">
        <v>58</v>
      </c>
      <c r="G731">
        <v>10</v>
      </c>
      <c r="H731">
        <v>2493</v>
      </c>
      <c r="I731" t="s">
        <v>76</v>
      </c>
    </row>
    <row r="732" spans="2:9" x14ac:dyDescent="0.25">
      <c r="B732" t="s">
        <v>827</v>
      </c>
      <c r="C732" t="s">
        <v>1013</v>
      </c>
      <c r="D732" t="s">
        <v>21</v>
      </c>
      <c r="E732" s="7">
        <v>45739</v>
      </c>
      <c r="F732" t="s">
        <v>58</v>
      </c>
      <c r="G732">
        <v>10</v>
      </c>
      <c r="H732">
        <v>4414</v>
      </c>
      <c r="I732" t="s">
        <v>76</v>
      </c>
    </row>
    <row r="733" spans="2:9" x14ac:dyDescent="0.25">
      <c r="B733" t="s">
        <v>828</v>
      </c>
      <c r="C733" t="s">
        <v>1016</v>
      </c>
      <c r="D733" t="s">
        <v>21</v>
      </c>
      <c r="E733" s="7">
        <v>45721</v>
      </c>
      <c r="F733" t="s">
        <v>58</v>
      </c>
      <c r="G733">
        <v>1</v>
      </c>
      <c r="H733">
        <v>4779</v>
      </c>
      <c r="I733" t="s">
        <v>76</v>
      </c>
    </row>
    <row r="734" spans="2:9" x14ac:dyDescent="0.25">
      <c r="B734" t="s">
        <v>829</v>
      </c>
      <c r="C734" t="s">
        <v>1018</v>
      </c>
      <c r="D734" t="s">
        <v>19</v>
      </c>
      <c r="E734" s="7">
        <v>45947</v>
      </c>
      <c r="F734" t="s">
        <v>58</v>
      </c>
      <c r="G734">
        <v>7</v>
      </c>
      <c r="H734">
        <v>1227</v>
      </c>
      <c r="I734" t="s">
        <v>81</v>
      </c>
    </row>
    <row r="735" spans="2:9" x14ac:dyDescent="0.25">
      <c r="B735" t="s">
        <v>830</v>
      </c>
      <c r="C735" t="s">
        <v>1014</v>
      </c>
      <c r="D735" t="s">
        <v>21</v>
      </c>
      <c r="E735" s="7">
        <v>45833</v>
      </c>
      <c r="F735" t="s">
        <v>58</v>
      </c>
      <c r="G735">
        <v>1</v>
      </c>
      <c r="H735">
        <v>190</v>
      </c>
      <c r="I735" t="s">
        <v>76</v>
      </c>
    </row>
    <row r="736" spans="2:9" x14ac:dyDescent="0.25">
      <c r="B736" t="s">
        <v>831</v>
      </c>
      <c r="C736" t="s">
        <v>1017</v>
      </c>
      <c r="D736" t="s">
        <v>21</v>
      </c>
      <c r="E736" s="7">
        <v>45948</v>
      </c>
      <c r="F736" t="s">
        <v>58</v>
      </c>
      <c r="G736">
        <v>5</v>
      </c>
      <c r="H736">
        <v>4443</v>
      </c>
      <c r="I736" t="s">
        <v>76</v>
      </c>
    </row>
    <row r="737" spans="2:9" x14ac:dyDescent="0.25">
      <c r="B737" t="s">
        <v>832</v>
      </c>
      <c r="C737" t="s">
        <v>1014</v>
      </c>
      <c r="D737" t="s">
        <v>11</v>
      </c>
      <c r="E737" s="7">
        <v>45992</v>
      </c>
      <c r="F737" t="s">
        <v>58</v>
      </c>
      <c r="G737">
        <v>8</v>
      </c>
      <c r="H737">
        <v>652</v>
      </c>
      <c r="I737" t="s">
        <v>84</v>
      </c>
    </row>
    <row r="738" spans="2:9" x14ac:dyDescent="0.25">
      <c r="B738" t="s">
        <v>833</v>
      </c>
      <c r="C738" t="s">
        <v>1010</v>
      </c>
      <c r="D738" t="s">
        <v>21</v>
      </c>
      <c r="E738" s="7">
        <v>45718</v>
      </c>
      <c r="F738" t="s">
        <v>58</v>
      </c>
      <c r="G738">
        <v>7</v>
      </c>
      <c r="H738">
        <v>1709</v>
      </c>
      <c r="I738" t="s">
        <v>84</v>
      </c>
    </row>
    <row r="739" spans="2:9" x14ac:dyDescent="0.25">
      <c r="B739" t="s">
        <v>834</v>
      </c>
      <c r="C739" t="s">
        <v>1011</v>
      </c>
      <c r="D739" t="s">
        <v>11</v>
      </c>
      <c r="E739" s="7">
        <v>45665</v>
      </c>
      <c r="F739" t="s">
        <v>58</v>
      </c>
      <c r="G739">
        <v>9</v>
      </c>
      <c r="H739">
        <v>4396</v>
      </c>
      <c r="I739" t="s">
        <v>76</v>
      </c>
    </row>
    <row r="740" spans="2:9" x14ac:dyDescent="0.25">
      <c r="B740" t="s">
        <v>835</v>
      </c>
      <c r="C740" t="s">
        <v>1018</v>
      </c>
      <c r="D740" t="s">
        <v>11</v>
      </c>
      <c r="E740" s="7">
        <v>45721</v>
      </c>
      <c r="F740" t="s">
        <v>58</v>
      </c>
      <c r="G740">
        <v>7</v>
      </c>
      <c r="H740">
        <v>1837</v>
      </c>
      <c r="I740" t="s">
        <v>81</v>
      </c>
    </row>
    <row r="741" spans="2:9" x14ac:dyDescent="0.25">
      <c r="B741" t="s">
        <v>836</v>
      </c>
      <c r="C741" t="s">
        <v>1012</v>
      </c>
      <c r="D741" t="s">
        <v>21</v>
      </c>
      <c r="E741" s="7">
        <v>45980</v>
      </c>
      <c r="F741" t="s">
        <v>58</v>
      </c>
      <c r="G741">
        <v>4</v>
      </c>
      <c r="H741">
        <v>933</v>
      </c>
      <c r="I741" t="s">
        <v>76</v>
      </c>
    </row>
    <row r="742" spans="2:9" x14ac:dyDescent="0.25">
      <c r="B742" t="s">
        <v>837</v>
      </c>
      <c r="C742" t="s">
        <v>1006</v>
      </c>
      <c r="D742" t="s">
        <v>23</v>
      </c>
      <c r="E742" s="7">
        <v>45766</v>
      </c>
      <c r="F742" t="s">
        <v>58</v>
      </c>
      <c r="G742">
        <v>10</v>
      </c>
      <c r="H742">
        <v>4926</v>
      </c>
      <c r="I742" t="s">
        <v>76</v>
      </c>
    </row>
    <row r="743" spans="2:9" x14ac:dyDescent="0.25">
      <c r="B743" t="s">
        <v>838</v>
      </c>
      <c r="C743" t="s">
        <v>1017</v>
      </c>
      <c r="D743" t="s">
        <v>19</v>
      </c>
      <c r="E743" s="7">
        <v>45702</v>
      </c>
      <c r="F743" t="s">
        <v>58</v>
      </c>
      <c r="G743">
        <v>6</v>
      </c>
      <c r="H743">
        <v>947</v>
      </c>
      <c r="I743" t="s">
        <v>76</v>
      </c>
    </row>
    <row r="744" spans="2:9" x14ac:dyDescent="0.25">
      <c r="B744" t="s">
        <v>839</v>
      </c>
      <c r="C744" t="s">
        <v>1012</v>
      </c>
      <c r="D744" t="s">
        <v>23</v>
      </c>
      <c r="E744" s="7">
        <v>45700</v>
      </c>
      <c r="F744" t="s">
        <v>58</v>
      </c>
      <c r="G744">
        <v>7</v>
      </c>
      <c r="H744">
        <v>2355</v>
      </c>
      <c r="I744" t="s">
        <v>76</v>
      </c>
    </row>
    <row r="745" spans="2:9" x14ac:dyDescent="0.25">
      <c r="B745" t="s">
        <v>840</v>
      </c>
      <c r="C745" t="s">
        <v>1007</v>
      </c>
      <c r="D745" t="s">
        <v>11</v>
      </c>
      <c r="E745" s="7">
        <v>45844</v>
      </c>
      <c r="F745" t="s">
        <v>58</v>
      </c>
      <c r="G745">
        <v>10</v>
      </c>
      <c r="H745">
        <v>1420</v>
      </c>
      <c r="I745" t="s">
        <v>81</v>
      </c>
    </row>
    <row r="746" spans="2:9" x14ac:dyDescent="0.25">
      <c r="B746" t="s">
        <v>841</v>
      </c>
      <c r="C746" t="s">
        <v>1009</v>
      </c>
      <c r="D746" t="s">
        <v>19</v>
      </c>
      <c r="E746" s="7">
        <v>45915</v>
      </c>
      <c r="F746" t="s">
        <v>58</v>
      </c>
      <c r="G746">
        <v>8</v>
      </c>
      <c r="H746">
        <v>1694</v>
      </c>
      <c r="I746" t="s">
        <v>84</v>
      </c>
    </row>
    <row r="747" spans="2:9" x14ac:dyDescent="0.25">
      <c r="B747" t="s">
        <v>842</v>
      </c>
      <c r="C747" t="s">
        <v>1009</v>
      </c>
      <c r="D747" t="s">
        <v>19</v>
      </c>
      <c r="E747" s="7">
        <v>45763</v>
      </c>
      <c r="F747" t="s">
        <v>58</v>
      </c>
      <c r="G747">
        <v>5</v>
      </c>
      <c r="H747">
        <v>583</v>
      </c>
      <c r="I747" t="s">
        <v>81</v>
      </c>
    </row>
    <row r="748" spans="2:9" x14ac:dyDescent="0.25">
      <c r="B748" t="s">
        <v>843</v>
      </c>
      <c r="C748" t="s">
        <v>1010</v>
      </c>
      <c r="D748" t="s">
        <v>21</v>
      </c>
      <c r="E748" s="7">
        <v>45727</v>
      </c>
      <c r="F748" t="s">
        <v>58</v>
      </c>
      <c r="G748">
        <v>9</v>
      </c>
      <c r="H748">
        <v>1795</v>
      </c>
      <c r="I748" t="s">
        <v>76</v>
      </c>
    </row>
    <row r="749" spans="2:9" x14ac:dyDescent="0.25">
      <c r="B749" t="s">
        <v>844</v>
      </c>
      <c r="C749" t="s">
        <v>1010</v>
      </c>
      <c r="D749" t="s">
        <v>27</v>
      </c>
      <c r="E749" s="7">
        <v>45916</v>
      </c>
      <c r="F749" t="s">
        <v>58</v>
      </c>
      <c r="G749">
        <v>10</v>
      </c>
      <c r="H749">
        <v>2890</v>
      </c>
      <c r="I749" t="s">
        <v>76</v>
      </c>
    </row>
    <row r="750" spans="2:9" x14ac:dyDescent="0.25">
      <c r="B750" t="s">
        <v>845</v>
      </c>
      <c r="C750" t="s">
        <v>1006</v>
      </c>
      <c r="D750" t="s">
        <v>21</v>
      </c>
      <c r="E750" s="7">
        <v>45706</v>
      </c>
      <c r="F750" t="s">
        <v>58</v>
      </c>
      <c r="G750">
        <v>4</v>
      </c>
      <c r="H750">
        <v>2754</v>
      </c>
      <c r="I750" t="s">
        <v>81</v>
      </c>
    </row>
    <row r="751" spans="2:9" x14ac:dyDescent="0.25">
      <c r="B751" t="s">
        <v>846</v>
      </c>
      <c r="C751" t="s">
        <v>1016</v>
      </c>
      <c r="D751" t="s">
        <v>11</v>
      </c>
      <c r="E751" s="7">
        <v>45762</v>
      </c>
      <c r="F751" t="s">
        <v>58</v>
      </c>
      <c r="G751">
        <v>8</v>
      </c>
      <c r="H751">
        <v>4082</v>
      </c>
      <c r="I751" t="s">
        <v>76</v>
      </c>
    </row>
    <row r="752" spans="2:9" x14ac:dyDescent="0.25">
      <c r="B752" t="s">
        <v>847</v>
      </c>
      <c r="C752" t="s">
        <v>1013</v>
      </c>
      <c r="D752" t="s">
        <v>11</v>
      </c>
      <c r="E752" s="7">
        <v>45692</v>
      </c>
      <c r="F752" t="s">
        <v>58</v>
      </c>
      <c r="G752">
        <v>5</v>
      </c>
      <c r="H752">
        <v>934</v>
      </c>
      <c r="I752" t="s">
        <v>81</v>
      </c>
    </row>
    <row r="753" spans="2:9" x14ac:dyDescent="0.25">
      <c r="B753" t="s">
        <v>848</v>
      </c>
      <c r="C753" t="s">
        <v>1021</v>
      </c>
      <c r="D753" t="s">
        <v>17</v>
      </c>
      <c r="E753" s="7">
        <v>46016</v>
      </c>
      <c r="F753" t="s">
        <v>58</v>
      </c>
      <c r="G753">
        <v>6</v>
      </c>
      <c r="H753">
        <v>1142</v>
      </c>
      <c r="I753" t="s">
        <v>81</v>
      </c>
    </row>
    <row r="754" spans="2:9" x14ac:dyDescent="0.25">
      <c r="B754" t="s">
        <v>849</v>
      </c>
      <c r="C754" t="s">
        <v>1005</v>
      </c>
      <c r="D754" t="s">
        <v>11</v>
      </c>
      <c r="E754" s="7">
        <v>45717</v>
      </c>
      <c r="F754" t="s">
        <v>58</v>
      </c>
      <c r="G754">
        <v>1</v>
      </c>
      <c r="H754">
        <v>3902</v>
      </c>
      <c r="I754" t="s">
        <v>84</v>
      </c>
    </row>
    <row r="755" spans="2:9" x14ac:dyDescent="0.25">
      <c r="B755" t="s">
        <v>850</v>
      </c>
      <c r="C755" t="s">
        <v>1013</v>
      </c>
      <c r="D755" t="s">
        <v>23</v>
      </c>
      <c r="E755" s="7">
        <v>45911</v>
      </c>
      <c r="F755" t="s">
        <v>58</v>
      </c>
      <c r="G755">
        <v>10</v>
      </c>
      <c r="H755">
        <v>2261</v>
      </c>
      <c r="I755" t="s">
        <v>81</v>
      </c>
    </row>
    <row r="756" spans="2:9" x14ac:dyDescent="0.25">
      <c r="B756" t="s">
        <v>851</v>
      </c>
      <c r="C756" t="s">
        <v>1018</v>
      </c>
      <c r="D756" t="s">
        <v>14</v>
      </c>
      <c r="E756" s="7">
        <v>45857</v>
      </c>
      <c r="F756" t="s">
        <v>58</v>
      </c>
      <c r="G756">
        <v>8</v>
      </c>
      <c r="H756">
        <v>550</v>
      </c>
      <c r="I756" t="s">
        <v>76</v>
      </c>
    </row>
    <row r="757" spans="2:9" x14ac:dyDescent="0.25">
      <c r="B757" t="s">
        <v>852</v>
      </c>
      <c r="C757" t="s">
        <v>1018</v>
      </c>
      <c r="D757" t="s">
        <v>23</v>
      </c>
      <c r="E757" s="7">
        <v>45994</v>
      </c>
      <c r="F757" t="s">
        <v>58</v>
      </c>
      <c r="G757">
        <v>1</v>
      </c>
      <c r="H757">
        <v>1934</v>
      </c>
      <c r="I757" t="s">
        <v>76</v>
      </c>
    </row>
    <row r="758" spans="2:9" x14ac:dyDescent="0.25">
      <c r="B758" t="s">
        <v>853</v>
      </c>
      <c r="C758" t="s">
        <v>1011</v>
      </c>
      <c r="D758" t="s">
        <v>17</v>
      </c>
      <c r="E758" s="7">
        <v>45859</v>
      </c>
      <c r="F758" t="s">
        <v>58</v>
      </c>
      <c r="G758">
        <v>2</v>
      </c>
      <c r="H758">
        <v>937</v>
      </c>
      <c r="I758" t="s">
        <v>84</v>
      </c>
    </row>
    <row r="759" spans="2:9" x14ac:dyDescent="0.25">
      <c r="B759" t="s">
        <v>854</v>
      </c>
      <c r="C759" t="s">
        <v>1005</v>
      </c>
      <c r="D759" t="s">
        <v>23</v>
      </c>
      <c r="E759" s="7">
        <v>45753</v>
      </c>
      <c r="F759" t="s">
        <v>58</v>
      </c>
      <c r="G759">
        <v>2</v>
      </c>
      <c r="H759">
        <v>880</v>
      </c>
      <c r="I759" t="s">
        <v>84</v>
      </c>
    </row>
    <row r="760" spans="2:9" x14ac:dyDescent="0.25">
      <c r="B760" t="s">
        <v>855</v>
      </c>
      <c r="C760" t="s">
        <v>1022</v>
      </c>
      <c r="D760" t="s">
        <v>21</v>
      </c>
      <c r="E760" s="7">
        <v>45659</v>
      </c>
      <c r="F760" t="s">
        <v>58</v>
      </c>
      <c r="G760">
        <v>1</v>
      </c>
      <c r="H760">
        <v>1424</v>
      </c>
      <c r="I760" t="s">
        <v>76</v>
      </c>
    </row>
    <row r="761" spans="2:9" x14ac:dyDescent="0.25">
      <c r="B761" t="s">
        <v>856</v>
      </c>
      <c r="C761" t="s">
        <v>1015</v>
      </c>
      <c r="D761" t="s">
        <v>17</v>
      </c>
      <c r="E761" s="7">
        <v>45816</v>
      </c>
      <c r="F761" t="s">
        <v>58</v>
      </c>
      <c r="G761">
        <v>8</v>
      </c>
      <c r="H761">
        <v>1063</v>
      </c>
      <c r="I761" t="s">
        <v>81</v>
      </c>
    </row>
    <row r="762" spans="2:9" x14ac:dyDescent="0.25">
      <c r="B762" t="s">
        <v>857</v>
      </c>
      <c r="C762" t="s">
        <v>1020</v>
      </c>
      <c r="D762" t="s">
        <v>19</v>
      </c>
      <c r="E762" s="7">
        <v>45984</v>
      </c>
      <c r="F762" t="s">
        <v>58</v>
      </c>
      <c r="G762">
        <v>8</v>
      </c>
      <c r="H762">
        <v>4598</v>
      </c>
      <c r="I762" t="s">
        <v>81</v>
      </c>
    </row>
    <row r="763" spans="2:9" x14ac:dyDescent="0.25">
      <c r="B763" t="s">
        <v>858</v>
      </c>
      <c r="C763" t="s">
        <v>1006</v>
      </c>
      <c r="D763" t="s">
        <v>19</v>
      </c>
      <c r="E763" s="7">
        <v>45839</v>
      </c>
      <c r="F763" t="s">
        <v>58</v>
      </c>
      <c r="G763">
        <v>8</v>
      </c>
      <c r="H763">
        <v>715</v>
      </c>
      <c r="I763" t="s">
        <v>81</v>
      </c>
    </row>
    <row r="764" spans="2:9" x14ac:dyDescent="0.25">
      <c r="B764" t="s">
        <v>859</v>
      </c>
      <c r="C764" t="s">
        <v>1008</v>
      </c>
      <c r="D764" t="s">
        <v>17</v>
      </c>
      <c r="E764" s="7">
        <v>45786</v>
      </c>
      <c r="F764" t="s">
        <v>58</v>
      </c>
      <c r="G764">
        <v>7</v>
      </c>
      <c r="H764">
        <v>4331</v>
      </c>
      <c r="I764" t="s">
        <v>76</v>
      </c>
    </row>
    <row r="765" spans="2:9" x14ac:dyDescent="0.25">
      <c r="B765" t="s">
        <v>860</v>
      </c>
      <c r="C765" t="s">
        <v>1018</v>
      </c>
      <c r="D765" t="s">
        <v>19</v>
      </c>
      <c r="E765" s="7">
        <v>46004</v>
      </c>
      <c r="F765" t="s">
        <v>58</v>
      </c>
      <c r="G765">
        <v>10</v>
      </c>
      <c r="H765">
        <v>4290</v>
      </c>
      <c r="I765" t="s">
        <v>76</v>
      </c>
    </row>
    <row r="766" spans="2:9" x14ac:dyDescent="0.25">
      <c r="B766" t="s">
        <v>861</v>
      </c>
      <c r="C766" t="s">
        <v>1009</v>
      </c>
      <c r="D766" t="s">
        <v>11</v>
      </c>
      <c r="E766" s="7">
        <v>45968</v>
      </c>
      <c r="F766" t="s">
        <v>58</v>
      </c>
      <c r="G766">
        <v>4</v>
      </c>
      <c r="H766">
        <v>720</v>
      </c>
      <c r="I766" t="s">
        <v>76</v>
      </c>
    </row>
    <row r="767" spans="2:9" x14ac:dyDescent="0.25">
      <c r="B767" t="s">
        <v>862</v>
      </c>
      <c r="C767" t="s">
        <v>1020</v>
      </c>
      <c r="D767" t="s">
        <v>23</v>
      </c>
      <c r="E767" s="7">
        <v>45771</v>
      </c>
      <c r="F767" t="s">
        <v>58</v>
      </c>
      <c r="G767">
        <v>9</v>
      </c>
      <c r="H767">
        <v>2546</v>
      </c>
      <c r="I767" t="s">
        <v>84</v>
      </c>
    </row>
    <row r="768" spans="2:9" x14ac:dyDescent="0.25">
      <c r="B768" t="s">
        <v>863</v>
      </c>
      <c r="C768" t="s">
        <v>1007</v>
      </c>
      <c r="D768" t="s">
        <v>23</v>
      </c>
      <c r="E768" s="7">
        <v>45701</v>
      </c>
      <c r="F768" t="s">
        <v>58</v>
      </c>
      <c r="G768">
        <v>9</v>
      </c>
      <c r="H768">
        <v>89</v>
      </c>
      <c r="I768" t="s">
        <v>81</v>
      </c>
    </row>
    <row r="769" spans="2:9" x14ac:dyDescent="0.25">
      <c r="B769" t="s">
        <v>864</v>
      </c>
      <c r="C769" t="s">
        <v>1011</v>
      </c>
      <c r="D769" t="s">
        <v>14</v>
      </c>
      <c r="E769" s="7">
        <v>45735</v>
      </c>
      <c r="F769" t="s">
        <v>58</v>
      </c>
      <c r="G769">
        <v>10</v>
      </c>
      <c r="H769">
        <v>2430</v>
      </c>
      <c r="I769" t="s">
        <v>81</v>
      </c>
    </row>
    <row r="770" spans="2:9" x14ac:dyDescent="0.25">
      <c r="B770" t="s">
        <v>865</v>
      </c>
      <c r="C770" t="s">
        <v>1010</v>
      </c>
      <c r="D770" t="s">
        <v>11</v>
      </c>
      <c r="E770" s="7">
        <v>45691</v>
      </c>
      <c r="F770" t="s">
        <v>58</v>
      </c>
      <c r="G770">
        <v>3</v>
      </c>
      <c r="H770">
        <v>45</v>
      </c>
      <c r="I770" t="s">
        <v>81</v>
      </c>
    </row>
    <row r="771" spans="2:9" x14ac:dyDescent="0.25">
      <c r="B771" t="s">
        <v>866</v>
      </c>
      <c r="C771" t="s">
        <v>1018</v>
      </c>
      <c r="D771" t="s">
        <v>21</v>
      </c>
      <c r="E771" s="7">
        <v>45677</v>
      </c>
      <c r="F771" t="s">
        <v>58</v>
      </c>
      <c r="G771">
        <v>10</v>
      </c>
      <c r="H771">
        <v>2170</v>
      </c>
      <c r="I771" t="s">
        <v>76</v>
      </c>
    </row>
    <row r="772" spans="2:9" x14ac:dyDescent="0.25">
      <c r="B772" t="s">
        <v>867</v>
      </c>
      <c r="C772" t="s">
        <v>1022</v>
      </c>
      <c r="D772" t="s">
        <v>14</v>
      </c>
      <c r="E772" s="7">
        <v>45672</v>
      </c>
      <c r="F772" t="s">
        <v>58</v>
      </c>
      <c r="G772">
        <v>9</v>
      </c>
      <c r="H772">
        <v>4420</v>
      </c>
      <c r="I772" t="s">
        <v>84</v>
      </c>
    </row>
    <row r="773" spans="2:9" x14ac:dyDescent="0.25">
      <c r="B773" t="s">
        <v>868</v>
      </c>
      <c r="C773" t="s">
        <v>1016</v>
      </c>
      <c r="D773" t="s">
        <v>11</v>
      </c>
      <c r="E773" s="7">
        <v>46018</v>
      </c>
      <c r="F773" t="s">
        <v>58</v>
      </c>
      <c r="G773">
        <v>10</v>
      </c>
      <c r="H773">
        <v>1242</v>
      </c>
      <c r="I773" t="s">
        <v>84</v>
      </c>
    </row>
    <row r="774" spans="2:9" x14ac:dyDescent="0.25">
      <c r="B774" t="s">
        <v>869</v>
      </c>
      <c r="C774" t="s">
        <v>1004</v>
      </c>
      <c r="D774" t="s">
        <v>11</v>
      </c>
      <c r="E774" s="7">
        <v>45788</v>
      </c>
      <c r="F774" t="s">
        <v>58</v>
      </c>
      <c r="G774">
        <v>5</v>
      </c>
      <c r="H774">
        <v>3350</v>
      </c>
      <c r="I774" t="s">
        <v>76</v>
      </c>
    </row>
    <row r="775" spans="2:9" x14ac:dyDescent="0.25">
      <c r="B775" t="s">
        <v>870</v>
      </c>
      <c r="C775" t="s">
        <v>1006</v>
      </c>
      <c r="D775" t="s">
        <v>19</v>
      </c>
      <c r="E775" s="7">
        <v>45857</v>
      </c>
      <c r="F775" t="s">
        <v>58</v>
      </c>
      <c r="G775">
        <v>2</v>
      </c>
      <c r="H775">
        <v>365</v>
      </c>
      <c r="I775" t="s">
        <v>76</v>
      </c>
    </row>
    <row r="776" spans="2:9" x14ac:dyDescent="0.25">
      <c r="B776" t="s">
        <v>871</v>
      </c>
      <c r="C776" t="s">
        <v>1007</v>
      </c>
      <c r="D776" t="s">
        <v>27</v>
      </c>
      <c r="E776" s="7">
        <v>45916</v>
      </c>
      <c r="F776" t="s">
        <v>58</v>
      </c>
      <c r="G776">
        <v>1</v>
      </c>
      <c r="H776">
        <v>3158</v>
      </c>
      <c r="I776" t="s">
        <v>81</v>
      </c>
    </row>
    <row r="777" spans="2:9" x14ac:dyDescent="0.25">
      <c r="B777" t="s">
        <v>872</v>
      </c>
      <c r="C777" t="s">
        <v>1012</v>
      </c>
      <c r="D777" t="s">
        <v>14</v>
      </c>
      <c r="E777" s="7">
        <v>45878</v>
      </c>
      <c r="F777" t="s">
        <v>58</v>
      </c>
      <c r="G777">
        <v>3</v>
      </c>
      <c r="H777">
        <v>1505</v>
      </c>
      <c r="I777" t="s">
        <v>84</v>
      </c>
    </row>
    <row r="778" spans="2:9" x14ac:dyDescent="0.25">
      <c r="B778" t="s">
        <v>873</v>
      </c>
      <c r="C778" t="s">
        <v>1005</v>
      </c>
      <c r="D778" t="s">
        <v>11</v>
      </c>
      <c r="E778" s="7">
        <v>45692</v>
      </c>
      <c r="F778" t="s">
        <v>58</v>
      </c>
      <c r="G778">
        <v>6</v>
      </c>
      <c r="H778">
        <v>1451</v>
      </c>
      <c r="I778" t="s">
        <v>81</v>
      </c>
    </row>
    <row r="779" spans="2:9" x14ac:dyDescent="0.25">
      <c r="B779" t="s">
        <v>874</v>
      </c>
      <c r="C779" t="s">
        <v>1011</v>
      </c>
      <c r="D779" t="s">
        <v>17</v>
      </c>
      <c r="E779" s="7">
        <v>45797</v>
      </c>
      <c r="F779" t="s">
        <v>58</v>
      </c>
      <c r="G779">
        <v>9</v>
      </c>
      <c r="H779">
        <v>2890</v>
      </c>
      <c r="I779" t="s">
        <v>76</v>
      </c>
    </row>
    <row r="780" spans="2:9" x14ac:dyDescent="0.25">
      <c r="B780" t="s">
        <v>875</v>
      </c>
      <c r="C780" t="s">
        <v>1018</v>
      </c>
      <c r="D780" t="s">
        <v>27</v>
      </c>
      <c r="E780" s="7">
        <v>45946</v>
      </c>
      <c r="F780" t="s">
        <v>58</v>
      </c>
      <c r="G780">
        <v>6</v>
      </c>
      <c r="H780">
        <v>2062</v>
      </c>
      <c r="I780" t="s">
        <v>76</v>
      </c>
    </row>
    <row r="781" spans="2:9" x14ac:dyDescent="0.25">
      <c r="B781" t="s">
        <v>876</v>
      </c>
      <c r="C781" t="s">
        <v>1021</v>
      </c>
      <c r="D781" t="s">
        <v>11</v>
      </c>
      <c r="E781" s="7">
        <v>45711</v>
      </c>
      <c r="F781" t="s">
        <v>58</v>
      </c>
      <c r="G781">
        <v>2</v>
      </c>
      <c r="H781">
        <v>3997</v>
      </c>
      <c r="I781" t="s">
        <v>76</v>
      </c>
    </row>
    <row r="782" spans="2:9" x14ac:dyDescent="0.25">
      <c r="B782" t="s">
        <v>877</v>
      </c>
      <c r="C782" t="s">
        <v>1014</v>
      </c>
      <c r="D782" t="s">
        <v>21</v>
      </c>
      <c r="E782" s="7">
        <v>45700</v>
      </c>
      <c r="F782" t="s">
        <v>58</v>
      </c>
      <c r="G782">
        <v>7</v>
      </c>
      <c r="H782">
        <v>107</v>
      </c>
      <c r="I782" t="s">
        <v>81</v>
      </c>
    </row>
    <row r="783" spans="2:9" x14ac:dyDescent="0.25">
      <c r="B783" t="s">
        <v>878</v>
      </c>
      <c r="C783" t="s">
        <v>1016</v>
      </c>
      <c r="D783" t="s">
        <v>23</v>
      </c>
      <c r="E783" s="7">
        <v>45772</v>
      </c>
      <c r="F783" t="s">
        <v>58</v>
      </c>
      <c r="G783">
        <v>3</v>
      </c>
      <c r="H783">
        <v>563</v>
      </c>
      <c r="I783" t="s">
        <v>81</v>
      </c>
    </row>
    <row r="784" spans="2:9" x14ac:dyDescent="0.25">
      <c r="B784" t="s">
        <v>879</v>
      </c>
      <c r="C784" t="s">
        <v>1018</v>
      </c>
      <c r="D784" t="s">
        <v>11</v>
      </c>
      <c r="E784" s="7">
        <v>46008</v>
      </c>
      <c r="F784" t="s">
        <v>58</v>
      </c>
      <c r="G784">
        <v>8</v>
      </c>
      <c r="H784">
        <v>1911</v>
      </c>
      <c r="I784" t="s">
        <v>84</v>
      </c>
    </row>
    <row r="785" spans="2:9" x14ac:dyDescent="0.25">
      <c r="B785" t="s">
        <v>880</v>
      </c>
      <c r="C785" t="s">
        <v>1009</v>
      </c>
      <c r="D785" t="s">
        <v>21</v>
      </c>
      <c r="E785" s="7">
        <v>45974</v>
      </c>
      <c r="F785" t="s">
        <v>58</v>
      </c>
      <c r="G785">
        <v>10</v>
      </c>
      <c r="H785">
        <v>4515</v>
      </c>
      <c r="I785" t="s">
        <v>84</v>
      </c>
    </row>
    <row r="786" spans="2:9" x14ac:dyDescent="0.25">
      <c r="B786" t="s">
        <v>881</v>
      </c>
      <c r="C786" t="s">
        <v>1007</v>
      </c>
      <c r="D786" t="s">
        <v>21</v>
      </c>
      <c r="E786" s="7">
        <v>45695</v>
      </c>
      <c r="F786" t="s">
        <v>58</v>
      </c>
      <c r="G786">
        <v>1</v>
      </c>
      <c r="H786">
        <v>98</v>
      </c>
      <c r="I786" t="s">
        <v>81</v>
      </c>
    </row>
    <row r="787" spans="2:9" x14ac:dyDescent="0.25">
      <c r="B787" t="s">
        <v>882</v>
      </c>
      <c r="C787" t="s">
        <v>1019</v>
      </c>
      <c r="D787" t="s">
        <v>27</v>
      </c>
      <c r="E787" s="7">
        <v>45998</v>
      </c>
      <c r="F787" t="s">
        <v>58</v>
      </c>
      <c r="G787">
        <v>8</v>
      </c>
      <c r="H787">
        <v>4122</v>
      </c>
      <c r="I787" t="s">
        <v>84</v>
      </c>
    </row>
    <row r="788" spans="2:9" x14ac:dyDescent="0.25">
      <c r="B788" t="s">
        <v>883</v>
      </c>
      <c r="C788" t="s">
        <v>1008</v>
      </c>
      <c r="D788" t="s">
        <v>11</v>
      </c>
      <c r="E788" s="7">
        <v>45950</v>
      </c>
      <c r="F788" t="s">
        <v>58</v>
      </c>
      <c r="G788">
        <v>10</v>
      </c>
      <c r="H788">
        <v>3483</v>
      </c>
      <c r="I788" t="s">
        <v>81</v>
      </c>
    </row>
    <row r="789" spans="2:9" x14ac:dyDescent="0.25">
      <c r="B789" t="s">
        <v>884</v>
      </c>
      <c r="C789" t="s">
        <v>1010</v>
      </c>
      <c r="D789" t="s">
        <v>19</v>
      </c>
      <c r="E789" s="7">
        <v>45908</v>
      </c>
      <c r="F789" t="s">
        <v>58</v>
      </c>
      <c r="G789">
        <v>9</v>
      </c>
      <c r="H789">
        <v>3838</v>
      </c>
      <c r="I789" t="s">
        <v>81</v>
      </c>
    </row>
    <row r="790" spans="2:9" x14ac:dyDescent="0.25">
      <c r="B790" t="s">
        <v>885</v>
      </c>
      <c r="C790" t="s">
        <v>1015</v>
      </c>
      <c r="D790" t="s">
        <v>27</v>
      </c>
      <c r="E790" s="7">
        <v>45886</v>
      </c>
      <c r="F790" t="s">
        <v>58</v>
      </c>
      <c r="G790">
        <v>2</v>
      </c>
      <c r="H790">
        <v>2201</v>
      </c>
      <c r="I790" t="s">
        <v>81</v>
      </c>
    </row>
    <row r="791" spans="2:9" x14ac:dyDescent="0.25">
      <c r="B791" t="s">
        <v>886</v>
      </c>
      <c r="C791" t="s">
        <v>1004</v>
      </c>
      <c r="D791" t="s">
        <v>19</v>
      </c>
      <c r="E791" s="7">
        <v>45983</v>
      </c>
      <c r="F791" t="s">
        <v>58</v>
      </c>
      <c r="G791">
        <v>6</v>
      </c>
      <c r="H791">
        <v>4384</v>
      </c>
      <c r="I791" t="s">
        <v>76</v>
      </c>
    </row>
    <row r="792" spans="2:9" x14ac:dyDescent="0.25">
      <c r="B792" t="s">
        <v>887</v>
      </c>
      <c r="C792" t="s">
        <v>1004</v>
      </c>
      <c r="D792" t="s">
        <v>21</v>
      </c>
      <c r="E792" s="7">
        <v>45712</v>
      </c>
      <c r="F792" t="s">
        <v>58</v>
      </c>
      <c r="G792">
        <v>5</v>
      </c>
      <c r="H792">
        <v>2576</v>
      </c>
      <c r="I792" t="s">
        <v>81</v>
      </c>
    </row>
    <row r="793" spans="2:9" x14ac:dyDescent="0.25">
      <c r="B793" t="s">
        <v>888</v>
      </c>
      <c r="C793" t="s">
        <v>1014</v>
      </c>
      <c r="D793" t="s">
        <v>21</v>
      </c>
      <c r="E793" s="7">
        <v>45725</v>
      </c>
      <c r="F793" t="s">
        <v>58</v>
      </c>
      <c r="G793">
        <v>3</v>
      </c>
      <c r="H793">
        <v>2744</v>
      </c>
      <c r="I793" t="s">
        <v>84</v>
      </c>
    </row>
    <row r="794" spans="2:9" x14ac:dyDescent="0.25">
      <c r="B794" t="s">
        <v>889</v>
      </c>
      <c r="C794" t="s">
        <v>1012</v>
      </c>
      <c r="D794" t="s">
        <v>17</v>
      </c>
      <c r="E794" s="7">
        <v>45764</v>
      </c>
      <c r="F794" t="s">
        <v>58</v>
      </c>
      <c r="G794">
        <v>1</v>
      </c>
      <c r="H794">
        <v>2214</v>
      </c>
      <c r="I794" t="s">
        <v>84</v>
      </c>
    </row>
    <row r="795" spans="2:9" x14ac:dyDescent="0.25">
      <c r="B795" t="s">
        <v>890</v>
      </c>
      <c r="C795" t="s">
        <v>1018</v>
      </c>
      <c r="D795" t="s">
        <v>27</v>
      </c>
      <c r="E795" s="7">
        <v>45978</v>
      </c>
      <c r="F795" t="s">
        <v>58</v>
      </c>
      <c r="G795">
        <v>9</v>
      </c>
      <c r="H795">
        <v>2128</v>
      </c>
      <c r="I795" t="s">
        <v>81</v>
      </c>
    </row>
    <row r="796" spans="2:9" x14ac:dyDescent="0.25">
      <c r="B796" t="s">
        <v>891</v>
      </c>
      <c r="C796" t="s">
        <v>1019</v>
      </c>
      <c r="D796" t="s">
        <v>21</v>
      </c>
      <c r="E796" s="7">
        <v>45781</v>
      </c>
      <c r="F796" t="s">
        <v>58</v>
      </c>
      <c r="G796">
        <v>4</v>
      </c>
      <c r="H796">
        <v>4949</v>
      </c>
      <c r="I796" t="s">
        <v>76</v>
      </c>
    </row>
    <row r="797" spans="2:9" x14ac:dyDescent="0.25">
      <c r="B797" t="s">
        <v>892</v>
      </c>
      <c r="C797" t="s">
        <v>1009</v>
      </c>
      <c r="D797" t="s">
        <v>21</v>
      </c>
      <c r="E797" s="7">
        <v>45674</v>
      </c>
      <c r="F797" t="s">
        <v>58</v>
      </c>
      <c r="G797">
        <v>4</v>
      </c>
      <c r="H797">
        <v>2011</v>
      </c>
      <c r="I797" t="s">
        <v>84</v>
      </c>
    </row>
    <row r="798" spans="2:9" x14ac:dyDescent="0.25">
      <c r="B798" t="s">
        <v>893</v>
      </c>
      <c r="C798" t="s">
        <v>1013</v>
      </c>
      <c r="D798" t="s">
        <v>19</v>
      </c>
      <c r="E798" s="7">
        <v>45967</v>
      </c>
      <c r="F798" t="s">
        <v>58</v>
      </c>
      <c r="G798">
        <v>2</v>
      </c>
      <c r="H798">
        <v>915</v>
      </c>
      <c r="I798" t="s">
        <v>76</v>
      </c>
    </row>
    <row r="799" spans="2:9" x14ac:dyDescent="0.25">
      <c r="B799" t="s">
        <v>894</v>
      </c>
      <c r="C799" t="s">
        <v>1011</v>
      </c>
      <c r="D799" t="s">
        <v>14</v>
      </c>
      <c r="E799" s="7">
        <v>45826</v>
      </c>
      <c r="F799" t="s">
        <v>58</v>
      </c>
      <c r="G799">
        <v>1</v>
      </c>
      <c r="H799">
        <v>3113</v>
      </c>
      <c r="I799" t="s">
        <v>81</v>
      </c>
    </row>
    <row r="800" spans="2:9" x14ac:dyDescent="0.25">
      <c r="B800" t="s">
        <v>895</v>
      </c>
      <c r="C800" t="s">
        <v>1019</v>
      </c>
      <c r="D800" t="s">
        <v>23</v>
      </c>
      <c r="E800" s="7">
        <v>45825</v>
      </c>
      <c r="F800" t="s">
        <v>58</v>
      </c>
      <c r="G800">
        <v>2</v>
      </c>
      <c r="H800">
        <v>1417</v>
      </c>
      <c r="I800" t="s">
        <v>76</v>
      </c>
    </row>
    <row r="801" spans="2:9" x14ac:dyDescent="0.25">
      <c r="B801" t="s">
        <v>896</v>
      </c>
      <c r="C801" t="s">
        <v>1016</v>
      </c>
      <c r="D801" t="s">
        <v>19</v>
      </c>
      <c r="E801" s="7">
        <v>45966</v>
      </c>
      <c r="F801" t="s">
        <v>58</v>
      </c>
      <c r="G801">
        <v>6</v>
      </c>
      <c r="H801">
        <v>2417</v>
      </c>
      <c r="I801" t="s">
        <v>81</v>
      </c>
    </row>
    <row r="802" spans="2:9" x14ac:dyDescent="0.25">
      <c r="B802" t="s">
        <v>897</v>
      </c>
      <c r="C802" t="s">
        <v>1005</v>
      </c>
      <c r="D802" t="s">
        <v>11</v>
      </c>
      <c r="E802" s="7">
        <v>45670</v>
      </c>
      <c r="F802" t="s">
        <v>58</v>
      </c>
      <c r="G802">
        <v>7</v>
      </c>
      <c r="H802">
        <v>4063</v>
      </c>
      <c r="I802" t="s">
        <v>84</v>
      </c>
    </row>
    <row r="803" spans="2:9" x14ac:dyDescent="0.25">
      <c r="B803" t="s">
        <v>898</v>
      </c>
      <c r="C803" t="s">
        <v>1018</v>
      </c>
      <c r="D803" t="s">
        <v>14</v>
      </c>
      <c r="E803" s="7">
        <v>45836</v>
      </c>
      <c r="F803" t="s">
        <v>58</v>
      </c>
      <c r="G803">
        <v>5</v>
      </c>
      <c r="H803">
        <v>3135</v>
      </c>
      <c r="I803" t="s">
        <v>84</v>
      </c>
    </row>
    <row r="804" spans="2:9" x14ac:dyDescent="0.25">
      <c r="B804" t="s">
        <v>899</v>
      </c>
      <c r="C804" t="s">
        <v>1014</v>
      </c>
      <c r="D804" t="s">
        <v>27</v>
      </c>
      <c r="E804" s="7">
        <v>45936</v>
      </c>
      <c r="F804" t="s">
        <v>58</v>
      </c>
      <c r="G804">
        <v>1</v>
      </c>
      <c r="H804">
        <v>2722</v>
      </c>
      <c r="I804" t="s">
        <v>81</v>
      </c>
    </row>
    <row r="805" spans="2:9" x14ac:dyDescent="0.25">
      <c r="B805" t="s">
        <v>900</v>
      </c>
      <c r="C805" t="s">
        <v>1020</v>
      </c>
      <c r="D805" t="s">
        <v>23</v>
      </c>
      <c r="E805" s="7">
        <v>45779</v>
      </c>
      <c r="F805" t="s">
        <v>58</v>
      </c>
      <c r="G805">
        <v>10</v>
      </c>
      <c r="H805">
        <v>4741</v>
      </c>
      <c r="I805" t="s">
        <v>76</v>
      </c>
    </row>
    <row r="806" spans="2:9" x14ac:dyDescent="0.25">
      <c r="B806" t="s">
        <v>901</v>
      </c>
      <c r="C806" t="s">
        <v>1012</v>
      </c>
      <c r="D806" t="s">
        <v>11</v>
      </c>
      <c r="E806" s="7">
        <v>45759</v>
      </c>
      <c r="F806" t="s">
        <v>58</v>
      </c>
      <c r="G806">
        <v>10</v>
      </c>
      <c r="H806">
        <v>2474</v>
      </c>
      <c r="I806" t="s">
        <v>81</v>
      </c>
    </row>
    <row r="807" spans="2:9" x14ac:dyDescent="0.25">
      <c r="B807" t="s">
        <v>902</v>
      </c>
      <c r="C807" t="s">
        <v>1022</v>
      </c>
      <c r="D807" t="s">
        <v>21</v>
      </c>
      <c r="E807" s="7">
        <v>45795</v>
      </c>
      <c r="F807" t="s">
        <v>58</v>
      </c>
      <c r="G807">
        <v>3</v>
      </c>
      <c r="H807">
        <v>2974</v>
      </c>
      <c r="I807" t="s">
        <v>84</v>
      </c>
    </row>
    <row r="808" spans="2:9" x14ac:dyDescent="0.25">
      <c r="B808" t="s">
        <v>903</v>
      </c>
      <c r="C808" t="s">
        <v>1011</v>
      </c>
      <c r="D808" t="s">
        <v>23</v>
      </c>
      <c r="E808" s="7">
        <v>45717</v>
      </c>
      <c r="F808" t="s">
        <v>58</v>
      </c>
      <c r="G808">
        <v>4</v>
      </c>
      <c r="H808">
        <v>4660</v>
      </c>
      <c r="I808" t="s">
        <v>76</v>
      </c>
    </row>
    <row r="809" spans="2:9" x14ac:dyDescent="0.25">
      <c r="B809" t="s">
        <v>904</v>
      </c>
      <c r="C809" t="s">
        <v>1015</v>
      </c>
      <c r="D809" t="s">
        <v>19</v>
      </c>
      <c r="E809" s="7">
        <v>45696</v>
      </c>
      <c r="F809" t="s">
        <v>58</v>
      </c>
      <c r="G809">
        <v>10</v>
      </c>
      <c r="H809">
        <v>4781</v>
      </c>
      <c r="I809" t="s">
        <v>76</v>
      </c>
    </row>
    <row r="810" spans="2:9" x14ac:dyDescent="0.25">
      <c r="B810" t="s">
        <v>905</v>
      </c>
      <c r="C810" t="s">
        <v>1006</v>
      </c>
      <c r="D810" t="s">
        <v>14</v>
      </c>
      <c r="E810" s="7">
        <v>45811</v>
      </c>
      <c r="F810" t="s">
        <v>58</v>
      </c>
      <c r="G810">
        <v>3</v>
      </c>
      <c r="H810">
        <v>1908</v>
      </c>
      <c r="I810" t="s">
        <v>81</v>
      </c>
    </row>
    <row r="811" spans="2:9" x14ac:dyDescent="0.25">
      <c r="B811" t="s">
        <v>906</v>
      </c>
      <c r="C811" t="s">
        <v>1004</v>
      </c>
      <c r="D811" t="s">
        <v>17</v>
      </c>
      <c r="E811" s="7">
        <v>45980</v>
      </c>
      <c r="F811" t="s">
        <v>58</v>
      </c>
      <c r="G811">
        <v>8</v>
      </c>
      <c r="H811">
        <v>3408</v>
      </c>
      <c r="I811" t="s">
        <v>84</v>
      </c>
    </row>
    <row r="812" spans="2:9" x14ac:dyDescent="0.25">
      <c r="B812" t="s">
        <v>907</v>
      </c>
      <c r="C812" t="s">
        <v>1007</v>
      </c>
      <c r="D812" t="s">
        <v>14</v>
      </c>
      <c r="E812" s="7">
        <v>45749</v>
      </c>
      <c r="F812" t="s">
        <v>58</v>
      </c>
      <c r="G812">
        <v>3</v>
      </c>
      <c r="H812">
        <v>3030</v>
      </c>
      <c r="I812" t="s">
        <v>81</v>
      </c>
    </row>
    <row r="813" spans="2:9" x14ac:dyDescent="0.25">
      <c r="B813" t="s">
        <v>908</v>
      </c>
      <c r="C813" t="s">
        <v>1004</v>
      </c>
      <c r="D813" t="s">
        <v>17</v>
      </c>
      <c r="E813" s="7">
        <v>45985</v>
      </c>
      <c r="F813" t="s">
        <v>58</v>
      </c>
      <c r="G813">
        <v>8</v>
      </c>
      <c r="H813">
        <v>3313</v>
      </c>
      <c r="I813" t="s">
        <v>84</v>
      </c>
    </row>
    <row r="814" spans="2:9" x14ac:dyDescent="0.25">
      <c r="B814" t="s">
        <v>909</v>
      </c>
      <c r="C814" t="s">
        <v>1004</v>
      </c>
      <c r="D814" t="s">
        <v>17</v>
      </c>
      <c r="E814" s="7">
        <v>45703</v>
      </c>
      <c r="F814" t="s">
        <v>58</v>
      </c>
      <c r="G814">
        <v>9</v>
      </c>
      <c r="H814">
        <v>3142</v>
      </c>
      <c r="I814" t="s">
        <v>76</v>
      </c>
    </row>
    <row r="815" spans="2:9" x14ac:dyDescent="0.25">
      <c r="B815" t="s">
        <v>910</v>
      </c>
      <c r="C815" t="s">
        <v>1017</v>
      </c>
      <c r="D815" t="s">
        <v>27</v>
      </c>
      <c r="E815" s="7">
        <v>45903</v>
      </c>
      <c r="F815" t="s">
        <v>58</v>
      </c>
      <c r="G815">
        <v>3</v>
      </c>
      <c r="H815">
        <v>234</v>
      </c>
      <c r="I815" t="s">
        <v>81</v>
      </c>
    </row>
    <row r="816" spans="2:9" x14ac:dyDescent="0.25">
      <c r="B816" t="s">
        <v>911</v>
      </c>
      <c r="C816" t="s">
        <v>1011</v>
      </c>
      <c r="D816" t="s">
        <v>23</v>
      </c>
      <c r="E816" s="7">
        <v>45880</v>
      </c>
      <c r="F816" t="s">
        <v>58</v>
      </c>
      <c r="G816">
        <v>1</v>
      </c>
      <c r="H816">
        <v>3589</v>
      </c>
      <c r="I816" t="s">
        <v>84</v>
      </c>
    </row>
    <row r="817" spans="2:9" x14ac:dyDescent="0.25">
      <c r="B817" t="s">
        <v>912</v>
      </c>
      <c r="C817" t="s">
        <v>1007</v>
      </c>
      <c r="D817" t="s">
        <v>27</v>
      </c>
      <c r="E817" s="7">
        <v>45740</v>
      </c>
      <c r="F817" t="s">
        <v>58</v>
      </c>
      <c r="G817">
        <v>8</v>
      </c>
      <c r="H817">
        <v>1117</v>
      </c>
      <c r="I817" t="s">
        <v>76</v>
      </c>
    </row>
    <row r="818" spans="2:9" x14ac:dyDescent="0.25">
      <c r="B818" t="s">
        <v>913</v>
      </c>
      <c r="C818" t="s">
        <v>1021</v>
      </c>
      <c r="D818" t="s">
        <v>11</v>
      </c>
      <c r="E818" s="7">
        <v>45983</v>
      </c>
      <c r="F818" t="s">
        <v>58</v>
      </c>
      <c r="G818">
        <v>1</v>
      </c>
      <c r="H818">
        <v>1976</v>
      </c>
      <c r="I818" t="s">
        <v>81</v>
      </c>
    </row>
    <row r="819" spans="2:9" x14ac:dyDescent="0.25">
      <c r="B819" t="s">
        <v>914</v>
      </c>
      <c r="C819" t="s">
        <v>1017</v>
      </c>
      <c r="D819" t="s">
        <v>17</v>
      </c>
      <c r="E819" s="7">
        <v>45864</v>
      </c>
      <c r="F819" t="s">
        <v>58</v>
      </c>
      <c r="G819">
        <v>1</v>
      </c>
      <c r="H819">
        <v>4192</v>
      </c>
      <c r="I819" t="s">
        <v>76</v>
      </c>
    </row>
    <row r="820" spans="2:9" x14ac:dyDescent="0.25">
      <c r="B820" t="s">
        <v>915</v>
      </c>
      <c r="C820" t="s">
        <v>1010</v>
      </c>
      <c r="D820" t="s">
        <v>21</v>
      </c>
      <c r="E820" s="7">
        <v>45658</v>
      </c>
      <c r="F820" t="s">
        <v>58</v>
      </c>
      <c r="G820">
        <v>2</v>
      </c>
      <c r="H820">
        <v>2136</v>
      </c>
      <c r="I820" t="s">
        <v>81</v>
      </c>
    </row>
    <row r="821" spans="2:9" x14ac:dyDescent="0.25">
      <c r="B821" t="s">
        <v>916</v>
      </c>
      <c r="C821" t="s">
        <v>1015</v>
      </c>
      <c r="D821" t="s">
        <v>14</v>
      </c>
      <c r="E821" s="7">
        <v>45969</v>
      </c>
      <c r="F821" t="s">
        <v>58</v>
      </c>
      <c r="G821">
        <v>2</v>
      </c>
      <c r="H821">
        <v>3952</v>
      </c>
      <c r="I821" t="s">
        <v>84</v>
      </c>
    </row>
    <row r="822" spans="2:9" x14ac:dyDescent="0.25">
      <c r="B822" t="s">
        <v>917</v>
      </c>
      <c r="C822" t="s">
        <v>1015</v>
      </c>
      <c r="D822" t="s">
        <v>17</v>
      </c>
      <c r="E822" s="7">
        <v>45861</v>
      </c>
      <c r="F822" t="s">
        <v>58</v>
      </c>
      <c r="G822">
        <v>1</v>
      </c>
      <c r="H822">
        <v>4166</v>
      </c>
      <c r="I822" t="s">
        <v>76</v>
      </c>
    </row>
    <row r="823" spans="2:9" x14ac:dyDescent="0.25">
      <c r="B823" t="s">
        <v>918</v>
      </c>
      <c r="C823" t="s">
        <v>1011</v>
      </c>
      <c r="D823" t="s">
        <v>14</v>
      </c>
      <c r="E823" s="7">
        <v>45967</v>
      </c>
      <c r="F823" t="s">
        <v>58</v>
      </c>
      <c r="G823">
        <v>4</v>
      </c>
      <c r="H823">
        <v>1117</v>
      </c>
      <c r="I823" t="s">
        <v>81</v>
      </c>
    </row>
    <row r="824" spans="2:9" x14ac:dyDescent="0.25">
      <c r="B824" t="s">
        <v>919</v>
      </c>
      <c r="C824" t="s">
        <v>1022</v>
      </c>
      <c r="D824" t="s">
        <v>17</v>
      </c>
      <c r="E824" s="7">
        <v>45685</v>
      </c>
      <c r="F824" t="s">
        <v>58</v>
      </c>
      <c r="G824">
        <v>8</v>
      </c>
      <c r="H824">
        <v>4429</v>
      </c>
      <c r="I824" t="s">
        <v>81</v>
      </c>
    </row>
    <row r="825" spans="2:9" x14ac:dyDescent="0.25">
      <c r="B825" t="s">
        <v>920</v>
      </c>
      <c r="C825" t="s">
        <v>1015</v>
      </c>
      <c r="D825" t="s">
        <v>27</v>
      </c>
      <c r="E825" s="7">
        <v>45813</v>
      </c>
      <c r="F825" t="s">
        <v>58</v>
      </c>
      <c r="G825">
        <v>2</v>
      </c>
      <c r="H825">
        <v>2634</v>
      </c>
      <c r="I825" t="s">
        <v>84</v>
      </c>
    </row>
    <row r="826" spans="2:9" x14ac:dyDescent="0.25">
      <c r="B826" t="s">
        <v>921</v>
      </c>
      <c r="C826" t="s">
        <v>1006</v>
      </c>
      <c r="D826" t="s">
        <v>27</v>
      </c>
      <c r="E826" s="7">
        <v>45858</v>
      </c>
      <c r="F826" t="s">
        <v>58</v>
      </c>
      <c r="G826">
        <v>3</v>
      </c>
      <c r="H826">
        <v>531</v>
      </c>
      <c r="I826" t="s">
        <v>81</v>
      </c>
    </row>
    <row r="827" spans="2:9" x14ac:dyDescent="0.25">
      <c r="B827" t="s">
        <v>922</v>
      </c>
      <c r="C827" t="s">
        <v>1022</v>
      </c>
      <c r="D827" t="s">
        <v>19</v>
      </c>
      <c r="E827" s="7">
        <v>45865</v>
      </c>
      <c r="F827" t="s">
        <v>58</v>
      </c>
      <c r="G827">
        <v>5</v>
      </c>
      <c r="H827">
        <v>1751</v>
      </c>
      <c r="I827" t="s">
        <v>81</v>
      </c>
    </row>
    <row r="828" spans="2:9" x14ac:dyDescent="0.25">
      <c r="B828" t="s">
        <v>923</v>
      </c>
      <c r="C828" t="s">
        <v>1013</v>
      </c>
      <c r="D828" t="s">
        <v>21</v>
      </c>
      <c r="E828" s="7">
        <v>45786</v>
      </c>
      <c r="F828" t="s">
        <v>58</v>
      </c>
      <c r="G828">
        <v>1</v>
      </c>
      <c r="H828">
        <v>1286</v>
      </c>
      <c r="I828" t="s">
        <v>84</v>
      </c>
    </row>
    <row r="829" spans="2:9" x14ac:dyDescent="0.25">
      <c r="B829" t="s">
        <v>924</v>
      </c>
      <c r="C829" t="s">
        <v>1010</v>
      </c>
      <c r="D829" t="s">
        <v>27</v>
      </c>
      <c r="E829" s="7">
        <v>45854</v>
      </c>
      <c r="F829" t="s">
        <v>58</v>
      </c>
      <c r="G829">
        <v>3</v>
      </c>
      <c r="H829">
        <v>2923</v>
      </c>
      <c r="I829" t="s">
        <v>84</v>
      </c>
    </row>
    <row r="830" spans="2:9" x14ac:dyDescent="0.25">
      <c r="B830" t="s">
        <v>925</v>
      </c>
      <c r="C830" t="s">
        <v>1018</v>
      </c>
      <c r="D830" t="s">
        <v>19</v>
      </c>
      <c r="E830" s="7">
        <v>45944</v>
      </c>
      <c r="F830" t="s">
        <v>58</v>
      </c>
      <c r="G830">
        <v>9</v>
      </c>
      <c r="H830">
        <v>1810</v>
      </c>
      <c r="I830" t="s">
        <v>81</v>
      </c>
    </row>
    <row r="831" spans="2:9" x14ac:dyDescent="0.25">
      <c r="B831" t="s">
        <v>926</v>
      </c>
      <c r="C831" t="s">
        <v>1017</v>
      </c>
      <c r="D831" t="s">
        <v>23</v>
      </c>
      <c r="E831" s="7">
        <v>45695</v>
      </c>
      <c r="F831" t="s">
        <v>58</v>
      </c>
      <c r="G831">
        <v>8</v>
      </c>
      <c r="H831">
        <v>1889</v>
      </c>
      <c r="I831" t="s">
        <v>76</v>
      </c>
    </row>
    <row r="832" spans="2:9" x14ac:dyDescent="0.25">
      <c r="B832" t="s">
        <v>927</v>
      </c>
      <c r="C832" t="s">
        <v>1010</v>
      </c>
      <c r="D832" t="s">
        <v>19</v>
      </c>
      <c r="E832" s="7">
        <v>45870</v>
      </c>
      <c r="F832" t="s">
        <v>58</v>
      </c>
      <c r="G832">
        <v>5</v>
      </c>
      <c r="H832">
        <v>3445</v>
      </c>
      <c r="I832" t="s">
        <v>76</v>
      </c>
    </row>
    <row r="833" spans="2:9" x14ac:dyDescent="0.25">
      <c r="B833" t="s">
        <v>928</v>
      </c>
      <c r="C833" t="s">
        <v>1004</v>
      </c>
      <c r="D833" t="s">
        <v>27</v>
      </c>
      <c r="E833" s="7">
        <v>46005</v>
      </c>
      <c r="F833" t="s">
        <v>58</v>
      </c>
      <c r="G833">
        <v>6</v>
      </c>
      <c r="H833">
        <v>615</v>
      </c>
      <c r="I833" t="s">
        <v>84</v>
      </c>
    </row>
    <row r="834" spans="2:9" x14ac:dyDescent="0.25">
      <c r="B834" t="s">
        <v>929</v>
      </c>
      <c r="C834" t="s">
        <v>1021</v>
      </c>
      <c r="D834" t="s">
        <v>23</v>
      </c>
      <c r="E834" s="7">
        <v>45935</v>
      </c>
      <c r="F834" t="s">
        <v>58</v>
      </c>
      <c r="G834">
        <v>2</v>
      </c>
      <c r="H834">
        <v>3800</v>
      </c>
      <c r="I834" t="s">
        <v>81</v>
      </c>
    </row>
    <row r="835" spans="2:9" x14ac:dyDescent="0.25">
      <c r="B835" t="s">
        <v>930</v>
      </c>
      <c r="C835" t="s">
        <v>1021</v>
      </c>
      <c r="D835" t="s">
        <v>14</v>
      </c>
      <c r="E835" s="7">
        <v>45718</v>
      </c>
      <c r="F835" t="s">
        <v>58</v>
      </c>
      <c r="G835">
        <v>5</v>
      </c>
      <c r="H835">
        <v>2311</v>
      </c>
      <c r="I835" t="s">
        <v>84</v>
      </c>
    </row>
    <row r="836" spans="2:9" x14ac:dyDescent="0.25">
      <c r="B836" t="s">
        <v>931</v>
      </c>
      <c r="C836" t="s">
        <v>1006</v>
      </c>
      <c r="D836" t="s">
        <v>17</v>
      </c>
      <c r="E836" s="7">
        <v>45814</v>
      </c>
      <c r="F836" t="s">
        <v>58</v>
      </c>
      <c r="G836">
        <v>3</v>
      </c>
      <c r="H836">
        <v>1725</v>
      </c>
      <c r="I836" t="s">
        <v>84</v>
      </c>
    </row>
    <row r="837" spans="2:9" x14ac:dyDescent="0.25">
      <c r="B837" t="s">
        <v>932</v>
      </c>
      <c r="C837" t="s">
        <v>1010</v>
      </c>
      <c r="D837" t="s">
        <v>21</v>
      </c>
      <c r="E837" s="7">
        <v>45743</v>
      </c>
      <c r="F837" t="s">
        <v>58</v>
      </c>
      <c r="G837">
        <v>5</v>
      </c>
      <c r="H837">
        <v>1470</v>
      </c>
      <c r="I837" t="s">
        <v>81</v>
      </c>
    </row>
    <row r="838" spans="2:9" x14ac:dyDescent="0.25">
      <c r="B838" t="s">
        <v>933</v>
      </c>
      <c r="C838" t="s">
        <v>1004</v>
      </c>
      <c r="D838" t="s">
        <v>23</v>
      </c>
      <c r="E838" s="7">
        <v>45738</v>
      </c>
      <c r="F838" t="s">
        <v>58</v>
      </c>
      <c r="G838">
        <v>5</v>
      </c>
      <c r="H838">
        <v>2298</v>
      </c>
      <c r="I838" t="s">
        <v>76</v>
      </c>
    </row>
    <row r="839" spans="2:9" x14ac:dyDescent="0.25">
      <c r="B839" t="s">
        <v>934</v>
      </c>
      <c r="C839" t="s">
        <v>1011</v>
      </c>
      <c r="D839" t="s">
        <v>11</v>
      </c>
      <c r="E839" s="7">
        <v>45851</v>
      </c>
      <c r="F839" t="s">
        <v>58</v>
      </c>
      <c r="G839">
        <v>8</v>
      </c>
      <c r="H839">
        <v>3794</v>
      </c>
      <c r="I839" t="s">
        <v>84</v>
      </c>
    </row>
    <row r="840" spans="2:9" x14ac:dyDescent="0.25">
      <c r="B840" t="s">
        <v>935</v>
      </c>
      <c r="C840" t="s">
        <v>1019</v>
      </c>
      <c r="D840" t="s">
        <v>17</v>
      </c>
      <c r="E840" s="7">
        <v>45892</v>
      </c>
      <c r="F840" t="s">
        <v>58</v>
      </c>
      <c r="G840">
        <v>6</v>
      </c>
      <c r="H840">
        <v>1883</v>
      </c>
      <c r="I840" t="s">
        <v>76</v>
      </c>
    </row>
    <row r="841" spans="2:9" x14ac:dyDescent="0.25">
      <c r="B841" t="s">
        <v>936</v>
      </c>
      <c r="C841" t="s">
        <v>1011</v>
      </c>
      <c r="D841" t="s">
        <v>11</v>
      </c>
      <c r="E841" s="7">
        <v>45658</v>
      </c>
      <c r="F841" t="s">
        <v>58</v>
      </c>
      <c r="G841">
        <v>1</v>
      </c>
      <c r="H841">
        <v>1285</v>
      </c>
      <c r="I841" t="s">
        <v>76</v>
      </c>
    </row>
    <row r="842" spans="2:9" x14ac:dyDescent="0.25">
      <c r="B842" t="s">
        <v>937</v>
      </c>
      <c r="C842" t="s">
        <v>1012</v>
      </c>
      <c r="D842" t="s">
        <v>14</v>
      </c>
      <c r="E842" s="7">
        <v>45911</v>
      </c>
      <c r="F842" t="s">
        <v>58</v>
      </c>
      <c r="G842">
        <v>10</v>
      </c>
      <c r="H842">
        <v>3065</v>
      </c>
      <c r="I842" t="s">
        <v>84</v>
      </c>
    </row>
    <row r="843" spans="2:9" x14ac:dyDescent="0.25">
      <c r="B843" t="s">
        <v>938</v>
      </c>
      <c r="C843" t="s">
        <v>1007</v>
      </c>
      <c r="D843" t="s">
        <v>19</v>
      </c>
      <c r="E843" s="7">
        <v>45943</v>
      </c>
      <c r="F843" t="s">
        <v>58</v>
      </c>
      <c r="G843">
        <v>1</v>
      </c>
      <c r="H843">
        <v>2136</v>
      </c>
      <c r="I843" t="s">
        <v>81</v>
      </c>
    </row>
    <row r="844" spans="2:9" x14ac:dyDescent="0.25">
      <c r="B844" t="s">
        <v>939</v>
      </c>
      <c r="C844" t="s">
        <v>1008</v>
      </c>
      <c r="D844" t="s">
        <v>11</v>
      </c>
      <c r="E844" s="7">
        <v>45894</v>
      </c>
      <c r="F844" t="s">
        <v>58</v>
      </c>
      <c r="G844">
        <v>9</v>
      </c>
      <c r="H844">
        <v>4698</v>
      </c>
      <c r="I844" t="s">
        <v>76</v>
      </c>
    </row>
    <row r="845" spans="2:9" x14ac:dyDescent="0.25">
      <c r="B845" t="s">
        <v>940</v>
      </c>
      <c r="C845" t="s">
        <v>1017</v>
      </c>
      <c r="D845" t="s">
        <v>21</v>
      </c>
      <c r="E845" s="7">
        <v>45678</v>
      </c>
      <c r="F845" t="s">
        <v>58</v>
      </c>
      <c r="G845">
        <v>9</v>
      </c>
      <c r="H845">
        <v>839</v>
      </c>
      <c r="I845" t="s">
        <v>84</v>
      </c>
    </row>
    <row r="846" spans="2:9" x14ac:dyDescent="0.25">
      <c r="B846" t="s">
        <v>941</v>
      </c>
      <c r="C846" t="s">
        <v>1008</v>
      </c>
      <c r="D846" t="s">
        <v>21</v>
      </c>
      <c r="E846" s="7">
        <v>46019</v>
      </c>
      <c r="F846" t="s">
        <v>58</v>
      </c>
      <c r="G846">
        <v>1</v>
      </c>
      <c r="H846">
        <v>1897</v>
      </c>
      <c r="I846" t="s">
        <v>76</v>
      </c>
    </row>
    <row r="847" spans="2:9" x14ac:dyDescent="0.25">
      <c r="B847" t="s">
        <v>942</v>
      </c>
      <c r="C847" t="s">
        <v>1008</v>
      </c>
      <c r="D847" t="s">
        <v>14</v>
      </c>
      <c r="E847" s="7">
        <v>45841</v>
      </c>
      <c r="F847" t="s">
        <v>58</v>
      </c>
      <c r="G847">
        <v>7</v>
      </c>
      <c r="H847">
        <v>3096</v>
      </c>
      <c r="I847" t="s">
        <v>81</v>
      </c>
    </row>
    <row r="848" spans="2:9" x14ac:dyDescent="0.25">
      <c r="B848" t="s">
        <v>943</v>
      </c>
      <c r="C848" t="s">
        <v>1008</v>
      </c>
      <c r="D848" t="s">
        <v>17</v>
      </c>
      <c r="E848" s="7">
        <v>45762</v>
      </c>
      <c r="F848" t="s">
        <v>58</v>
      </c>
      <c r="G848">
        <v>4</v>
      </c>
      <c r="H848">
        <v>986</v>
      </c>
      <c r="I848" t="s">
        <v>84</v>
      </c>
    </row>
    <row r="849" spans="2:9" x14ac:dyDescent="0.25">
      <c r="B849" t="s">
        <v>944</v>
      </c>
      <c r="C849" t="s">
        <v>1005</v>
      </c>
      <c r="D849" t="s">
        <v>21</v>
      </c>
      <c r="E849" s="7">
        <v>45994</v>
      </c>
      <c r="F849" t="s">
        <v>58</v>
      </c>
      <c r="G849">
        <v>10</v>
      </c>
      <c r="H849">
        <v>910</v>
      </c>
      <c r="I849" t="s">
        <v>76</v>
      </c>
    </row>
    <row r="850" spans="2:9" x14ac:dyDescent="0.25">
      <c r="B850" t="s">
        <v>945</v>
      </c>
      <c r="C850" t="s">
        <v>1022</v>
      </c>
      <c r="D850" t="s">
        <v>14</v>
      </c>
      <c r="E850" s="7">
        <v>45887</v>
      </c>
      <c r="F850" t="s">
        <v>58</v>
      </c>
      <c r="G850">
        <v>10</v>
      </c>
      <c r="H850">
        <v>4553</v>
      </c>
      <c r="I850" t="s">
        <v>84</v>
      </c>
    </row>
    <row r="851" spans="2:9" x14ac:dyDescent="0.25">
      <c r="B851" t="s">
        <v>946</v>
      </c>
      <c r="C851" t="s">
        <v>1020</v>
      </c>
      <c r="D851" t="s">
        <v>23</v>
      </c>
      <c r="E851" s="7">
        <v>45820</v>
      </c>
      <c r="F851" t="s">
        <v>58</v>
      </c>
      <c r="G851">
        <v>8</v>
      </c>
      <c r="H851">
        <v>2472</v>
      </c>
      <c r="I851" t="s">
        <v>81</v>
      </c>
    </row>
    <row r="852" spans="2:9" x14ac:dyDescent="0.25">
      <c r="B852" t="s">
        <v>947</v>
      </c>
      <c r="C852" t="s">
        <v>1022</v>
      </c>
      <c r="D852" t="s">
        <v>27</v>
      </c>
      <c r="E852" s="7">
        <v>45708</v>
      </c>
      <c r="F852" t="s">
        <v>58</v>
      </c>
      <c r="G852">
        <v>3</v>
      </c>
      <c r="H852">
        <v>1489</v>
      </c>
      <c r="I852" t="s">
        <v>84</v>
      </c>
    </row>
    <row r="853" spans="2:9" x14ac:dyDescent="0.25">
      <c r="B853" t="s">
        <v>948</v>
      </c>
      <c r="C853" t="s">
        <v>1010</v>
      </c>
      <c r="D853" t="s">
        <v>14</v>
      </c>
      <c r="E853" s="7">
        <v>45781</v>
      </c>
      <c r="F853" t="s">
        <v>58</v>
      </c>
      <c r="G853">
        <v>9</v>
      </c>
      <c r="H853">
        <v>2276</v>
      </c>
      <c r="I853" t="s">
        <v>76</v>
      </c>
    </row>
    <row r="854" spans="2:9" x14ac:dyDescent="0.25">
      <c r="B854" t="s">
        <v>949</v>
      </c>
      <c r="C854" t="s">
        <v>1008</v>
      </c>
      <c r="D854" t="s">
        <v>19</v>
      </c>
      <c r="E854" s="7">
        <v>45757</v>
      </c>
      <c r="F854" t="s">
        <v>58</v>
      </c>
      <c r="G854">
        <v>10</v>
      </c>
      <c r="H854">
        <v>1851</v>
      </c>
      <c r="I854" t="s">
        <v>84</v>
      </c>
    </row>
    <row r="855" spans="2:9" x14ac:dyDescent="0.25">
      <c r="B855" t="s">
        <v>950</v>
      </c>
      <c r="C855" t="s">
        <v>1005</v>
      </c>
      <c r="D855" t="s">
        <v>17</v>
      </c>
      <c r="E855" s="7">
        <v>45759</v>
      </c>
      <c r="F855" t="s">
        <v>58</v>
      </c>
      <c r="G855">
        <v>6</v>
      </c>
      <c r="H855">
        <v>1042</v>
      </c>
      <c r="I855" t="s">
        <v>81</v>
      </c>
    </row>
    <row r="856" spans="2:9" x14ac:dyDescent="0.25">
      <c r="B856" t="s">
        <v>951</v>
      </c>
      <c r="C856" t="s">
        <v>1016</v>
      </c>
      <c r="D856" t="s">
        <v>21</v>
      </c>
      <c r="E856" s="7">
        <v>45974</v>
      </c>
      <c r="F856" t="s">
        <v>58</v>
      </c>
      <c r="G856">
        <v>10</v>
      </c>
      <c r="H856">
        <v>2002</v>
      </c>
      <c r="I856" t="s">
        <v>84</v>
      </c>
    </row>
    <row r="857" spans="2:9" x14ac:dyDescent="0.25">
      <c r="B857" t="s">
        <v>952</v>
      </c>
      <c r="C857" t="s">
        <v>1005</v>
      </c>
      <c r="D857" t="s">
        <v>21</v>
      </c>
      <c r="E857" s="7">
        <v>45682</v>
      </c>
      <c r="F857" t="s">
        <v>58</v>
      </c>
      <c r="G857">
        <v>6</v>
      </c>
      <c r="H857">
        <v>734</v>
      </c>
      <c r="I857" t="s">
        <v>76</v>
      </c>
    </row>
    <row r="858" spans="2:9" x14ac:dyDescent="0.25">
      <c r="B858" t="s">
        <v>953</v>
      </c>
      <c r="C858" t="s">
        <v>1004</v>
      </c>
      <c r="D858" t="s">
        <v>14</v>
      </c>
      <c r="E858" s="7">
        <v>45934</v>
      </c>
      <c r="F858" t="s">
        <v>58</v>
      </c>
      <c r="G858">
        <v>4</v>
      </c>
      <c r="H858">
        <v>4529</v>
      </c>
      <c r="I858" t="s">
        <v>84</v>
      </c>
    </row>
    <row r="859" spans="2:9" x14ac:dyDescent="0.25">
      <c r="B859" t="s">
        <v>954</v>
      </c>
      <c r="C859" t="s">
        <v>1022</v>
      </c>
      <c r="D859" t="s">
        <v>17</v>
      </c>
      <c r="E859" s="7">
        <v>45874</v>
      </c>
      <c r="F859" t="s">
        <v>58</v>
      </c>
      <c r="G859">
        <v>6</v>
      </c>
      <c r="H859">
        <v>4564</v>
      </c>
      <c r="I859" t="s">
        <v>81</v>
      </c>
    </row>
    <row r="860" spans="2:9" x14ac:dyDescent="0.25">
      <c r="B860" t="s">
        <v>955</v>
      </c>
      <c r="C860" t="s">
        <v>1019</v>
      </c>
      <c r="D860" t="s">
        <v>17</v>
      </c>
      <c r="E860" s="7">
        <v>45711</v>
      </c>
      <c r="F860" t="s">
        <v>58</v>
      </c>
      <c r="G860">
        <v>7</v>
      </c>
      <c r="H860">
        <v>3304</v>
      </c>
      <c r="I860" t="s">
        <v>84</v>
      </c>
    </row>
    <row r="861" spans="2:9" x14ac:dyDescent="0.25">
      <c r="B861" t="s">
        <v>956</v>
      </c>
      <c r="C861" t="s">
        <v>1006</v>
      </c>
      <c r="D861" t="s">
        <v>21</v>
      </c>
      <c r="E861" s="7">
        <v>45818</v>
      </c>
      <c r="F861" t="s">
        <v>58</v>
      </c>
      <c r="G861">
        <v>6</v>
      </c>
      <c r="H861">
        <v>2044</v>
      </c>
      <c r="I861" t="s">
        <v>81</v>
      </c>
    </row>
    <row r="862" spans="2:9" x14ac:dyDescent="0.25">
      <c r="B862" t="s">
        <v>957</v>
      </c>
      <c r="C862" t="s">
        <v>1011</v>
      </c>
      <c r="D862" t="s">
        <v>14</v>
      </c>
      <c r="E862" s="7">
        <v>45841</v>
      </c>
      <c r="F862" t="s">
        <v>58</v>
      </c>
      <c r="G862">
        <v>5</v>
      </c>
      <c r="H862">
        <v>3405</v>
      </c>
      <c r="I862" t="s">
        <v>76</v>
      </c>
    </row>
    <row r="863" spans="2:9" x14ac:dyDescent="0.25">
      <c r="B863" t="s">
        <v>958</v>
      </c>
      <c r="C863" t="s">
        <v>1021</v>
      </c>
      <c r="D863" t="s">
        <v>21</v>
      </c>
      <c r="E863" s="7">
        <v>45707</v>
      </c>
      <c r="F863" t="s">
        <v>58</v>
      </c>
      <c r="G863">
        <v>9</v>
      </c>
      <c r="H863">
        <v>3856</v>
      </c>
      <c r="I863" t="s">
        <v>84</v>
      </c>
    </row>
    <row r="864" spans="2:9" x14ac:dyDescent="0.25">
      <c r="B864" t="s">
        <v>959</v>
      </c>
      <c r="C864" t="s">
        <v>1015</v>
      </c>
      <c r="D864" t="s">
        <v>21</v>
      </c>
      <c r="E864" s="7">
        <v>45892</v>
      </c>
      <c r="F864" t="s">
        <v>58</v>
      </c>
      <c r="G864">
        <v>8</v>
      </c>
      <c r="H864">
        <v>1193</v>
      </c>
      <c r="I864" t="s">
        <v>81</v>
      </c>
    </row>
    <row r="865" spans="2:9" x14ac:dyDescent="0.25">
      <c r="B865" t="s">
        <v>960</v>
      </c>
      <c r="C865" t="s">
        <v>1006</v>
      </c>
      <c r="D865" t="s">
        <v>21</v>
      </c>
      <c r="E865" s="7">
        <v>45795</v>
      </c>
      <c r="F865" t="s">
        <v>58</v>
      </c>
      <c r="G865">
        <v>1</v>
      </c>
      <c r="H865">
        <v>2003</v>
      </c>
      <c r="I865" t="s">
        <v>84</v>
      </c>
    </row>
    <row r="866" spans="2:9" x14ac:dyDescent="0.25">
      <c r="B866" t="s">
        <v>961</v>
      </c>
      <c r="C866" t="s">
        <v>1013</v>
      </c>
      <c r="D866" t="s">
        <v>17</v>
      </c>
      <c r="E866" s="7">
        <v>45782</v>
      </c>
      <c r="F866" t="s">
        <v>58</v>
      </c>
      <c r="G866">
        <v>6</v>
      </c>
      <c r="H866">
        <v>4237</v>
      </c>
      <c r="I866" t="s">
        <v>81</v>
      </c>
    </row>
    <row r="867" spans="2:9" x14ac:dyDescent="0.25">
      <c r="B867" t="s">
        <v>962</v>
      </c>
      <c r="C867" t="s">
        <v>1009</v>
      </c>
      <c r="D867" t="s">
        <v>17</v>
      </c>
      <c r="E867" s="7">
        <v>45805</v>
      </c>
      <c r="F867" t="s">
        <v>58</v>
      </c>
      <c r="G867">
        <v>9</v>
      </c>
      <c r="H867">
        <v>4677</v>
      </c>
      <c r="I867" t="s">
        <v>81</v>
      </c>
    </row>
    <row r="868" spans="2:9" x14ac:dyDescent="0.25">
      <c r="B868" t="s">
        <v>963</v>
      </c>
      <c r="C868" t="s">
        <v>1017</v>
      </c>
      <c r="D868" t="s">
        <v>21</v>
      </c>
      <c r="E868" s="7">
        <v>45672</v>
      </c>
      <c r="F868" t="s">
        <v>58</v>
      </c>
      <c r="G868">
        <v>4</v>
      </c>
      <c r="H868">
        <v>1428</v>
      </c>
      <c r="I868" t="s">
        <v>81</v>
      </c>
    </row>
    <row r="869" spans="2:9" x14ac:dyDescent="0.25">
      <c r="B869" t="s">
        <v>964</v>
      </c>
      <c r="C869" t="s">
        <v>1021</v>
      </c>
      <c r="D869" t="s">
        <v>23</v>
      </c>
      <c r="E869" s="7">
        <v>45829</v>
      </c>
      <c r="F869" t="s">
        <v>58</v>
      </c>
      <c r="G869">
        <v>4</v>
      </c>
      <c r="H869">
        <v>1389</v>
      </c>
      <c r="I869" t="s">
        <v>84</v>
      </c>
    </row>
    <row r="870" spans="2:9" x14ac:dyDescent="0.25">
      <c r="B870" t="s">
        <v>965</v>
      </c>
      <c r="C870" t="s">
        <v>1019</v>
      </c>
      <c r="D870" t="s">
        <v>14</v>
      </c>
      <c r="E870" s="7">
        <v>46005</v>
      </c>
      <c r="F870" t="s">
        <v>58</v>
      </c>
      <c r="G870">
        <v>8</v>
      </c>
      <c r="H870">
        <v>2823</v>
      </c>
      <c r="I870" t="s">
        <v>76</v>
      </c>
    </row>
    <row r="871" spans="2:9" x14ac:dyDescent="0.25">
      <c r="B871" t="s">
        <v>966</v>
      </c>
      <c r="C871" t="s">
        <v>1012</v>
      </c>
      <c r="D871" t="s">
        <v>21</v>
      </c>
      <c r="E871" s="7">
        <v>45691</v>
      </c>
      <c r="F871" t="s">
        <v>58</v>
      </c>
      <c r="G871">
        <v>8</v>
      </c>
      <c r="H871">
        <v>2823</v>
      </c>
      <c r="I871" t="s">
        <v>81</v>
      </c>
    </row>
    <row r="872" spans="2:9" x14ac:dyDescent="0.25">
      <c r="B872" t="s">
        <v>967</v>
      </c>
      <c r="C872" t="s">
        <v>1019</v>
      </c>
      <c r="D872" t="s">
        <v>21</v>
      </c>
      <c r="E872" s="7">
        <v>45987</v>
      </c>
      <c r="F872" t="s">
        <v>58</v>
      </c>
      <c r="G872">
        <v>9</v>
      </c>
      <c r="H872">
        <v>4786</v>
      </c>
      <c r="I872" t="s">
        <v>84</v>
      </c>
    </row>
    <row r="873" spans="2:9" x14ac:dyDescent="0.25">
      <c r="B873" t="s">
        <v>968</v>
      </c>
      <c r="C873" t="s">
        <v>1011</v>
      </c>
      <c r="D873" t="s">
        <v>23</v>
      </c>
      <c r="E873" s="7">
        <v>45765</v>
      </c>
      <c r="F873" t="s">
        <v>58</v>
      </c>
      <c r="G873">
        <v>7</v>
      </c>
      <c r="H873">
        <v>981</v>
      </c>
      <c r="I873" t="s">
        <v>81</v>
      </c>
    </row>
    <row r="874" spans="2:9" x14ac:dyDescent="0.25">
      <c r="B874" t="s">
        <v>969</v>
      </c>
      <c r="C874" t="s">
        <v>1011</v>
      </c>
      <c r="D874" t="s">
        <v>23</v>
      </c>
      <c r="E874" s="7">
        <v>45958</v>
      </c>
      <c r="F874" t="s">
        <v>58</v>
      </c>
      <c r="G874">
        <v>6</v>
      </c>
      <c r="H874">
        <v>4923</v>
      </c>
      <c r="I874" t="s">
        <v>84</v>
      </c>
    </row>
    <row r="875" spans="2:9" x14ac:dyDescent="0.25">
      <c r="B875" t="s">
        <v>970</v>
      </c>
      <c r="C875" t="s">
        <v>1004</v>
      </c>
      <c r="D875" t="s">
        <v>27</v>
      </c>
      <c r="E875" s="7">
        <v>45660</v>
      </c>
      <c r="F875" t="s">
        <v>58</v>
      </c>
      <c r="G875">
        <v>9</v>
      </c>
      <c r="H875">
        <v>4055</v>
      </c>
      <c r="I875" t="s">
        <v>84</v>
      </c>
    </row>
    <row r="876" spans="2:9" x14ac:dyDescent="0.25">
      <c r="B876" t="s">
        <v>971</v>
      </c>
      <c r="C876" t="s">
        <v>1015</v>
      </c>
      <c r="D876" t="s">
        <v>21</v>
      </c>
      <c r="E876" s="7">
        <v>45963</v>
      </c>
      <c r="F876" t="s">
        <v>58</v>
      </c>
      <c r="G876">
        <v>5</v>
      </c>
      <c r="H876">
        <v>2085</v>
      </c>
      <c r="I876" t="s">
        <v>81</v>
      </c>
    </row>
    <row r="877" spans="2:9" x14ac:dyDescent="0.25">
      <c r="B877" t="s">
        <v>972</v>
      </c>
      <c r="C877" t="s">
        <v>1007</v>
      </c>
      <c r="D877" t="s">
        <v>17</v>
      </c>
      <c r="E877" s="7">
        <v>45882</v>
      </c>
      <c r="F877" t="s">
        <v>58</v>
      </c>
      <c r="G877">
        <v>4</v>
      </c>
      <c r="H877">
        <v>1557</v>
      </c>
      <c r="I877" t="s">
        <v>81</v>
      </c>
    </row>
    <row r="878" spans="2:9" x14ac:dyDescent="0.25">
      <c r="B878" t="s">
        <v>973</v>
      </c>
      <c r="C878" t="s">
        <v>1011</v>
      </c>
      <c r="D878" t="s">
        <v>23</v>
      </c>
      <c r="E878" s="7">
        <v>45891</v>
      </c>
      <c r="F878" t="s">
        <v>58</v>
      </c>
      <c r="G878">
        <v>2</v>
      </c>
      <c r="H878">
        <v>1352</v>
      </c>
      <c r="I878" t="s">
        <v>84</v>
      </c>
    </row>
    <row r="879" spans="2:9" x14ac:dyDescent="0.25">
      <c r="B879" t="s">
        <v>974</v>
      </c>
      <c r="C879" t="s">
        <v>1018</v>
      </c>
      <c r="D879" t="s">
        <v>21</v>
      </c>
      <c r="E879" s="7">
        <v>45927</v>
      </c>
      <c r="F879" t="s">
        <v>58</v>
      </c>
      <c r="G879">
        <v>5</v>
      </c>
      <c r="H879">
        <v>4169</v>
      </c>
      <c r="I879" t="s">
        <v>81</v>
      </c>
    </row>
    <row r="880" spans="2:9" x14ac:dyDescent="0.25">
      <c r="B880" t="s">
        <v>975</v>
      </c>
      <c r="C880" t="s">
        <v>1004</v>
      </c>
      <c r="D880" t="s">
        <v>21</v>
      </c>
      <c r="E880" s="7">
        <v>45957</v>
      </c>
      <c r="F880" t="s">
        <v>58</v>
      </c>
      <c r="G880">
        <v>6</v>
      </c>
      <c r="H880">
        <v>4065</v>
      </c>
      <c r="I880" t="s">
        <v>81</v>
      </c>
    </row>
    <row r="881" spans="2:9" x14ac:dyDescent="0.25">
      <c r="B881" t="s">
        <v>976</v>
      </c>
      <c r="C881" t="s">
        <v>1020</v>
      </c>
      <c r="D881" t="s">
        <v>17</v>
      </c>
      <c r="E881" s="7">
        <v>45692</v>
      </c>
      <c r="F881" t="s">
        <v>58</v>
      </c>
      <c r="G881">
        <v>8</v>
      </c>
      <c r="H881">
        <v>3894</v>
      </c>
      <c r="I881" t="s">
        <v>76</v>
      </c>
    </row>
    <row r="882" spans="2:9" x14ac:dyDescent="0.25">
      <c r="B882" t="s">
        <v>977</v>
      </c>
      <c r="C882" t="s">
        <v>1009</v>
      </c>
      <c r="D882" t="s">
        <v>11</v>
      </c>
      <c r="E882" s="7">
        <v>45739</v>
      </c>
      <c r="F882" t="s">
        <v>58</v>
      </c>
      <c r="G882">
        <v>9</v>
      </c>
      <c r="H882">
        <v>2851</v>
      </c>
      <c r="I882" t="s">
        <v>81</v>
      </c>
    </row>
    <row r="883" spans="2:9" x14ac:dyDescent="0.25">
      <c r="B883" t="s">
        <v>978</v>
      </c>
      <c r="C883" t="s">
        <v>1005</v>
      </c>
      <c r="D883" t="s">
        <v>21</v>
      </c>
      <c r="E883" s="7">
        <v>45982</v>
      </c>
      <c r="F883" t="s">
        <v>58</v>
      </c>
      <c r="G883">
        <v>9</v>
      </c>
      <c r="H883">
        <v>3943</v>
      </c>
      <c r="I883" t="s">
        <v>81</v>
      </c>
    </row>
    <row r="884" spans="2:9" x14ac:dyDescent="0.25">
      <c r="B884" t="s">
        <v>979</v>
      </c>
      <c r="C884" t="s">
        <v>1008</v>
      </c>
      <c r="D884" t="s">
        <v>27</v>
      </c>
      <c r="E884" s="7">
        <v>45707</v>
      </c>
      <c r="F884" t="s">
        <v>58</v>
      </c>
      <c r="G884">
        <v>4</v>
      </c>
      <c r="H884">
        <v>1542</v>
      </c>
      <c r="I884" t="s">
        <v>84</v>
      </c>
    </row>
    <row r="885" spans="2:9" x14ac:dyDescent="0.25">
      <c r="B885" t="s">
        <v>980</v>
      </c>
      <c r="C885" t="s">
        <v>1009</v>
      </c>
      <c r="D885" t="s">
        <v>19</v>
      </c>
      <c r="E885" s="7">
        <v>45799</v>
      </c>
      <c r="F885" t="s">
        <v>58</v>
      </c>
      <c r="G885">
        <v>10</v>
      </c>
      <c r="H885">
        <v>3791</v>
      </c>
      <c r="I885" t="s">
        <v>81</v>
      </c>
    </row>
    <row r="886" spans="2:9" x14ac:dyDescent="0.25">
      <c r="B886" t="s">
        <v>981</v>
      </c>
      <c r="C886" t="s">
        <v>1007</v>
      </c>
      <c r="D886" t="s">
        <v>14</v>
      </c>
      <c r="E886" s="7">
        <v>45663</v>
      </c>
      <c r="F886" t="s">
        <v>58</v>
      </c>
      <c r="G886">
        <v>9</v>
      </c>
      <c r="H886">
        <v>236</v>
      </c>
      <c r="I886" t="s">
        <v>81</v>
      </c>
    </row>
    <row r="887" spans="2:9" x14ac:dyDescent="0.25">
      <c r="B887" t="s">
        <v>982</v>
      </c>
      <c r="C887" t="s">
        <v>1017</v>
      </c>
      <c r="D887" t="s">
        <v>19</v>
      </c>
      <c r="E887" s="7">
        <v>45702</v>
      </c>
      <c r="F887" t="s">
        <v>58</v>
      </c>
      <c r="G887">
        <v>3</v>
      </c>
      <c r="H887">
        <v>4157</v>
      </c>
      <c r="I887" t="s">
        <v>84</v>
      </c>
    </row>
    <row r="888" spans="2:9" x14ac:dyDescent="0.25">
      <c r="B888" t="s">
        <v>983</v>
      </c>
      <c r="C888" t="s">
        <v>1005</v>
      </c>
      <c r="D888" t="s">
        <v>23</v>
      </c>
      <c r="E888" s="7">
        <v>45876</v>
      </c>
      <c r="F888" t="s">
        <v>58</v>
      </c>
      <c r="G888">
        <v>2</v>
      </c>
      <c r="H888">
        <v>275</v>
      </c>
      <c r="I888" t="s">
        <v>81</v>
      </c>
    </row>
    <row r="889" spans="2:9" x14ac:dyDescent="0.25">
      <c r="B889" t="s">
        <v>984</v>
      </c>
      <c r="C889" t="s">
        <v>1019</v>
      </c>
      <c r="D889" t="s">
        <v>19</v>
      </c>
      <c r="E889" s="7">
        <v>46002</v>
      </c>
      <c r="F889" t="s">
        <v>58</v>
      </c>
      <c r="G889">
        <v>5</v>
      </c>
      <c r="H889">
        <v>2026</v>
      </c>
      <c r="I889" t="s">
        <v>76</v>
      </c>
    </row>
    <row r="890" spans="2:9" x14ac:dyDescent="0.25">
      <c r="B890" t="s">
        <v>985</v>
      </c>
      <c r="C890" t="s">
        <v>1018</v>
      </c>
      <c r="D890" t="s">
        <v>14</v>
      </c>
      <c r="E890" s="7">
        <v>45956</v>
      </c>
      <c r="F890" t="s">
        <v>58</v>
      </c>
      <c r="G890">
        <v>6</v>
      </c>
      <c r="H890">
        <v>4247</v>
      </c>
      <c r="I890" t="s">
        <v>76</v>
      </c>
    </row>
    <row r="891" spans="2:9" x14ac:dyDescent="0.25">
      <c r="B891" t="s">
        <v>986</v>
      </c>
      <c r="C891" t="s">
        <v>1018</v>
      </c>
      <c r="D891" t="s">
        <v>17</v>
      </c>
      <c r="E891" s="7">
        <v>45694</v>
      </c>
      <c r="F891" t="s">
        <v>58</v>
      </c>
      <c r="G891">
        <v>1</v>
      </c>
      <c r="H891">
        <v>607</v>
      </c>
      <c r="I891" t="s">
        <v>81</v>
      </c>
    </row>
    <row r="892" spans="2:9" x14ac:dyDescent="0.25">
      <c r="B892" t="s">
        <v>987</v>
      </c>
      <c r="C892" t="s">
        <v>1020</v>
      </c>
      <c r="D892" t="s">
        <v>23</v>
      </c>
      <c r="E892" s="7">
        <v>45979</v>
      </c>
      <c r="F892" t="s">
        <v>58</v>
      </c>
      <c r="G892">
        <v>3</v>
      </c>
      <c r="H892">
        <v>1042</v>
      </c>
      <c r="I892" t="s">
        <v>76</v>
      </c>
    </row>
    <row r="893" spans="2:9" x14ac:dyDescent="0.25">
      <c r="B893" t="s">
        <v>988</v>
      </c>
      <c r="C893" t="s">
        <v>1011</v>
      </c>
      <c r="D893" t="s">
        <v>14</v>
      </c>
      <c r="E893" s="7">
        <v>45928</v>
      </c>
      <c r="F893" t="s">
        <v>58</v>
      </c>
      <c r="G893">
        <v>4</v>
      </c>
      <c r="H893">
        <v>4357</v>
      </c>
      <c r="I893" t="s">
        <v>76</v>
      </c>
    </row>
    <row r="894" spans="2:9" x14ac:dyDescent="0.25">
      <c r="B894" t="s">
        <v>989</v>
      </c>
      <c r="C894" t="s">
        <v>1008</v>
      </c>
      <c r="D894" t="s">
        <v>21</v>
      </c>
      <c r="E894" s="7">
        <v>45717</v>
      </c>
      <c r="F894" t="s">
        <v>58</v>
      </c>
      <c r="G894">
        <v>1</v>
      </c>
      <c r="H894">
        <v>720</v>
      </c>
      <c r="I894" t="s">
        <v>76</v>
      </c>
    </row>
    <row r="895" spans="2:9" x14ac:dyDescent="0.25">
      <c r="B895" t="s">
        <v>990</v>
      </c>
      <c r="C895" t="s">
        <v>1011</v>
      </c>
      <c r="D895" t="s">
        <v>21</v>
      </c>
      <c r="E895" s="7">
        <v>45835</v>
      </c>
      <c r="F895" t="s">
        <v>58</v>
      </c>
      <c r="G895">
        <v>5</v>
      </c>
      <c r="H895">
        <v>4034</v>
      </c>
      <c r="I895" t="s">
        <v>76</v>
      </c>
    </row>
    <row r="896" spans="2:9" x14ac:dyDescent="0.25">
      <c r="B896" t="s">
        <v>991</v>
      </c>
      <c r="C896" t="s">
        <v>1006</v>
      </c>
      <c r="D896" t="s">
        <v>21</v>
      </c>
      <c r="E896" s="7">
        <v>45896</v>
      </c>
      <c r="F896" t="s">
        <v>58</v>
      </c>
      <c r="G896">
        <v>10</v>
      </c>
      <c r="H896">
        <v>4622</v>
      </c>
      <c r="I896" t="s">
        <v>81</v>
      </c>
    </row>
    <row r="897" spans="2:9" x14ac:dyDescent="0.25">
      <c r="B897" t="s">
        <v>992</v>
      </c>
      <c r="C897" t="s">
        <v>1006</v>
      </c>
      <c r="D897" t="s">
        <v>21</v>
      </c>
      <c r="E897" s="7">
        <v>45734</v>
      </c>
      <c r="F897" t="s">
        <v>58</v>
      </c>
      <c r="G897">
        <v>10</v>
      </c>
      <c r="H897">
        <v>1602</v>
      </c>
      <c r="I897" t="s">
        <v>76</v>
      </c>
    </row>
    <row r="898" spans="2:9" x14ac:dyDescent="0.25">
      <c r="B898" t="s">
        <v>993</v>
      </c>
      <c r="C898" t="s">
        <v>1007</v>
      </c>
      <c r="D898" t="s">
        <v>19</v>
      </c>
      <c r="E898" s="7">
        <v>46006</v>
      </c>
      <c r="F898" t="s">
        <v>58</v>
      </c>
      <c r="G898">
        <v>9</v>
      </c>
      <c r="H898">
        <v>394</v>
      </c>
      <c r="I898" t="s">
        <v>84</v>
      </c>
    </row>
    <row r="899" spans="2:9" x14ac:dyDescent="0.25">
      <c r="B899" t="s">
        <v>994</v>
      </c>
      <c r="C899" t="s">
        <v>1022</v>
      </c>
      <c r="D899" t="s">
        <v>21</v>
      </c>
      <c r="E899" s="7">
        <v>46012</v>
      </c>
      <c r="F899" t="s">
        <v>58</v>
      </c>
      <c r="G899">
        <v>8</v>
      </c>
      <c r="H899">
        <v>272</v>
      </c>
      <c r="I899" t="s">
        <v>76</v>
      </c>
    </row>
    <row r="900" spans="2:9" x14ac:dyDescent="0.25">
      <c r="B900" t="s">
        <v>995</v>
      </c>
      <c r="C900" t="s">
        <v>1015</v>
      </c>
      <c r="D900" t="s">
        <v>17</v>
      </c>
      <c r="E900" s="7">
        <v>45813</v>
      </c>
      <c r="F900" t="s">
        <v>58</v>
      </c>
      <c r="G900">
        <v>4</v>
      </c>
      <c r="H900">
        <v>1831</v>
      </c>
      <c r="I900" t="s">
        <v>81</v>
      </c>
    </row>
    <row r="901" spans="2:9" x14ac:dyDescent="0.25">
      <c r="B901" t="s">
        <v>996</v>
      </c>
      <c r="C901" t="s">
        <v>1004</v>
      </c>
      <c r="D901" t="s">
        <v>11</v>
      </c>
      <c r="E901" s="7">
        <v>45666</v>
      </c>
      <c r="F901" t="s">
        <v>58</v>
      </c>
      <c r="G901">
        <v>8</v>
      </c>
      <c r="H901">
        <v>4500</v>
      </c>
      <c r="I901" t="s">
        <v>84</v>
      </c>
    </row>
    <row r="902" spans="2:9" x14ac:dyDescent="0.25">
      <c r="B902" t="s">
        <v>997</v>
      </c>
      <c r="C902" t="s">
        <v>1009</v>
      </c>
      <c r="D902" t="s">
        <v>17</v>
      </c>
      <c r="E902" s="7">
        <v>45852</v>
      </c>
      <c r="F902" t="s">
        <v>58</v>
      </c>
      <c r="G902">
        <v>2</v>
      </c>
      <c r="H902">
        <v>4049</v>
      </c>
      <c r="I902" t="s">
        <v>84</v>
      </c>
    </row>
    <row r="903" spans="2:9" x14ac:dyDescent="0.25">
      <c r="B903" t="s">
        <v>998</v>
      </c>
      <c r="C903" t="s">
        <v>1012</v>
      </c>
      <c r="D903" t="s">
        <v>21</v>
      </c>
      <c r="E903" s="7">
        <v>45705</v>
      </c>
      <c r="F903" t="s">
        <v>58</v>
      </c>
      <c r="G903">
        <v>2</v>
      </c>
      <c r="H903">
        <v>63</v>
      </c>
      <c r="I903" t="s">
        <v>76</v>
      </c>
    </row>
    <row r="904" spans="2:9" x14ac:dyDescent="0.25">
      <c r="B904" t="s">
        <v>999</v>
      </c>
      <c r="C904" t="s">
        <v>1014</v>
      </c>
      <c r="D904" t="s">
        <v>19</v>
      </c>
      <c r="E904" s="7">
        <v>45668</v>
      </c>
      <c r="F904" t="s">
        <v>58</v>
      </c>
      <c r="G904">
        <v>1</v>
      </c>
      <c r="H904">
        <v>3410</v>
      </c>
      <c r="I904" t="s">
        <v>84</v>
      </c>
    </row>
    <row r="905" spans="2:9" x14ac:dyDescent="0.25">
      <c r="B905" t="s">
        <v>1000</v>
      </c>
      <c r="C905" t="s">
        <v>1006</v>
      </c>
      <c r="D905" t="s">
        <v>21</v>
      </c>
      <c r="E905" s="7">
        <v>45660</v>
      </c>
      <c r="F905" t="s">
        <v>58</v>
      </c>
      <c r="G905">
        <v>8</v>
      </c>
      <c r="H905">
        <v>3868</v>
      </c>
      <c r="I905" t="s">
        <v>81</v>
      </c>
    </row>
    <row r="906" spans="2:9" x14ac:dyDescent="0.25">
      <c r="B906" t="s">
        <v>1001</v>
      </c>
      <c r="C906" t="s">
        <v>1011</v>
      </c>
      <c r="D906" t="s">
        <v>14</v>
      </c>
      <c r="E906" s="7">
        <v>45956</v>
      </c>
      <c r="F906" t="s">
        <v>58</v>
      </c>
      <c r="G906">
        <v>2</v>
      </c>
      <c r="H906">
        <v>2500</v>
      </c>
      <c r="I906" t="s">
        <v>76</v>
      </c>
    </row>
    <row r="907" spans="2:9" x14ac:dyDescent="0.25">
      <c r="B907" t="s">
        <v>1002</v>
      </c>
      <c r="C907" t="s">
        <v>1014</v>
      </c>
      <c r="D907" t="s">
        <v>21</v>
      </c>
      <c r="E907" s="7">
        <v>45916</v>
      </c>
      <c r="F907" t="s">
        <v>58</v>
      </c>
      <c r="G907">
        <v>2</v>
      </c>
      <c r="H907">
        <v>4183</v>
      </c>
      <c r="I907" t="s">
        <v>76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1462-C4A8-4307-9169-BBE38B78B78B}">
  <sheetPr codeName="Hoja3"/>
  <dimension ref="B6:I941"/>
  <sheetViews>
    <sheetView showGridLines="0" zoomScale="44" zoomScaleNormal="44" workbookViewId="0">
      <selection activeCell="F96" sqref="F96"/>
    </sheetView>
  </sheetViews>
  <sheetFormatPr baseColWidth="10" defaultRowHeight="15" x14ac:dyDescent="0.25"/>
  <cols>
    <col min="2" max="2" width="15.28515625" customWidth="1"/>
    <col min="3" max="3" width="33.85546875" customWidth="1"/>
    <col min="4" max="4" width="28.85546875" customWidth="1"/>
    <col min="5" max="5" width="25.85546875" customWidth="1"/>
    <col min="6" max="6" width="23" customWidth="1"/>
    <col min="7" max="7" width="13.28515625" customWidth="1"/>
    <col min="8" max="9" width="26.5703125" customWidth="1"/>
  </cols>
  <sheetData>
    <row r="6" spans="2:9" ht="18.75" x14ac:dyDescent="0.3">
      <c r="B6" s="4" t="s">
        <v>0</v>
      </c>
      <c r="C6" s="4" t="s">
        <v>1</v>
      </c>
      <c r="D6" s="4" t="s">
        <v>2</v>
      </c>
      <c r="E6" s="4" t="s">
        <v>3</v>
      </c>
      <c r="F6" s="4" t="s">
        <v>4</v>
      </c>
      <c r="G6" s="4" t="s">
        <v>61</v>
      </c>
      <c r="H6" s="4" t="s">
        <v>64</v>
      </c>
      <c r="I6" s="4" t="s">
        <v>62</v>
      </c>
    </row>
    <row r="7" spans="2:9" x14ac:dyDescent="0.25">
      <c r="B7" t="s">
        <v>102</v>
      </c>
      <c r="C7" t="s">
        <v>99</v>
      </c>
      <c r="D7" t="s">
        <v>83</v>
      </c>
      <c r="E7" s="7">
        <v>45685</v>
      </c>
      <c r="F7" t="s">
        <v>57</v>
      </c>
      <c r="G7">
        <v>4</v>
      </c>
      <c r="H7">
        <v>2062</v>
      </c>
      <c r="I7" t="s">
        <v>81</v>
      </c>
    </row>
    <row r="8" spans="2:9" x14ac:dyDescent="0.25">
      <c r="B8" t="s">
        <v>103</v>
      </c>
      <c r="C8" t="s">
        <v>100</v>
      </c>
      <c r="D8" t="s">
        <v>80</v>
      </c>
      <c r="E8" s="7">
        <v>46015</v>
      </c>
      <c r="F8" t="s">
        <v>57</v>
      </c>
      <c r="G8">
        <v>1</v>
      </c>
      <c r="H8">
        <v>4291</v>
      </c>
      <c r="I8" t="s">
        <v>81</v>
      </c>
    </row>
    <row r="9" spans="2:9" x14ac:dyDescent="0.25">
      <c r="B9" t="s">
        <v>104</v>
      </c>
      <c r="C9" t="s">
        <v>91</v>
      </c>
      <c r="D9" t="s">
        <v>75</v>
      </c>
      <c r="E9" s="7">
        <v>45737</v>
      </c>
      <c r="F9" t="s">
        <v>60</v>
      </c>
      <c r="G9">
        <v>7</v>
      </c>
      <c r="H9">
        <v>460</v>
      </c>
      <c r="I9" t="s">
        <v>81</v>
      </c>
    </row>
    <row r="10" spans="2:9" x14ac:dyDescent="0.25">
      <c r="B10" t="s">
        <v>105</v>
      </c>
      <c r="C10" t="s">
        <v>92</v>
      </c>
      <c r="D10" t="s">
        <v>75</v>
      </c>
      <c r="E10" s="7">
        <v>45944</v>
      </c>
      <c r="F10" t="s">
        <v>57</v>
      </c>
      <c r="G10">
        <v>5</v>
      </c>
      <c r="H10">
        <v>2216</v>
      </c>
      <c r="I10" t="s">
        <v>84</v>
      </c>
    </row>
    <row r="11" spans="2:9" x14ac:dyDescent="0.25">
      <c r="B11" t="s">
        <v>106</v>
      </c>
      <c r="C11" t="s">
        <v>77</v>
      </c>
      <c r="D11" t="s">
        <v>78</v>
      </c>
      <c r="E11" s="7">
        <v>46001</v>
      </c>
      <c r="F11" t="s">
        <v>57</v>
      </c>
      <c r="G11">
        <v>9</v>
      </c>
      <c r="H11">
        <v>115</v>
      </c>
      <c r="I11" t="s">
        <v>84</v>
      </c>
    </row>
    <row r="12" spans="2:9" x14ac:dyDescent="0.25">
      <c r="B12" t="s">
        <v>107</v>
      </c>
      <c r="C12" t="s">
        <v>96</v>
      </c>
      <c r="D12" t="s">
        <v>88</v>
      </c>
      <c r="E12" s="7">
        <v>45763</v>
      </c>
      <c r="F12" t="s">
        <v>60</v>
      </c>
      <c r="G12">
        <v>10</v>
      </c>
      <c r="H12">
        <v>980</v>
      </c>
      <c r="I12" t="s">
        <v>76</v>
      </c>
    </row>
    <row r="13" spans="2:9" x14ac:dyDescent="0.25">
      <c r="B13" t="s">
        <v>108</v>
      </c>
      <c r="C13" t="s">
        <v>85</v>
      </c>
      <c r="D13" t="s">
        <v>80</v>
      </c>
      <c r="E13" s="7">
        <v>45892</v>
      </c>
      <c r="F13" t="s">
        <v>60</v>
      </c>
      <c r="G13">
        <v>9</v>
      </c>
      <c r="H13">
        <v>502</v>
      </c>
      <c r="I13" t="s">
        <v>84</v>
      </c>
    </row>
    <row r="14" spans="2:9" x14ac:dyDescent="0.25">
      <c r="B14" t="s">
        <v>109</v>
      </c>
      <c r="C14" t="s">
        <v>95</v>
      </c>
      <c r="D14" t="s">
        <v>80</v>
      </c>
      <c r="E14" s="7">
        <v>46012</v>
      </c>
      <c r="F14" t="s">
        <v>60</v>
      </c>
      <c r="G14">
        <v>4</v>
      </c>
      <c r="H14">
        <v>680</v>
      </c>
      <c r="I14" t="s">
        <v>81</v>
      </c>
    </row>
    <row r="15" spans="2:9" x14ac:dyDescent="0.25">
      <c r="B15" t="s">
        <v>110</v>
      </c>
      <c r="C15" t="s">
        <v>74</v>
      </c>
      <c r="D15" t="s">
        <v>75</v>
      </c>
      <c r="E15" s="7">
        <v>45942</v>
      </c>
      <c r="F15" t="s">
        <v>60</v>
      </c>
      <c r="G15">
        <v>2</v>
      </c>
      <c r="H15">
        <v>2342</v>
      </c>
      <c r="I15" t="s">
        <v>76</v>
      </c>
    </row>
    <row r="16" spans="2:9" x14ac:dyDescent="0.25">
      <c r="B16" t="s">
        <v>111</v>
      </c>
      <c r="C16" t="s">
        <v>91</v>
      </c>
      <c r="D16" t="s">
        <v>75</v>
      </c>
      <c r="E16" s="7">
        <v>45863</v>
      </c>
      <c r="F16" t="s">
        <v>60</v>
      </c>
      <c r="G16">
        <v>6</v>
      </c>
      <c r="H16">
        <v>2660</v>
      </c>
      <c r="I16" t="s">
        <v>84</v>
      </c>
    </row>
    <row r="17" spans="2:9" x14ac:dyDescent="0.25">
      <c r="B17" t="s">
        <v>112</v>
      </c>
      <c r="C17" t="s">
        <v>95</v>
      </c>
      <c r="D17" t="s">
        <v>80</v>
      </c>
      <c r="E17" s="7">
        <v>45734</v>
      </c>
      <c r="F17" t="s">
        <v>60</v>
      </c>
      <c r="G17">
        <v>1</v>
      </c>
      <c r="H17">
        <v>2619</v>
      </c>
      <c r="I17" t="s">
        <v>84</v>
      </c>
    </row>
    <row r="18" spans="2:9" x14ac:dyDescent="0.25">
      <c r="B18" t="s">
        <v>113</v>
      </c>
      <c r="C18" t="s">
        <v>100</v>
      </c>
      <c r="D18" t="s">
        <v>80</v>
      </c>
      <c r="E18" s="7">
        <v>45964</v>
      </c>
      <c r="F18" t="s">
        <v>57</v>
      </c>
      <c r="G18">
        <v>7</v>
      </c>
      <c r="H18">
        <v>4526</v>
      </c>
      <c r="I18" t="s">
        <v>76</v>
      </c>
    </row>
    <row r="19" spans="2:9" x14ac:dyDescent="0.25">
      <c r="B19" t="s">
        <v>114</v>
      </c>
      <c r="C19" t="s">
        <v>91</v>
      </c>
      <c r="D19" t="s">
        <v>78</v>
      </c>
      <c r="E19" s="7">
        <v>45663</v>
      </c>
      <c r="F19" t="s">
        <v>57</v>
      </c>
      <c r="G19">
        <v>6</v>
      </c>
      <c r="H19">
        <v>4542</v>
      </c>
      <c r="I19" t="s">
        <v>76</v>
      </c>
    </row>
    <row r="20" spans="2:9" x14ac:dyDescent="0.25">
      <c r="B20" t="s">
        <v>115</v>
      </c>
      <c r="C20" t="s">
        <v>94</v>
      </c>
      <c r="D20" t="s">
        <v>75</v>
      </c>
      <c r="E20" s="7">
        <v>45769</v>
      </c>
      <c r="F20" t="s">
        <v>57</v>
      </c>
      <c r="G20">
        <v>2</v>
      </c>
      <c r="H20">
        <v>149</v>
      </c>
      <c r="I20" t="s">
        <v>81</v>
      </c>
    </row>
    <row r="21" spans="2:9" x14ac:dyDescent="0.25">
      <c r="B21" t="s">
        <v>116</v>
      </c>
      <c r="C21" t="s">
        <v>99</v>
      </c>
      <c r="D21" t="s">
        <v>75</v>
      </c>
      <c r="E21" s="7">
        <v>45874</v>
      </c>
      <c r="F21" t="s">
        <v>60</v>
      </c>
      <c r="G21">
        <v>5</v>
      </c>
      <c r="H21">
        <v>2606</v>
      </c>
      <c r="I21" t="s">
        <v>81</v>
      </c>
    </row>
    <row r="22" spans="2:9" x14ac:dyDescent="0.25">
      <c r="B22" t="s">
        <v>117</v>
      </c>
      <c r="C22" t="s">
        <v>98</v>
      </c>
      <c r="D22" t="s">
        <v>83</v>
      </c>
      <c r="E22" s="7">
        <v>45732</v>
      </c>
      <c r="F22" t="s">
        <v>60</v>
      </c>
      <c r="G22">
        <v>7</v>
      </c>
      <c r="H22">
        <v>4569</v>
      </c>
      <c r="I22" t="s">
        <v>81</v>
      </c>
    </row>
    <row r="23" spans="2:9" x14ac:dyDescent="0.25">
      <c r="B23" t="s">
        <v>118</v>
      </c>
      <c r="C23" t="s">
        <v>94</v>
      </c>
      <c r="D23" t="s">
        <v>78</v>
      </c>
      <c r="E23" s="7">
        <v>45859</v>
      </c>
      <c r="F23" t="s">
        <v>57</v>
      </c>
      <c r="G23">
        <v>3</v>
      </c>
      <c r="H23">
        <v>2511</v>
      </c>
      <c r="I23" t="s">
        <v>81</v>
      </c>
    </row>
    <row r="24" spans="2:9" x14ac:dyDescent="0.25">
      <c r="B24" t="s">
        <v>119</v>
      </c>
      <c r="C24" t="s">
        <v>95</v>
      </c>
      <c r="D24" t="s">
        <v>80</v>
      </c>
      <c r="E24" s="7">
        <v>45757</v>
      </c>
      <c r="F24" t="s">
        <v>57</v>
      </c>
      <c r="G24">
        <v>2</v>
      </c>
      <c r="H24">
        <v>4186</v>
      </c>
      <c r="I24" t="s">
        <v>84</v>
      </c>
    </row>
    <row r="25" spans="2:9" x14ac:dyDescent="0.25">
      <c r="B25" t="s">
        <v>120</v>
      </c>
      <c r="C25" t="s">
        <v>92</v>
      </c>
      <c r="D25" t="s">
        <v>78</v>
      </c>
      <c r="E25" s="7">
        <v>45852</v>
      </c>
      <c r="F25" t="s">
        <v>57</v>
      </c>
      <c r="G25">
        <v>4</v>
      </c>
      <c r="H25">
        <v>1241</v>
      </c>
      <c r="I25" t="s">
        <v>76</v>
      </c>
    </row>
    <row r="26" spans="2:9" x14ac:dyDescent="0.25">
      <c r="B26" t="s">
        <v>121</v>
      </c>
      <c r="C26" t="s">
        <v>100</v>
      </c>
      <c r="D26" t="s">
        <v>78</v>
      </c>
      <c r="E26" s="7">
        <v>45845</v>
      </c>
      <c r="F26" t="s">
        <v>60</v>
      </c>
      <c r="G26">
        <v>7</v>
      </c>
      <c r="H26">
        <v>1588</v>
      </c>
      <c r="I26" t="s">
        <v>81</v>
      </c>
    </row>
    <row r="27" spans="2:9" x14ac:dyDescent="0.25">
      <c r="B27" t="s">
        <v>122</v>
      </c>
      <c r="C27" t="s">
        <v>85</v>
      </c>
      <c r="D27" t="s">
        <v>75</v>
      </c>
      <c r="E27" s="7">
        <v>45933</v>
      </c>
      <c r="F27" t="s">
        <v>57</v>
      </c>
      <c r="G27">
        <v>7</v>
      </c>
      <c r="H27">
        <v>2008</v>
      </c>
      <c r="I27" t="s">
        <v>81</v>
      </c>
    </row>
    <row r="28" spans="2:9" x14ac:dyDescent="0.25">
      <c r="B28" t="s">
        <v>123</v>
      </c>
      <c r="C28" t="s">
        <v>93</v>
      </c>
      <c r="D28" t="s">
        <v>80</v>
      </c>
      <c r="E28" s="7">
        <v>45705</v>
      </c>
      <c r="F28" t="s">
        <v>57</v>
      </c>
      <c r="G28">
        <v>7</v>
      </c>
      <c r="H28">
        <v>607</v>
      </c>
      <c r="I28" t="s">
        <v>81</v>
      </c>
    </row>
    <row r="29" spans="2:9" x14ac:dyDescent="0.25">
      <c r="B29" t="s">
        <v>124</v>
      </c>
      <c r="C29" t="s">
        <v>99</v>
      </c>
      <c r="D29" t="s">
        <v>83</v>
      </c>
      <c r="E29" s="7">
        <v>45886</v>
      </c>
      <c r="F29" t="s">
        <v>57</v>
      </c>
      <c r="G29">
        <v>1</v>
      </c>
      <c r="H29">
        <v>4286</v>
      </c>
      <c r="I29" t="s">
        <v>76</v>
      </c>
    </row>
    <row r="30" spans="2:9" x14ac:dyDescent="0.25">
      <c r="B30" t="s">
        <v>125</v>
      </c>
      <c r="C30" t="s">
        <v>91</v>
      </c>
      <c r="D30" t="s">
        <v>75</v>
      </c>
      <c r="E30" s="7">
        <v>45840</v>
      </c>
      <c r="F30" t="s">
        <v>60</v>
      </c>
      <c r="G30">
        <v>9</v>
      </c>
      <c r="H30">
        <v>1342</v>
      </c>
      <c r="I30" t="s">
        <v>84</v>
      </c>
    </row>
    <row r="31" spans="2:9" x14ac:dyDescent="0.25">
      <c r="B31" t="s">
        <v>126</v>
      </c>
      <c r="C31" t="s">
        <v>100</v>
      </c>
      <c r="D31" t="s">
        <v>88</v>
      </c>
      <c r="E31" s="7">
        <v>45846</v>
      </c>
      <c r="F31" t="s">
        <v>60</v>
      </c>
      <c r="G31">
        <v>10</v>
      </c>
      <c r="H31">
        <v>3812</v>
      </c>
      <c r="I31" t="s">
        <v>81</v>
      </c>
    </row>
    <row r="32" spans="2:9" x14ac:dyDescent="0.25">
      <c r="B32" t="s">
        <v>127</v>
      </c>
      <c r="C32" t="s">
        <v>100</v>
      </c>
      <c r="D32" t="s">
        <v>83</v>
      </c>
      <c r="E32" s="7">
        <v>45823</v>
      </c>
      <c r="F32" t="s">
        <v>57</v>
      </c>
      <c r="G32">
        <v>1</v>
      </c>
      <c r="H32">
        <v>153</v>
      </c>
      <c r="I32" t="s">
        <v>84</v>
      </c>
    </row>
    <row r="33" spans="2:9" x14ac:dyDescent="0.25">
      <c r="B33" t="s">
        <v>128</v>
      </c>
      <c r="C33" t="s">
        <v>99</v>
      </c>
      <c r="D33" t="s">
        <v>80</v>
      </c>
      <c r="E33" s="7">
        <v>45825</v>
      </c>
      <c r="F33" t="s">
        <v>60</v>
      </c>
      <c r="G33">
        <v>9</v>
      </c>
      <c r="H33">
        <v>2554</v>
      </c>
      <c r="I33" t="s">
        <v>76</v>
      </c>
    </row>
    <row r="34" spans="2:9" x14ac:dyDescent="0.25">
      <c r="B34" t="s">
        <v>129</v>
      </c>
      <c r="C34" t="s">
        <v>90</v>
      </c>
      <c r="D34" t="s">
        <v>78</v>
      </c>
      <c r="E34" s="7">
        <v>45965</v>
      </c>
      <c r="F34" t="s">
        <v>57</v>
      </c>
      <c r="G34">
        <v>6</v>
      </c>
      <c r="H34">
        <v>4609</v>
      </c>
      <c r="I34" t="s">
        <v>76</v>
      </c>
    </row>
    <row r="35" spans="2:9" x14ac:dyDescent="0.25">
      <c r="B35" t="s">
        <v>130</v>
      </c>
      <c r="C35" t="s">
        <v>100</v>
      </c>
      <c r="D35" t="s">
        <v>75</v>
      </c>
      <c r="E35" s="7">
        <v>45817</v>
      </c>
      <c r="F35" t="s">
        <v>60</v>
      </c>
      <c r="G35">
        <v>6</v>
      </c>
      <c r="H35">
        <v>3721</v>
      </c>
      <c r="I35" t="s">
        <v>76</v>
      </c>
    </row>
    <row r="36" spans="2:9" x14ac:dyDescent="0.25">
      <c r="B36" t="s">
        <v>131</v>
      </c>
      <c r="C36" t="s">
        <v>99</v>
      </c>
      <c r="D36" t="s">
        <v>78</v>
      </c>
      <c r="E36" s="7">
        <v>45997</v>
      </c>
      <c r="F36" t="s">
        <v>60</v>
      </c>
      <c r="G36">
        <v>7</v>
      </c>
      <c r="H36">
        <v>3600</v>
      </c>
      <c r="I36" t="s">
        <v>84</v>
      </c>
    </row>
    <row r="37" spans="2:9" x14ac:dyDescent="0.25">
      <c r="B37" t="s">
        <v>132</v>
      </c>
      <c r="C37" t="s">
        <v>94</v>
      </c>
      <c r="D37" t="s">
        <v>83</v>
      </c>
      <c r="E37" s="7">
        <v>45942</v>
      </c>
      <c r="F37" t="s">
        <v>60</v>
      </c>
      <c r="G37">
        <v>10</v>
      </c>
      <c r="H37">
        <v>1807</v>
      </c>
      <c r="I37" t="s">
        <v>76</v>
      </c>
    </row>
    <row r="38" spans="2:9" x14ac:dyDescent="0.25">
      <c r="B38" t="s">
        <v>133</v>
      </c>
      <c r="C38" t="s">
        <v>74</v>
      </c>
      <c r="D38" t="s">
        <v>78</v>
      </c>
      <c r="E38" s="7">
        <v>45729</v>
      </c>
      <c r="F38" t="s">
        <v>57</v>
      </c>
      <c r="G38">
        <v>1</v>
      </c>
      <c r="H38">
        <v>2205</v>
      </c>
      <c r="I38" t="s">
        <v>84</v>
      </c>
    </row>
    <row r="39" spans="2:9" x14ac:dyDescent="0.25">
      <c r="B39" t="s">
        <v>134</v>
      </c>
      <c r="C39" t="s">
        <v>79</v>
      </c>
      <c r="D39" t="s">
        <v>80</v>
      </c>
      <c r="E39" s="7">
        <v>45694</v>
      </c>
      <c r="F39" t="s">
        <v>60</v>
      </c>
      <c r="G39">
        <v>6</v>
      </c>
      <c r="H39">
        <v>2512</v>
      </c>
      <c r="I39" t="s">
        <v>76</v>
      </c>
    </row>
    <row r="40" spans="2:9" x14ac:dyDescent="0.25">
      <c r="B40" t="s">
        <v>135</v>
      </c>
      <c r="C40" t="s">
        <v>77</v>
      </c>
      <c r="D40" t="s">
        <v>75</v>
      </c>
      <c r="E40" s="7">
        <v>45766</v>
      </c>
      <c r="F40" t="s">
        <v>60</v>
      </c>
      <c r="G40">
        <v>7</v>
      </c>
      <c r="H40">
        <v>1766</v>
      </c>
      <c r="I40" t="s">
        <v>84</v>
      </c>
    </row>
    <row r="41" spans="2:9" x14ac:dyDescent="0.25">
      <c r="B41" t="s">
        <v>136</v>
      </c>
      <c r="C41" t="s">
        <v>95</v>
      </c>
      <c r="D41" t="s">
        <v>88</v>
      </c>
      <c r="E41" s="7">
        <v>45721</v>
      </c>
      <c r="F41" t="s">
        <v>57</v>
      </c>
      <c r="G41">
        <v>8</v>
      </c>
      <c r="H41">
        <v>2821</v>
      </c>
      <c r="I41" t="s">
        <v>76</v>
      </c>
    </row>
    <row r="42" spans="2:9" x14ac:dyDescent="0.25">
      <c r="B42" t="s">
        <v>137</v>
      </c>
      <c r="C42" t="s">
        <v>95</v>
      </c>
      <c r="D42" t="s">
        <v>88</v>
      </c>
      <c r="E42" s="7">
        <v>45718</v>
      </c>
      <c r="F42" t="s">
        <v>57</v>
      </c>
      <c r="G42">
        <v>7</v>
      </c>
      <c r="H42">
        <v>4871</v>
      </c>
      <c r="I42" t="s">
        <v>81</v>
      </c>
    </row>
    <row r="43" spans="2:9" x14ac:dyDescent="0.25">
      <c r="B43" t="s">
        <v>138</v>
      </c>
      <c r="C43" t="s">
        <v>96</v>
      </c>
      <c r="D43" t="s">
        <v>75</v>
      </c>
      <c r="E43" s="7">
        <v>45718</v>
      </c>
      <c r="F43" t="s">
        <v>60</v>
      </c>
      <c r="G43">
        <v>4</v>
      </c>
      <c r="H43">
        <v>963</v>
      </c>
      <c r="I43" t="s">
        <v>81</v>
      </c>
    </row>
    <row r="44" spans="2:9" x14ac:dyDescent="0.25">
      <c r="B44" t="s">
        <v>139</v>
      </c>
      <c r="C44" t="s">
        <v>93</v>
      </c>
      <c r="D44" t="s">
        <v>83</v>
      </c>
      <c r="E44" s="7">
        <v>45715</v>
      </c>
      <c r="F44" t="s">
        <v>60</v>
      </c>
      <c r="G44">
        <v>5</v>
      </c>
      <c r="H44">
        <v>410</v>
      </c>
      <c r="I44" t="s">
        <v>84</v>
      </c>
    </row>
    <row r="45" spans="2:9" x14ac:dyDescent="0.25">
      <c r="B45" t="s">
        <v>140</v>
      </c>
      <c r="C45" t="s">
        <v>77</v>
      </c>
      <c r="D45" t="s">
        <v>75</v>
      </c>
      <c r="E45" s="7">
        <v>45832</v>
      </c>
      <c r="F45" t="s">
        <v>57</v>
      </c>
      <c r="G45">
        <v>5</v>
      </c>
      <c r="H45">
        <v>1395</v>
      </c>
      <c r="I45" t="s">
        <v>81</v>
      </c>
    </row>
    <row r="46" spans="2:9" x14ac:dyDescent="0.25">
      <c r="B46" t="s">
        <v>141</v>
      </c>
      <c r="C46" t="s">
        <v>87</v>
      </c>
      <c r="D46" t="s">
        <v>83</v>
      </c>
      <c r="E46" s="7">
        <v>45865</v>
      </c>
      <c r="F46" t="s">
        <v>57</v>
      </c>
      <c r="G46">
        <v>6</v>
      </c>
      <c r="H46">
        <v>3424</v>
      </c>
      <c r="I46" t="s">
        <v>76</v>
      </c>
    </row>
    <row r="47" spans="2:9" x14ac:dyDescent="0.25">
      <c r="B47" t="s">
        <v>142</v>
      </c>
      <c r="C47" t="s">
        <v>94</v>
      </c>
      <c r="D47" t="s">
        <v>83</v>
      </c>
      <c r="E47" s="7">
        <v>45832</v>
      </c>
      <c r="F47" t="s">
        <v>57</v>
      </c>
      <c r="G47">
        <v>3</v>
      </c>
      <c r="H47">
        <v>4835</v>
      </c>
      <c r="I47" t="s">
        <v>84</v>
      </c>
    </row>
    <row r="48" spans="2:9" x14ac:dyDescent="0.25">
      <c r="B48" t="s">
        <v>143</v>
      </c>
      <c r="C48" t="s">
        <v>95</v>
      </c>
      <c r="D48" t="s">
        <v>83</v>
      </c>
      <c r="E48" s="7">
        <v>45689</v>
      </c>
      <c r="F48" t="s">
        <v>60</v>
      </c>
      <c r="G48">
        <v>2</v>
      </c>
      <c r="H48">
        <v>311</v>
      </c>
      <c r="I48" t="s">
        <v>76</v>
      </c>
    </row>
    <row r="49" spans="2:9" x14ac:dyDescent="0.25">
      <c r="B49" t="s">
        <v>144</v>
      </c>
      <c r="C49" t="s">
        <v>79</v>
      </c>
      <c r="D49" t="s">
        <v>78</v>
      </c>
      <c r="E49" s="7">
        <v>45672</v>
      </c>
      <c r="F49" t="s">
        <v>60</v>
      </c>
      <c r="G49">
        <v>3</v>
      </c>
      <c r="H49">
        <v>3287</v>
      </c>
      <c r="I49" t="s">
        <v>81</v>
      </c>
    </row>
    <row r="50" spans="2:9" x14ac:dyDescent="0.25">
      <c r="B50" t="s">
        <v>145</v>
      </c>
      <c r="C50" t="s">
        <v>100</v>
      </c>
      <c r="D50" t="s">
        <v>78</v>
      </c>
      <c r="E50" s="7">
        <v>45937</v>
      </c>
      <c r="F50" t="s">
        <v>60</v>
      </c>
      <c r="G50">
        <v>2</v>
      </c>
      <c r="H50">
        <v>3621</v>
      </c>
      <c r="I50" t="s">
        <v>81</v>
      </c>
    </row>
    <row r="51" spans="2:9" x14ac:dyDescent="0.25">
      <c r="B51" t="s">
        <v>146</v>
      </c>
      <c r="C51" t="s">
        <v>77</v>
      </c>
      <c r="D51" t="s">
        <v>88</v>
      </c>
      <c r="E51" s="7">
        <v>45795</v>
      </c>
      <c r="F51" t="s">
        <v>60</v>
      </c>
      <c r="G51">
        <v>5</v>
      </c>
      <c r="H51">
        <v>4943</v>
      </c>
      <c r="I51" t="s">
        <v>84</v>
      </c>
    </row>
    <row r="52" spans="2:9" x14ac:dyDescent="0.25">
      <c r="B52" t="s">
        <v>147</v>
      </c>
      <c r="C52" t="s">
        <v>92</v>
      </c>
      <c r="D52" t="s">
        <v>78</v>
      </c>
      <c r="E52" s="7">
        <v>45989</v>
      </c>
      <c r="F52" t="s">
        <v>60</v>
      </c>
      <c r="G52">
        <v>2</v>
      </c>
      <c r="H52">
        <v>2245</v>
      </c>
      <c r="I52" t="s">
        <v>81</v>
      </c>
    </row>
    <row r="53" spans="2:9" x14ac:dyDescent="0.25">
      <c r="B53" t="s">
        <v>148</v>
      </c>
      <c r="C53" t="s">
        <v>87</v>
      </c>
      <c r="D53" t="s">
        <v>88</v>
      </c>
      <c r="E53" s="7">
        <v>45935</v>
      </c>
      <c r="F53" t="s">
        <v>57</v>
      </c>
      <c r="G53">
        <v>7</v>
      </c>
      <c r="H53">
        <v>4296</v>
      </c>
      <c r="I53" t="s">
        <v>84</v>
      </c>
    </row>
    <row r="54" spans="2:9" x14ac:dyDescent="0.25">
      <c r="B54" t="s">
        <v>149</v>
      </c>
      <c r="C54" t="s">
        <v>90</v>
      </c>
      <c r="D54" t="s">
        <v>80</v>
      </c>
      <c r="E54" s="7">
        <v>45925</v>
      </c>
      <c r="F54" t="s">
        <v>60</v>
      </c>
      <c r="G54">
        <v>7</v>
      </c>
      <c r="H54">
        <v>1261</v>
      </c>
      <c r="I54" t="s">
        <v>76</v>
      </c>
    </row>
    <row r="55" spans="2:9" x14ac:dyDescent="0.25">
      <c r="B55" t="s">
        <v>150</v>
      </c>
      <c r="C55" t="s">
        <v>98</v>
      </c>
      <c r="D55" t="s">
        <v>88</v>
      </c>
      <c r="E55" s="7">
        <v>45941</v>
      </c>
      <c r="F55" t="s">
        <v>60</v>
      </c>
      <c r="G55">
        <v>3</v>
      </c>
      <c r="H55">
        <v>2065</v>
      </c>
      <c r="I55" t="s">
        <v>81</v>
      </c>
    </row>
    <row r="56" spans="2:9" x14ac:dyDescent="0.25">
      <c r="B56" t="s">
        <v>151</v>
      </c>
      <c r="C56" t="s">
        <v>92</v>
      </c>
      <c r="D56" t="s">
        <v>78</v>
      </c>
      <c r="E56" s="7">
        <v>45712</v>
      </c>
      <c r="F56" t="s">
        <v>60</v>
      </c>
      <c r="G56">
        <v>8</v>
      </c>
      <c r="H56">
        <v>2012</v>
      </c>
      <c r="I56" t="s">
        <v>81</v>
      </c>
    </row>
    <row r="57" spans="2:9" x14ac:dyDescent="0.25">
      <c r="B57" t="s">
        <v>152</v>
      </c>
      <c r="C57" t="s">
        <v>93</v>
      </c>
      <c r="D57" t="s">
        <v>88</v>
      </c>
      <c r="E57" s="7">
        <v>45771</v>
      </c>
      <c r="F57" t="s">
        <v>57</v>
      </c>
      <c r="G57">
        <v>8</v>
      </c>
      <c r="H57">
        <v>217</v>
      </c>
      <c r="I57" t="s">
        <v>84</v>
      </c>
    </row>
    <row r="58" spans="2:9" x14ac:dyDescent="0.25">
      <c r="B58" t="s">
        <v>153</v>
      </c>
      <c r="C58" t="s">
        <v>82</v>
      </c>
      <c r="D58" t="s">
        <v>80</v>
      </c>
      <c r="E58" s="7">
        <v>46018</v>
      </c>
      <c r="F58" t="s">
        <v>60</v>
      </c>
      <c r="G58">
        <v>4</v>
      </c>
      <c r="H58">
        <v>2103</v>
      </c>
      <c r="I58" t="s">
        <v>81</v>
      </c>
    </row>
    <row r="59" spans="2:9" x14ac:dyDescent="0.25">
      <c r="B59" t="s">
        <v>154</v>
      </c>
      <c r="C59" t="s">
        <v>99</v>
      </c>
      <c r="D59" t="s">
        <v>78</v>
      </c>
      <c r="E59" s="7">
        <v>45723</v>
      </c>
      <c r="F59" t="s">
        <v>60</v>
      </c>
      <c r="G59">
        <v>10</v>
      </c>
      <c r="H59">
        <v>1962</v>
      </c>
      <c r="I59" t="s">
        <v>84</v>
      </c>
    </row>
    <row r="60" spans="2:9" x14ac:dyDescent="0.25">
      <c r="B60" t="s">
        <v>155</v>
      </c>
      <c r="C60" t="s">
        <v>96</v>
      </c>
      <c r="D60" t="s">
        <v>83</v>
      </c>
      <c r="E60" s="7">
        <v>45795</v>
      </c>
      <c r="F60" t="s">
        <v>57</v>
      </c>
      <c r="G60">
        <v>2</v>
      </c>
      <c r="H60">
        <v>388</v>
      </c>
      <c r="I60" t="s">
        <v>76</v>
      </c>
    </row>
    <row r="61" spans="2:9" x14ac:dyDescent="0.25">
      <c r="B61" t="s">
        <v>156</v>
      </c>
      <c r="C61" t="s">
        <v>98</v>
      </c>
      <c r="D61" t="s">
        <v>80</v>
      </c>
      <c r="E61" s="7">
        <v>45704</v>
      </c>
      <c r="F61" t="s">
        <v>60</v>
      </c>
      <c r="G61">
        <v>9</v>
      </c>
      <c r="H61">
        <v>1792</v>
      </c>
      <c r="I61" t="s">
        <v>84</v>
      </c>
    </row>
    <row r="62" spans="2:9" x14ac:dyDescent="0.25">
      <c r="B62" t="s">
        <v>157</v>
      </c>
      <c r="C62" t="s">
        <v>95</v>
      </c>
      <c r="D62" t="s">
        <v>80</v>
      </c>
      <c r="E62" s="7">
        <v>45670</v>
      </c>
      <c r="F62" t="s">
        <v>60</v>
      </c>
      <c r="G62">
        <v>6</v>
      </c>
      <c r="H62">
        <v>1945</v>
      </c>
      <c r="I62" t="s">
        <v>76</v>
      </c>
    </row>
    <row r="63" spans="2:9" x14ac:dyDescent="0.25">
      <c r="B63" t="s">
        <v>158</v>
      </c>
      <c r="C63" t="s">
        <v>82</v>
      </c>
      <c r="D63" t="s">
        <v>80</v>
      </c>
      <c r="E63" s="7">
        <v>45812</v>
      </c>
      <c r="F63" t="s">
        <v>60</v>
      </c>
      <c r="G63">
        <v>8</v>
      </c>
      <c r="H63">
        <v>429</v>
      </c>
      <c r="I63" t="s">
        <v>84</v>
      </c>
    </row>
    <row r="64" spans="2:9" x14ac:dyDescent="0.25">
      <c r="B64" t="s">
        <v>159</v>
      </c>
      <c r="C64" t="s">
        <v>92</v>
      </c>
      <c r="D64" t="s">
        <v>75</v>
      </c>
      <c r="E64" s="7">
        <v>45848</v>
      </c>
      <c r="F64" t="s">
        <v>57</v>
      </c>
      <c r="G64">
        <v>7</v>
      </c>
      <c r="H64">
        <v>3134</v>
      </c>
      <c r="I64" t="s">
        <v>76</v>
      </c>
    </row>
    <row r="65" spans="2:9" x14ac:dyDescent="0.25">
      <c r="B65" t="s">
        <v>160</v>
      </c>
      <c r="C65" t="s">
        <v>90</v>
      </c>
      <c r="D65" t="s">
        <v>83</v>
      </c>
      <c r="E65" s="7">
        <v>45668</v>
      </c>
      <c r="F65" t="s">
        <v>60</v>
      </c>
      <c r="G65">
        <v>4</v>
      </c>
      <c r="H65">
        <v>4818</v>
      </c>
      <c r="I65" t="s">
        <v>84</v>
      </c>
    </row>
    <row r="66" spans="2:9" x14ac:dyDescent="0.25">
      <c r="B66" t="s">
        <v>161</v>
      </c>
      <c r="C66" t="s">
        <v>92</v>
      </c>
      <c r="D66" t="s">
        <v>80</v>
      </c>
      <c r="E66" s="7">
        <v>45943</v>
      </c>
      <c r="F66" t="s">
        <v>57</v>
      </c>
      <c r="G66">
        <v>6</v>
      </c>
      <c r="H66">
        <v>1563</v>
      </c>
      <c r="I66" t="s">
        <v>76</v>
      </c>
    </row>
    <row r="67" spans="2:9" x14ac:dyDescent="0.25">
      <c r="B67" t="s">
        <v>162</v>
      </c>
      <c r="C67" t="s">
        <v>86</v>
      </c>
      <c r="D67" t="s">
        <v>75</v>
      </c>
      <c r="E67" s="7">
        <v>45995</v>
      </c>
      <c r="F67" t="s">
        <v>60</v>
      </c>
      <c r="G67">
        <v>2</v>
      </c>
      <c r="H67">
        <v>3227</v>
      </c>
      <c r="I67" t="s">
        <v>76</v>
      </c>
    </row>
    <row r="68" spans="2:9" x14ac:dyDescent="0.25">
      <c r="B68" t="s">
        <v>163</v>
      </c>
      <c r="C68" t="s">
        <v>91</v>
      </c>
      <c r="D68" t="s">
        <v>83</v>
      </c>
      <c r="E68" s="7">
        <v>45660</v>
      </c>
      <c r="F68" t="s">
        <v>57</v>
      </c>
      <c r="G68">
        <v>6</v>
      </c>
      <c r="H68">
        <v>1066</v>
      </c>
      <c r="I68" t="s">
        <v>76</v>
      </c>
    </row>
    <row r="69" spans="2:9" x14ac:dyDescent="0.25">
      <c r="B69" t="s">
        <v>164</v>
      </c>
      <c r="C69" t="s">
        <v>89</v>
      </c>
      <c r="D69" t="s">
        <v>78</v>
      </c>
      <c r="E69" s="7">
        <v>45879</v>
      </c>
      <c r="F69" t="s">
        <v>57</v>
      </c>
      <c r="G69">
        <v>4</v>
      </c>
      <c r="H69">
        <v>111</v>
      </c>
      <c r="I69" t="s">
        <v>81</v>
      </c>
    </row>
    <row r="70" spans="2:9" x14ac:dyDescent="0.25">
      <c r="B70" t="s">
        <v>165</v>
      </c>
      <c r="C70" t="s">
        <v>94</v>
      </c>
      <c r="D70" t="s">
        <v>75</v>
      </c>
      <c r="E70" s="7">
        <v>45926</v>
      </c>
      <c r="F70" t="s">
        <v>60</v>
      </c>
      <c r="G70">
        <v>6</v>
      </c>
      <c r="H70">
        <v>1738</v>
      </c>
      <c r="I70" t="s">
        <v>81</v>
      </c>
    </row>
    <row r="71" spans="2:9" x14ac:dyDescent="0.25">
      <c r="B71" t="s">
        <v>166</v>
      </c>
      <c r="C71" t="s">
        <v>96</v>
      </c>
      <c r="D71" t="s">
        <v>80</v>
      </c>
      <c r="E71" s="7">
        <v>45846</v>
      </c>
      <c r="F71" t="s">
        <v>57</v>
      </c>
      <c r="G71">
        <v>3</v>
      </c>
      <c r="H71">
        <v>1172</v>
      </c>
      <c r="I71" t="s">
        <v>81</v>
      </c>
    </row>
    <row r="72" spans="2:9" x14ac:dyDescent="0.25">
      <c r="B72" t="s">
        <v>167</v>
      </c>
      <c r="C72" t="s">
        <v>100</v>
      </c>
      <c r="D72" t="s">
        <v>88</v>
      </c>
      <c r="E72" s="7">
        <v>45893</v>
      </c>
      <c r="F72" t="s">
        <v>60</v>
      </c>
      <c r="G72">
        <v>3</v>
      </c>
      <c r="H72">
        <v>4923</v>
      </c>
      <c r="I72" t="s">
        <v>81</v>
      </c>
    </row>
    <row r="73" spans="2:9" x14ac:dyDescent="0.25">
      <c r="B73" t="s">
        <v>168</v>
      </c>
      <c r="C73" t="s">
        <v>96</v>
      </c>
      <c r="D73" t="s">
        <v>83</v>
      </c>
      <c r="E73" s="7">
        <v>45882</v>
      </c>
      <c r="F73" t="s">
        <v>60</v>
      </c>
      <c r="G73">
        <v>3</v>
      </c>
      <c r="H73">
        <v>3392</v>
      </c>
      <c r="I73" t="s">
        <v>84</v>
      </c>
    </row>
    <row r="74" spans="2:9" x14ac:dyDescent="0.25">
      <c r="B74" t="s">
        <v>169</v>
      </c>
      <c r="C74" t="s">
        <v>93</v>
      </c>
      <c r="D74" t="s">
        <v>88</v>
      </c>
      <c r="E74" s="7">
        <v>45865</v>
      </c>
      <c r="F74" t="s">
        <v>60</v>
      </c>
      <c r="G74">
        <v>9</v>
      </c>
      <c r="H74">
        <v>3246</v>
      </c>
      <c r="I74" t="s">
        <v>76</v>
      </c>
    </row>
    <row r="75" spans="2:9" x14ac:dyDescent="0.25">
      <c r="B75" t="s">
        <v>170</v>
      </c>
      <c r="C75" t="s">
        <v>97</v>
      </c>
      <c r="D75" t="s">
        <v>88</v>
      </c>
      <c r="E75" s="7">
        <v>45978</v>
      </c>
      <c r="F75" t="s">
        <v>60</v>
      </c>
      <c r="G75">
        <v>4</v>
      </c>
      <c r="H75">
        <v>22</v>
      </c>
      <c r="I75" t="s">
        <v>76</v>
      </c>
    </row>
    <row r="76" spans="2:9" x14ac:dyDescent="0.25">
      <c r="B76" t="s">
        <v>171</v>
      </c>
      <c r="C76" t="s">
        <v>77</v>
      </c>
      <c r="D76" t="s">
        <v>83</v>
      </c>
      <c r="E76" s="7">
        <v>45979</v>
      </c>
      <c r="F76" t="s">
        <v>60</v>
      </c>
      <c r="G76">
        <v>9</v>
      </c>
      <c r="H76">
        <v>541</v>
      </c>
      <c r="I76" t="s">
        <v>81</v>
      </c>
    </row>
    <row r="77" spans="2:9" x14ac:dyDescent="0.25">
      <c r="B77" t="s">
        <v>172</v>
      </c>
      <c r="C77" t="s">
        <v>77</v>
      </c>
      <c r="D77" t="s">
        <v>78</v>
      </c>
      <c r="E77" s="7">
        <v>45890</v>
      </c>
      <c r="F77" t="s">
        <v>57</v>
      </c>
      <c r="G77">
        <v>4</v>
      </c>
      <c r="H77">
        <v>497</v>
      </c>
      <c r="I77" t="s">
        <v>76</v>
      </c>
    </row>
    <row r="78" spans="2:9" x14ac:dyDescent="0.25">
      <c r="B78" t="s">
        <v>173</v>
      </c>
      <c r="C78" t="s">
        <v>79</v>
      </c>
      <c r="D78" t="s">
        <v>80</v>
      </c>
      <c r="E78" s="7">
        <v>45672</v>
      </c>
      <c r="F78" t="s">
        <v>60</v>
      </c>
      <c r="G78">
        <v>8</v>
      </c>
      <c r="H78">
        <v>1886</v>
      </c>
      <c r="I78" t="s">
        <v>84</v>
      </c>
    </row>
    <row r="79" spans="2:9" x14ac:dyDescent="0.25">
      <c r="B79" t="s">
        <v>174</v>
      </c>
      <c r="C79" t="s">
        <v>94</v>
      </c>
      <c r="D79" t="s">
        <v>80</v>
      </c>
      <c r="E79" s="7">
        <v>45841</v>
      </c>
      <c r="F79" t="s">
        <v>57</v>
      </c>
      <c r="G79">
        <v>8</v>
      </c>
      <c r="H79">
        <v>557</v>
      </c>
      <c r="I79" t="s">
        <v>81</v>
      </c>
    </row>
    <row r="80" spans="2:9" x14ac:dyDescent="0.25">
      <c r="B80" t="s">
        <v>175</v>
      </c>
      <c r="C80" t="s">
        <v>90</v>
      </c>
      <c r="D80" t="s">
        <v>78</v>
      </c>
      <c r="E80" s="7">
        <v>45884</v>
      </c>
      <c r="F80" t="s">
        <v>57</v>
      </c>
      <c r="G80">
        <v>7</v>
      </c>
      <c r="H80">
        <v>3642</v>
      </c>
      <c r="I80" t="s">
        <v>84</v>
      </c>
    </row>
    <row r="81" spans="2:9" x14ac:dyDescent="0.25">
      <c r="B81" t="s">
        <v>176</v>
      </c>
      <c r="C81" t="s">
        <v>87</v>
      </c>
      <c r="D81" t="s">
        <v>88</v>
      </c>
      <c r="E81" s="7">
        <v>45754</v>
      </c>
      <c r="F81" t="s">
        <v>57</v>
      </c>
      <c r="G81">
        <v>10</v>
      </c>
      <c r="H81">
        <v>2166</v>
      </c>
      <c r="I81" t="s">
        <v>76</v>
      </c>
    </row>
    <row r="82" spans="2:9" x14ac:dyDescent="0.25">
      <c r="B82" t="s">
        <v>177</v>
      </c>
      <c r="C82" t="s">
        <v>90</v>
      </c>
      <c r="D82" t="s">
        <v>78</v>
      </c>
      <c r="E82" s="7">
        <v>45889</v>
      </c>
      <c r="F82" t="s">
        <v>60</v>
      </c>
      <c r="G82">
        <v>7</v>
      </c>
      <c r="H82">
        <v>3417</v>
      </c>
      <c r="I82" t="s">
        <v>76</v>
      </c>
    </row>
    <row r="83" spans="2:9" x14ac:dyDescent="0.25">
      <c r="B83" t="s">
        <v>178</v>
      </c>
      <c r="C83" t="s">
        <v>97</v>
      </c>
      <c r="D83" t="s">
        <v>78</v>
      </c>
      <c r="E83" s="7">
        <v>45712</v>
      </c>
      <c r="F83" t="s">
        <v>60</v>
      </c>
      <c r="G83">
        <v>8</v>
      </c>
      <c r="H83">
        <v>3554</v>
      </c>
      <c r="I83" t="s">
        <v>76</v>
      </c>
    </row>
    <row r="84" spans="2:9" x14ac:dyDescent="0.25">
      <c r="B84" t="s">
        <v>179</v>
      </c>
      <c r="C84" t="s">
        <v>98</v>
      </c>
      <c r="D84" t="s">
        <v>88</v>
      </c>
      <c r="E84" s="7">
        <v>45792</v>
      </c>
      <c r="F84" t="s">
        <v>60</v>
      </c>
      <c r="G84">
        <v>1</v>
      </c>
      <c r="H84">
        <v>61</v>
      </c>
      <c r="I84" t="s">
        <v>76</v>
      </c>
    </row>
    <row r="85" spans="2:9" x14ac:dyDescent="0.25">
      <c r="B85" t="s">
        <v>180</v>
      </c>
      <c r="C85" t="s">
        <v>98</v>
      </c>
      <c r="D85" t="s">
        <v>80</v>
      </c>
      <c r="E85" s="7">
        <v>45805</v>
      </c>
      <c r="F85" t="s">
        <v>57</v>
      </c>
      <c r="G85">
        <v>3</v>
      </c>
      <c r="H85">
        <v>4196</v>
      </c>
      <c r="I85" t="s">
        <v>76</v>
      </c>
    </row>
    <row r="86" spans="2:9" x14ac:dyDescent="0.25">
      <c r="B86" t="s">
        <v>181</v>
      </c>
      <c r="C86" t="s">
        <v>74</v>
      </c>
      <c r="D86" t="s">
        <v>75</v>
      </c>
      <c r="E86" s="7">
        <v>45731</v>
      </c>
      <c r="F86" t="s">
        <v>57</v>
      </c>
      <c r="G86">
        <v>7</v>
      </c>
      <c r="H86">
        <v>3635</v>
      </c>
      <c r="I86" t="s">
        <v>81</v>
      </c>
    </row>
    <row r="87" spans="2:9" x14ac:dyDescent="0.25">
      <c r="B87" t="s">
        <v>182</v>
      </c>
      <c r="C87" t="s">
        <v>100</v>
      </c>
      <c r="D87" t="s">
        <v>78</v>
      </c>
      <c r="E87" s="7">
        <v>45833</v>
      </c>
      <c r="F87" t="s">
        <v>60</v>
      </c>
      <c r="G87">
        <v>7</v>
      </c>
      <c r="H87">
        <v>4811</v>
      </c>
      <c r="I87" t="s">
        <v>81</v>
      </c>
    </row>
    <row r="88" spans="2:9" x14ac:dyDescent="0.25">
      <c r="B88" t="s">
        <v>183</v>
      </c>
      <c r="C88" t="s">
        <v>74</v>
      </c>
      <c r="D88" t="s">
        <v>75</v>
      </c>
      <c r="E88" s="7">
        <v>45949</v>
      </c>
      <c r="F88" t="s">
        <v>60</v>
      </c>
      <c r="G88">
        <v>3</v>
      </c>
      <c r="H88">
        <v>538</v>
      </c>
      <c r="I88" t="s">
        <v>76</v>
      </c>
    </row>
    <row r="89" spans="2:9" x14ac:dyDescent="0.25">
      <c r="B89" t="s">
        <v>184</v>
      </c>
      <c r="C89" t="s">
        <v>92</v>
      </c>
      <c r="D89" t="s">
        <v>83</v>
      </c>
      <c r="E89" s="7">
        <v>45778</v>
      </c>
      <c r="F89" t="s">
        <v>57</v>
      </c>
      <c r="G89">
        <v>5</v>
      </c>
      <c r="H89">
        <v>2384</v>
      </c>
      <c r="I89" t="s">
        <v>81</v>
      </c>
    </row>
    <row r="90" spans="2:9" x14ac:dyDescent="0.25">
      <c r="B90" t="s">
        <v>185</v>
      </c>
      <c r="C90" t="s">
        <v>99</v>
      </c>
      <c r="D90" t="s">
        <v>83</v>
      </c>
      <c r="E90" s="7">
        <v>45717</v>
      </c>
      <c r="F90" t="s">
        <v>60</v>
      </c>
      <c r="G90">
        <v>1</v>
      </c>
      <c r="H90">
        <v>3319</v>
      </c>
      <c r="I90" t="s">
        <v>76</v>
      </c>
    </row>
    <row r="91" spans="2:9" x14ac:dyDescent="0.25">
      <c r="B91" t="s">
        <v>186</v>
      </c>
      <c r="C91" t="s">
        <v>99</v>
      </c>
      <c r="D91" t="s">
        <v>83</v>
      </c>
      <c r="E91" s="7">
        <v>45662</v>
      </c>
      <c r="F91" t="s">
        <v>60</v>
      </c>
      <c r="G91">
        <v>7</v>
      </c>
      <c r="H91">
        <v>125</v>
      </c>
      <c r="I91" t="s">
        <v>84</v>
      </c>
    </row>
    <row r="92" spans="2:9" x14ac:dyDescent="0.25">
      <c r="B92" t="s">
        <v>187</v>
      </c>
      <c r="C92" t="s">
        <v>92</v>
      </c>
      <c r="D92" t="s">
        <v>83</v>
      </c>
      <c r="E92" s="7">
        <v>45897</v>
      </c>
      <c r="F92" t="s">
        <v>57</v>
      </c>
      <c r="G92">
        <v>6</v>
      </c>
      <c r="H92">
        <v>870</v>
      </c>
      <c r="I92" t="s">
        <v>76</v>
      </c>
    </row>
    <row r="93" spans="2:9" x14ac:dyDescent="0.25">
      <c r="B93" t="s">
        <v>188</v>
      </c>
      <c r="C93" t="s">
        <v>77</v>
      </c>
      <c r="D93" t="s">
        <v>88</v>
      </c>
      <c r="E93" s="7">
        <v>45667</v>
      </c>
      <c r="F93" t="s">
        <v>57</v>
      </c>
      <c r="G93">
        <v>1</v>
      </c>
      <c r="H93">
        <v>2490</v>
      </c>
      <c r="I93" t="s">
        <v>81</v>
      </c>
    </row>
    <row r="94" spans="2:9" x14ac:dyDescent="0.25">
      <c r="B94" t="s">
        <v>189</v>
      </c>
      <c r="C94" t="s">
        <v>90</v>
      </c>
      <c r="D94" t="s">
        <v>83</v>
      </c>
      <c r="E94" s="7">
        <v>45813</v>
      </c>
      <c r="F94" t="s">
        <v>60</v>
      </c>
      <c r="G94">
        <v>3</v>
      </c>
      <c r="H94">
        <v>3248</v>
      </c>
      <c r="I94" t="s">
        <v>84</v>
      </c>
    </row>
    <row r="95" spans="2:9" x14ac:dyDescent="0.25">
      <c r="B95" t="s">
        <v>190</v>
      </c>
      <c r="C95" t="s">
        <v>100</v>
      </c>
      <c r="D95" t="s">
        <v>78</v>
      </c>
      <c r="E95" s="7">
        <v>45923</v>
      </c>
      <c r="F95" t="s">
        <v>57</v>
      </c>
      <c r="G95">
        <v>1</v>
      </c>
      <c r="H95">
        <v>237</v>
      </c>
      <c r="I95" t="s">
        <v>76</v>
      </c>
    </row>
    <row r="96" spans="2:9" x14ac:dyDescent="0.25">
      <c r="B96" t="s">
        <v>191</v>
      </c>
      <c r="C96" t="s">
        <v>87</v>
      </c>
      <c r="D96" t="s">
        <v>75</v>
      </c>
      <c r="E96" s="7">
        <v>45822</v>
      </c>
      <c r="F96" t="s">
        <v>60</v>
      </c>
      <c r="G96">
        <v>2</v>
      </c>
      <c r="H96">
        <v>1835</v>
      </c>
      <c r="I96" t="s">
        <v>76</v>
      </c>
    </row>
    <row r="97" spans="2:9" x14ac:dyDescent="0.25">
      <c r="B97" t="s">
        <v>192</v>
      </c>
      <c r="C97" t="s">
        <v>96</v>
      </c>
      <c r="D97" t="s">
        <v>88</v>
      </c>
      <c r="E97" s="7">
        <v>45992</v>
      </c>
      <c r="F97" t="s">
        <v>57</v>
      </c>
      <c r="G97">
        <v>2</v>
      </c>
      <c r="H97">
        <v>311</v>
      </c>
      <c r="I97" t="s">
        <v>76</v>
      </c>
    </row>
    <row r="98" spans="2:9" x14ac:dyDescent="0.25">
      <c r="B98" t="s">
        <v>193</v>
      </c>
      <c r="C98" t="s">
        <v>86</v>
      </c>
      <c r="D98" t="s">
        <v>78</v>
      </c>
      <c r="E98" s="7">
        <v>45840</v>
      </c>
      <c r="F98" t="s">
        <v>60</v>
      </c>
      <c r="G98">
        <v>5</v>
      </c>
      <c r="H98">
        <v>4200</v>
      </c>
      <c r="I98" t="s">
        <v>81</v>
      </c>
    </row>
    <row r="99" spans="2:9" x14ac:dyDescent="0.25">
      <c r="B99" t="s">
        <v>194</v>
      </c>
      <c r="C99" t="s">
        <v>85</v>
      </c>
      <c r="D99" t="s">
        <v>88</v>
      </c>
      <c r="E99" s="7">
        <v>45983</v>
      </c>
      <c r="F99" t="s">
        <v>57</v>
      </c>
      <c r="G99">
        <v>3</v>
      </c>
      <c r="H99">
        <v>943</v>
      </c>
      <c r="I99" t="s">
        <v>76</v>
      </c>
    </row>
    <row r="100" spans="2:9" x14ac:dyDescent="0.25">
      <c r="B100" t="s">
        <v>195</v>
      </c>
      <c r="C100" t="s">
        <v>87</v>
      </c>
      <c r="D100" t="s">
        <v>78</v>
      </c>
      <c r="E100" s="7">
        <v>45999</v>
      </c>
      <c r="F100" t="s">
        <v>60</v>
      </c>
      <c r="G100">
        <v>5</v>
      </c>
      <c r="H100">
        <v>4212</v>
      </c>
      <c r="I100" t="s">
        <v>84</v>
      </c>
    </row>
    <row r="101" spans="2:9" x14ac:dyDescent="0.25">
      <c r="B101" t="s">
        <v>196</v>
      </c>
      <c r="C101" t="s">
        <v>85</v>
      </c>
      <c r="D101" t="s">
        <v>88</v>
      </c>
      <c r="E101" s="7">
        <v>45964</v>
      </c>
      <c r="F101" t="s">
        <v>60</v>
      </c>
      <c r="G101">
        <v>2</v>
      </c>
      <c r="H101">
        <v>1607</v>
      </c>
      <c r="I101" t="s">
        <v>84</v>
      </c>
    </row>
    <row r="102" spans="2:9" x14ac:dyDescent="0.25">
      <c r="B102" t="s">
        <v>197</v>
      </c>
      <c r="C102" t="s">
        <v>77</v>
      </c>
      <c r="D102" t="s">
        <v>75</v>
      </c>
      <c r="E102" s="7">
        <v>45709</v>
      </c>
      <c r="F102" t="s">
        <v>60</v>
      </c>
      <c r="G102">
        <v>10</v>
      </c>
      <c r="H102">
        <v>1971</v>
      </c>
      <c r="I102" t="s">
        <v>81</v>
      </c>
    </row>
    <row r="103" spans="2:9" x14ac:dyDescent="0.25">
      <c r="B103" t="s">
        <v>198</v>
      </c>
      <c r="C103" t="s">
        <v>74</v>
      </c>
      <c r="D103" t="s">
        <v>83</v>
      </c>
      <c r="E103" s="7">
        <v>45813</v>
      </c>
      <c r="F103" t="s">
        <v>57</v>
      </c>
      <c r="G103">
        <v>4</v>
      </c>
      <c r="H103">
        <v>3022</v>
      </c>
      <c r="I103" t="s">
        <v>76</v>
      </c>
    </row>
    <row r="104" spans="2:9" x14ac:dyDescent="0.25">
      <c r="B104" t="s">
        <v>199</v>
      </c>
      <c r="C104" t="s">
        <v>87</v>
      </c>
      <c r="D104" t="s">
        <v>88</v>
      </c>
      <c r="E104" s="7">
        <v>45909</v>
      </c>
      <c r="F104" t="s">
        <v>57</v>
      </c>
      <c r="G104">
        <v>8</v>
      </c>
      <c r="H104">
        <v>3799</v>
      </c>
      <c r="I104" t="s">
        <v>84</v>
      </c>
    </row>
    <row r="105" spans="2:9" x14ac:dyDescent="0.25">
      <c r="B105" t="s">
        <v>200</v>
      </c>
      <c r="C105" t="s">
        <v>98</v>
      </c>
      <c r="D105" t="s">
        <v>88</v>
      </c>
      <c r="E105" s="7">
        <v>45792</v>
      </c>
      <c r="F105" t="s">
        <v>57</v>
      </c>
      <c r="G105">
        <v>3</v>
      </c>
      <c r="H105">
        <v>2174</v>
      </c>
      <c r="I105" t="s">
        <v>81</v>
      </c>
    </row>
    <row r="106" spans="2:9" x14ac:dyDescent="0.25">
      <c r="B106" t="s">
        <v>201</v>
      </c>
      <c r="C106" t="s">
        <v>87</v>
      </c>
      <c r="D106" t="s">
        <v>78</v>
      </c>
      <c r="E106" s="7">
        <v>45935</v>
      </c>
      <c r="F106" t="s">
        <v>57</v>
      </c>
      <c r="G106">
        <v>10</v>
      </c>
      <c r="H106">
        <v>2322</v>
      </c>
      <c r="I106" t="s">
        <v>81</v>
      </c>
    </row>
    <row r="107" spans="2:9" x14ac:dyDescent="0.25">
      <c r="B107" t="s">
        <v>203</v>
      </c>
      <c r="C107" t="s">
        <v>1011</v>
      </c>
      <c r="D107" t="s">
        <v>19</v>
      </c>
      <c r="E107" s="7">
        <v>45826</v>
      </c>
      <c r="F107" t="s">
        <v>58</v>
      </c>
      <c r="G107">
        <v>5</v>
      </c>
      <c r="H107">
        <v>2337</v>
      </c>
      <c r="I107" t="s">
        <v>84</v>
      </c>
    </row>
    <row r="108" spans="2:9" x14ac:dyDescent="0.25">
      <c r="B108" t="s">
        <v>204</v>
      </c>
      <c r="C108" t="s">
        <v>1011</v>
      </c>
      <c r="D108" t="s">
        <v>17</v>
      </c>
      <c r="E108" s="7">
        <v>45753</v>
      </c>
      <c r="F108" t="s">
        <v>58</v>
      </c>
      <c r="G108">
        <v>7</v>
      </c>
      <c r="H108">
        <v>3940</v>
      </c>
      <c r="I108" t="s">
        <v>76</v>
      </c>
    </row>
    <row r="109" spans="2:9" x14ac:dyDescent="0.25">
      <c r="B109" t="s">
        <v>205</v>
      </c>
      <c r="C109" t="s">
        <v>1012</v>
      </c>
      <c r="D109" t="s">
        <v>14</v>
      </c>
      <c r="E109" s="7">
        <v>45711</v>
      </c>
      <c r="F109" t="s">
        <v>58</v>
      </c>
      <c r="G109">
        <v>4</v>
      </c>
      <c r="H109">
        <v>3949</v>
      </c>
      <c r="I109" t="s">
        <v>84</v>
      </c>
    </row>
    <row r="110" spans="2:9" x14ac:dyDescent="0.25">
      <c r="B110" t="s">
        <v>206</v>
      </c>
      <c r="C110" t="s">
        <v>1015</v>
      </c>
      <c r="D110" t="s">
        <v>17</v>
      </c>
      <c r="E110" s="7">
        <v>45972</v>
      </c>
      <c r="F110" t="s">
        <v>57</v>
      </c>
      <c r="G110">
        <v>7</v>
      </c>
      <c r="H110">
        <v>3737</v>
      </c>
      <c r="I110" t="s">
        <v>84</v>
      </c>
    </row>
    <row r="111" spans="2:9" x14ac:dyDescent="0.25">
      <c r="B111" t="s">
        <v>207</v>
      </c>
      <c r="C111" t="s">
        <v>1011</v>
      </c>
      <c r="D111" t="s">
        <v>21</v>
      </c>
      <c r="E111" s="7">
        <v>45974</v>
      </c>
      <c r="F111" t="s">
        <v>58</v>
      </c>
      <c r="G111">
        <v>7</v>
      </c>
      <c r="H111">
        <v>3511</v>
      </c>
      <c r="I111" t="s">
        <v>76</v>
      </c>
    </row>
    <row r="112" spans="2:9" x14ac:dyDescent="0.25">
      <c r="B112" t="s">
        <v>208</v>
      </c>
      <c r="C112" t="s">
        <v>1013</v>
      </c>
      <c r="D112" t="s">
        <v>19</v>
      </c>
      <c r="E112" s="7">
        <v>45788</v>
      </c>
      <c r="F112" t="s">
        <v>58</v>
      </c>
      <c r="G112">
        <v>2</v>
      </c>
      <c r="H112">
        <v>4801</v>
      </c>
      <c r="I112" t="s">
        <v>81</v>
      </c>
    </row>
    <row r="113" spans="2:9" x14ac:dyDescent="0.25">
      <c r="B113" t="s">
        <v>209</v>
      </c>
      <c r="C113" t="s">
        <v>1016</v>
      </c>
      <c r="D113" t="s">
        <v>14</v>
      </c>
      <c r="E113" s="7">
        <v>45780</v>
      </c>
      <c r="F113" t="s">
        <v>58</v>
      </c>
      <c r="G113">
        <v>9</v>
      </c>
      <c r="H113">
        <v>2988</v>
      </c>
      <c r="I113" t="s">
        <v>84</v>
      </c>
    </row>
    <row r="114" spans="2:9" x14ac:dyDescent="0.25">
      <c r="B114" t="s">
        <v>210</v>
      </c>
      <c r="C114" t="s">
        <v>1008</v>
      </c>
      <c r="D114" t="s">
        <v>17</v>
      </c>
      <c r="E114" s="7">
        <v>45940</v>
      </c>
      <c r="F114" t="s">
        <v>57</v>
      </c>
      <c r="G114">
        <v>4</v>
      </c>
      <c r="H114">
        <v>4739</v>
      </c>
      <c r="I114" t="s">
        <v>76</v>
      </c>
    </row>
    <row r="115" spans="2:9" x14ac:dyDescent="0.25">
      <c r="B115" t="s">
        <v>211</v>
      </c>
      <c r="C115" t="s">
        <v>1020</v>
      </c>
      <c r="D115" t="s">
        <v>14</v>
      </c>
      <c r="E115" s="7">
        <v>45974</v>
      </c>
      <c r="F115" t="s">
        <v>57</v>
      </c>
      <c r="G115">
        <v>9</v>
      </c>
      <c r="H115">
        <v>610</v>
      </c>
      <c r="I115" t="s">
        <v>81</v>
      </c>
    </row>
    <row r="116" spans="2:9" x14ac:dyDescent="0.25">
      <c r="B116" t="s">
        <v>212</v>
      </c>
      <c r="C116" t="s">
        <v>1010</v>
      </c>
      <c r="D116" t="s">
        <v>19</v>
      </c>
      <c r="E116" s="7">
        <v>45734</v>
      </c>
      <c r="F116" t="s">
        <v>58</v>
      </c>
      <c r="G116">
        <v>6</v>
      </c>
      <c r="H116">
        <v>2404</v>
      </c>
      <c r="I116" t="s">
        <v>84</v>
      </c>
    </row>
    <row r="117" spans="2:9" x14ac:dyDescent="0.25">
      <c r="B117" t="s">
        <v>213</v>
      </c>
      <c r="C117" t="s">
        <v>1016</v>
      </c>
      <c r="D117" t="s">
        <v>21</v>
      </c>
      <c r="E117" s="7">
        <v>45916</v>
      </c>
      <c r="F117" t="s">
        <v>57</v>
      </c>
      <c r="G117">
        <v>7</v>
      </c>
      <c r="H117">
        <v>832</v>
      </c>
      <c r="I117" t="s">
        <v>81</v>
      </c>
    </row>
    <row r="118" spans="2:9" x14ac:dyDescent="0.25">
      <c r="B118" t="s">
        <v>214</v>
      </c>
      <c r="C118" t="s">
        <v>1014</v>
      </c>
      <c r="D118" t="s">
        <v>21</v>
      </c>
      <c r="E118" s="7">
        <v>45740</v>
      </c>
      <c r="F118" t="s">
        <v>57</v>
      </c>
      <c r="G118">
        <v>7</v>
      </c>
      <c r="H118">
        <v>2873</v>
      </c>
      <c r="I118" t="s">
        <v>81</v>
      </c>
    </row>
    <row r="119" spans="2:9" x14ac:dyDescent="0.25">
      <c r="B119" t="s">
        <v>215</v>
      </c>
      <c r="C119" t="s">
        <v>1021</v>
      </c>
      <c r="D119" t="s">
        <v>11</v>
      </c>
      <c r="E119" s="7">
        <v>45765</v>
      </c>
      <c r="F119" t="s">
        <v>57</v>
      </c>
      <c r="G119">
        <v>4</v>
      </c>
      <c r="H119">
        <v>4375</v>
      </c>
      <c r="I119" t="s">
        <v>84</v>
      </c>
    </row>
    <row r="120" spans="2:9" x14ac:dyDescent="0.25">
      <c r="B120" t="s">
        <v>216</v>
      </c>
      <c r="C120" t="s">
        <v>1020</v>
      </c>
      <c r="D120" t="s">
        <v>11</v>
      </c>
      <c r="E120" s="7">
        <v>45834</v>
      </c>
      <c r="F120" t="s">
        <v>58</v>
      </c>
      <c r="G120">
        <v>3</v>
      </c>
      <c r="H120">
        <v>2509</v>
      </c>
      <c r="I120" t="s">
        <v>81</v>
      </c>
    </row>
    <row r="121" spans="2:9" x14ac:dyDescent="0.25">
      <c r="B121" t="s">
        <v>217</v>
      </c>
      <c r="C121" t="s">
        <v>1015</v>
      </c>
      <c r="D121" t="s">
        <v>17</v>
      </c>
      <c r="E121" s="7">
        <v>45876</v>
      </c>
      <c r="F121" t="s">
        <v>58</v>
      </c>
      <c r="G121">
        <v>8</v>
      </c>
      <c r="H121">
        <v>3241</v>
      </c>
      <c r="I121" t="s">
        <v>84</v>
      </c>
    </row>
    <row r="122" spans="2:9" x14ac:dyDescent="0.25">
      <c r="B122" t="s">
        <v>218</v>
      </c>
      <c r="C122" t="s">
        <v>1020</v>
      </c>
      <c r="D122" t="s">
        <v>27</v>
      </c>
      <c r="E122" s="7">
        <v>45989</v>
      </c>
      <c r="F122" t="s">
        <v>58</v>
      </c>
      <c r="G122">
        <v>9</v>
      </c>
      <c r="H122">
        <v>3898</v>
      </c>
      <c r="I122" t="s">
        <v>81</v>
      </c>
    </row>
    <row r="123" spans="2:9" x14ac:dyDescent="0.25">
      <c r="B123" t="s">
        <v>219</v>
      </c>
      <c r="C123" t="s">
        <v>1014</v>
      </c>
      <c r="D123" t="s">
        <v>14</v>
      </c>
      <c r="E123" s="7">
        <v>45902</v>
      </c>
      <c r="F123" t="s">
        <v>58</v>
      </c>
      <c r="G123">
        <v>6</v>
      </c>
      <c r="H123">
        <v>640</v>
      </c>
      <c r="I123" t="s">
        <v>81</v>
      </c>
    </row>
    <row r="124" spans="2:9" x14ac:dyDescent="0.25">
      <c r="B124" t="s">
        <v>220</v>
      </c>
      <c r="C124" t="s">
        <v>1010</v>
      </c>
      <c r="D124" t="s">
        <v>11</v>
      </c>
      <c r="E124" s="7">
        <v>45910</v>
      </c>
      <c r="F124" t="s">
        <v>58</v>
      </c>
      <c r="G124">
        <v>6</v>
      </c>
      <c r="H124">
        <v>912</v>
      </c>
      <c r="I124" t="s">
        <v>81</v>
      </c>
    </row>
    <row r="125" spans="2:9" x14ac:dyDescent="0.25">
      <c r="B125" t="s">
        <v>221</v>
      </c>
      <c r="C125" t="s">
        <v>1009</v>
      </c>
      <c r="D125" t="s">
        <v>23</v>
      </c>
      <c r="E125" s="7">
        <v>45996</v>
      </c>
      <c r="F125" t="s">
        <v>58</v>
      </c>
      <c r="G125">
        <v>7</v>
      </c>
      <c r="H125">
        <v>1029</v>
      </c>
      <c r="I125" t="s">
        <v>76</v>
      </c>
    </row>
    <row r="126" spans="2:9" x14ac:dyDescent="0.25">
      <c r="B126" t="s">
        <v>222</v>
      </c>
      <c r="C126" t="s">
        <v>1010</v>
      </c>
      <c r="D126" t="s">
        <v>11</v>
      </c>
      <c r="E126" s="7">
        <v>45828</v>
      </c>
      <c r="F126" t="s">
        <v>57</v>
      </c>
      <c r="G126">
        <v>2</v>
      </c>
      <c r="H126">
        <v>3610</v>
      </c>
      <c r="I126" t="s">
        <v>81</v>
      </c>
    </row>
    <row r="127" spans="2:9" x14ac:dyDescent="0.25">
      <c r="B127" t="s">
        <v>223</v>
      </c>
      <c r="C127" t="s">
        <v>1016</v>
      </c>
      <c r="D127" t="s">
        <v>27</v>
      </c>
      <c r="E127" s="7">
        <v>45952</v>
      </c>
      <c r="F127" t="s">
        <v>58</v>
      </c>
      <c r="G127">
        <v>5</v>
      </c>
      <c r="H127">
        <v>146</v>
      </c>
      <c r="I127" t="s">
        <v>84</v>
      </c>
    </row>
    <row r="128" spans="2:9" x14ac:dyDescent="0.25">
      <c r="B128" t="s">
        <v>224</v>
      </c>
      <c r="C128" t="s">
        <v>1016</v>
      </c>
      <c r="D128" t="s">
        <v>14</v>
      </c>
      <c r="E128" s="7">
        <v>45926</v>
      </c>
      <c r="F128" t="s">
        <v>57</v>
      </c>
      <c r="G128">
        <v>6</v>
      </c>
      <c r="H128">
        <v>3373</v>
      </c>
      <c r="I128" t="s">
        <v>76</v>
      </c>
    </row>
    <row r="129" spans="2:9" x14ac:dyDescent="0.25">
      <c r="B129" t="s">
        <v>225</v>
      </c>
      <c r="C129" t="s">
        <v>1008</v>
      </c>
      <c r="D129" t="s">
        <v>14</v>
      </c>
      <c r="E129" s="7">
        <v>45727</v>
      </c>
      <c r="F129" t="s">
        <v>58</v>
      </c>
      <c r="G129">
        <v>6</v>
      </c>
      <c r="H129">
        <v>4938</v>
      </c>
      <c r="I129" t="s">
        <v>76</v>
      </c>
    </row>
    <row r="130" spans="2:9" x14ac:dyDescent="0.25">
      <c r="B130" t="s">
        <v>226</v>
      </c>
      <c r="C130" t="s">
        <v>1013</v>
      </c>
      <c r="D130" t="s">
        <v>23</v>
      </c>
      <c r="E130" s="7">
        <v>45812</v>
      </c>
      <c r="F130" t="s">
        <v>57</v>
      </c>
      <c r="G130">
        <v>10</v>
      </c>
      <c r="H130">
        <v>2789</v>
      </c>
      <c r="I130" t="s">
        <v>84</v>
      </c>
    </row>
    <row r="131" spans="2:9" x14ac:dyDescent="0.25">
      <c r="B131" t="s">
        <v>227</v>
      </c>
      <c r="C131" t="s">
        <v>1012</v>
      </c>
      <c r="D131" t="s">
        <v>21</v>
      </c>
      <c r="E131" s="7">
        <v>45737</v>
      </c>
      <c r="F131" t="s">
        <v>57</v>
      </c>
      <c r="G131">
        <v>7</v>
      </c>
      <c r="H131">
        <v>3671</v>
      </c>
      <c r="I131" t="s">
        <v>76</v>
      </c>
    </row>
    <row r="132" spans="2:9" x14ac:dyDescent="0.25">
      <c r="B132" t="s">
        <v>228</v>
      </c>
      <c r="C132" t="s">
        <v>1019</v>
      </c>
      <c r="D132" t="s">
        <v>17</v>
      </c>
      <c r="E132" s="7">
        <v>45676</v>
      </c>
      <c r="F132" t="s">
        <v>58</v>
      </c>
      <c r="G132">
        <v>8</v>
      </c>
      <c r="H132">
        <v>709</v>
      </c>
      <c r="I132" t="s">
        <v>76</v>
      </c>
    </row>
    <row r="133" spans="2:9" x14ac:dyDescent="0.25">
      <c r="B133" t="s">
        <v>229</v>
      </c>
      <c r="C133" t="s">
        <v>1007</v>
      </c>
      <c r="D133" t="s">
        <v>11</v>
      </c>
      <c r="E133" s="7">
        <v>45713</v>
      </c>
      <c r="F133" t="s">
        <v>57</v>
      </c>
      <c r="G133">
        <v>8</v>
      </c>
      <c r="H133">
        <v>802</v>
      </c>
      <c r="I133" t="s">
        <v>84</v>
      </c>
    </row>
    <row r="134" spans="2:9" x14ac:dyDescent="0.25">
      <c r="B134" t="s">
        <v>230</v>
      </c>
      <c r="C134" t="s">
        <v>1020</v>
      </c>
      <c r="D134" t="s">
        <v>23</v>
      </c>
      <c r="E134" s="7">
        <v>45907</v>
      </c>
      <c r="F134" t="s">
        <v>57</v>
      </c>
      <c r="G134">
        <v>6</v>
      </c>
      <c r="H134">
        <v>2212</v>
      </c>
      <c r="I134" t="s">
        <v>76</v>
      </c>
    </row>
    <row r="135" spans="2:9" x14ac:dyDescent="0.25">
      <c r="B135" t="s">
        <v>231</v>
      </c>
      <c r="C135" t="s">
        <v>1006</v>
      </c>
      <c r="D135" t="s">
        <v>19</v>
      </c>
      <c r="E135" s="7">
        <v>45840</v>
      </c>
      <c r="F135" t="s">
        <v>57</v>
      </c>
      <c r="G135">
        <v>2</v>
      </c>
      <c r="H135">
        <v>2031</v>
      </c>
      <c r="I135" t="s">
        <v>76</v>
      </c>
    </row>
    <row r="136" spans="2:9" x14ac:dyDescent="0.25">
      <c r="B136" t="s">
        <v>232</v>
      </c>
      <c r="C136" t="s">
        <v>1022</v>
      </c>
      <c r="D136" t="s">
        <v>14</v>
      </c>
      <c r="E136" s="7">
        <v>45795</v>
      </c>
      <c r="F136" t="s">
        <v>57</v>
      </c>
      <c r="G136">
        <v>3</v>
      </c>
      <c r="H136">
        <v>3659</v>
      </c>
      <c r="I136" t="s">
        <v>81</v>
      </c>
    </row>
    <row r="137" spans="2:9" x14ac:dyDescent="0.25">
      <c r="B137" t="s">
        <v>233</v>
      </c>
      <c r="C137" t="s">
        <v>1009</v>
      </c>
      <c r="D137" t="s">
        <v>17</v>
      </c>
      <c r="E137" s="7">
        <v>45798</v>
      </c>
      <c r="F137" t="s">
        <v>57</v>
      </c>
      <c r="G137">
        <v>5</v>
      </c>
      <c r="H137">
        <v>4343</v>
      </c>
      <c r="I137" t="s">
        <v>84</v>
      </c>
    </row>
    <row r="138" spans="2:9" x14ac:dyDescent="0.25">
      <c r="B138" t="s">
        <v>234</v>
      </c>
      <c r="C138" t="s">
        <v>1012</v>
      </c>
      <c r="D138" t="s">
        <v>27</v>
      </c>
      <c r="E138" s="7">
        <v>45963</v>
      </c>
      <c r="F138" t="s">
        <v>57</v>
      </c>
      <c r="G138">
        <v>1</v>
      </c>
      <c r="H138">
        <v>2657</v>
      </c>
      <c r="I138" t="s">
        <v>84</v>
      </c>
    </row>
    <row r="139" spans="2:9" x14ac:dyDescent="0.25">
      <c r="B139" t="s">
        <v>235</v>
      </c>
      <c r="C139" t="s">
        <v>1015</v>
      </c>
      <c r="D139" t="s">
        <v>21</v>
      </c>
      <c r="E139" s="7">
        <v>45889</v>
      </c>
      <c r="F139" t="s">
        <v>57</v>
      </c>
      <c r="G139">
        <v>5</v>
      </c>
      <c r="H139">
        <v>986</v>
      </c>
      <c r="I139" t="s">
        <v>81</v>
      </c>
    </row>
    <row r="140" spans="2:9" x14ac:dyDescent="0.25">
      <c r="B140" t="s">
        <v>236</v>
      </c>
      <c r="C140" t="s">
        <v>1013</v>
      </c>
      <c r="D140" t="s">
        <v>21</v>
      </c>
      <c r="E140" s="7">
        <v>45801</v>
      </c>
      <c r="F140" t="s">
        <v>58</v>
      </c>
      <c r="G140">
        <v>5</v>
      </c>
      <c r="H140">
        <v>3040</v>
      </c>
      <c r="I140" t="s">
        <v>76</v>
      </c>
    </row>
    <row r="141" spans="2:9" x14ac:dyDescent="0.25">
      <c r="B141" t="s">
        <v>237</v>
      </c>
      <c r="C141" t="s">
        <v>1020</v>
      </c>
      <c r="D141" t="s">
        <v>21</v>
      </c>
      <c r="E141" s="7">
        <v>45866</v>
      </c>
      <c r="F141" t="s">
        <v>58</v>
      </c>
      <c r="G141">
        <v>1</v>
      </c>
      <c r="H141">
        <v>1397</v>
      </c>
      <c r="I141" t="s">
        <v>81</v>
      </c>
    </row>
    <row r="142" spans="2:9" x14ac:dyDescent="0.25">
      <c r="B142" t="s">
        <v>238</v>
      </c>
      <c r="C142" t="s">
        <v>1017</v>
      </c>
      <c r="D142" t="s">
        <v>11</v>
      </c>
      <c r="E142" s="7">
        <v>45826</v>
      </c>
      <c r="F142" t="s">
        <v>58</v>
      </c>
      <c r="G142">
        <v>10</v>
      </c>
      <c r="H142">
        <v>4904</v>
      </c>
      <c r="I142" t="s">
        <v>76</v>
      </c>
    </row>
    <row r="143" spans="2:9" x14ac:dyDescent="0.25">
      <c r="B143" t="s">
        <v>239</v>
      </c>
      <c r="C143" t="s">
        <v>1020</v>
      </c>
      <c r="D143" t="s">
        <v>21</v>
      </c>
      <c r="E143" s="7">
        <v>45983</v>
      </c>
      <c r="F143" t="s">
        <v>57</v>
      </c>
      <c r="G143">
        <v>8</v>
      </c>
      <c r="H143">
        <v>1314</v>
      </c>
      <c r="I143" t="s">
        <v>76</v>
      </c>
    </row>
    <row r="144" spans="2:9" x14ac:dyDescent="0.25">
      <c r="B144" t="s">
        <v>240</v>
      </c>
      <c r="C144" t="s">
        <v>1016</v>
      </c>
      <c r="D144" t="s">
        <v>19</v>
      </c>
      <c r="E144" s="7">
        <v>45909</v>
      </c>
      <c r="F144" t="s">
        <v>58</v>
      </c>
      <c r="G144">
        <v>6</v>
      </c>
      <c r="H144">
        <v>4611</v>
      </c>
      <c r="I144" t="s">
        <v>76</v>
      </c>
    </row>
    <row r="145" spans="2:9" x14ac:dyDescent="0.25">
      <c r="B145" t="s">
        <v>241</v>
      </c>
      <c r="C145" t="s">
        <v>1005</v>
      </c>
      <c r="D145" t="s">
        <v>23</v>
      </c>
      <c r="E145" s="7">
        <v>45794</v>
      </c>
      <c r="F145" t="s">
        <v>58</v>
      </c>
      <c r="G145">
        <v>9</v>
      </c>
      <c r="H145">
        <v>2704</v>
      </c>
      <c r="I145" t="s">
        <v>84</v>
      </c>
    </row>
    <row r="146" spans="2:9" x14ac:dyDescent="0.25">
      <c r="B146" t="s">
        <v>242</v>
      </c>
      <c r="C146" t="s">
        <v>1019</v>
      </c>
      <c r="D146" t="s">
        <v>27</v>
      </c>
      <c r="E146" s="7">
        <v>45744</v>
      </c>
      <c r="F146" t="s">
        <v>58</v>
      </c>
      <c r="G146">
        <v>4</v>
      </c>
      <c r="H146">
        <v>4749</v>
      </c>
      <c r="I146" t="s">
        <v>84</v>
      </c>
    </row>
    <row r="147" spans="2:9" x14ac:dyDescent="0.25">
      <c r="B147" t="s">
        <v>243</v>
      </c>
      <c r="C147" t="s">
        <v>1009</v>
      </c>
      <c r="D147" t="s">
        <v>21</v>
      </c>
      <c r="E147" s="7">
        <v>45695</v>
      </c>
      <c r="F147" t="s">
        <v>57</v>
      </c>
      <c r="G147">
        <v>3</v>
      </c>
      <c r="H147">
        <v>3794</v>
      </c>
      <c r="I147" t="s">
        <v>84</v>
      </c>
    </row>
    <row r="148" spans="2:9" x14ac:dyDescent="0.25">
      <c r="B148" t="s">
        <v>244</v>
      </c>
      <c r="C148" t="s">
        <v>1013</v>
      </c>
      <c r="D148" t="s">
        <v>14</v>
      </c>
      <c r="E148" s="7">
        <v>45660</v>
      </c>
      <c r="F148" t="s">
        <v>57</v>
      </c>
      <c r="G148">
        <v>9</v>
      </c>
      <c r="H148">
        <v>4170</v>
      </c>
      <c r="I148" t="s">
        <v>84</v>
      </c>
    </row>
    <row r="149" spans="2:9" x14ac:dyDescent="0.25">
      <c r="B149" t="s">
        <v>245</v>
      </c>
      <c r="C149" t="s">
        <v>1021</v>
      </c>
      <c r="D149" t="s">
        <v>21</v>
      </c>
      <c r="E149" s="7">
        <v>45827</v>
      </c>
      <c r="F149" t="s">
        <v>58</v>
      </c>
      <c r="G149">
        <v>10</v>
      </c>
      <c r="H149">
        <v>4060</v>
      </c>
      <c r="I149" t="s">
        <v>84</v>
      </c>
    </row>
    <row r="150" spans="2:9" x14ac:dyDescent="0.25">
      <c r="B150" t="s">
        <v>246</v>
      </c>
      <c r="C150" t="s">
        <v>1009</v>
      </c>
      <c r="D150" t="s">
        <v>14</v>
      </c>
      <c r="E150" s="7">
        <v>45935</v>
      </c>
      <c r="F150" t="s">
        <v>57</v>
      </c>
      <c r="G150">
        <v>7</v>
      </c>
      <c r="H150">
        <v>2970</v>
      </c>
      <c r="I150" t="s">
        <v>81</v>
      </c>
    </row>
    <row r="151" spans="2:9" x14ac:dyDescent="0.25">
      <c r="B151" t="s">
        <v>247</v>
      </c>
      <c r="C151" t="s">
        <v>1014</v>
      </c>
      <c r="D151" t="s">
        <v>11</v>
      </c>
      <c r="E151" s="7">
        <v>45996</v>
      </c>
      <c r="F151" t="s">
        <v>57</v>
      </c>
      <c r="G151">
        <v>4</v>
      </c>
      <c r="H151">
        <v>4221</v>
      </c>
      <c r="I151" t="s">
        <v>76</v>
      </c>
    </row>
    <row r="152" spans="2:9" x14ac:dyDescent="0.25">
      <c r="B152" t="s">
        <v>248</v>
      </c>
      <c r="C152" t="s">
        <v>1013</v>
      </c>
      <c r="D152" t="s">
        <v>23</v>
      </c>
      <c r="E152" s="7">
        <v>45662</v>
      </c>
      <c r="F152" t="s">
        <v>57</v>
      </c>
      <c r="G152">
        <v>8</v>
      </c>
      <c r="H152">
        <v>2494</v>
      </c>
      <c r="I152" t="s">
        <v>76</v>
      </c>
    </row>
    <row r="153" spans="2:9" x14ac:dyDescent="0.25">
      <c r="B153" t="s">
        <v>249</v>
      </c>
      <c r="C153" t="s">
        <v>1008</v>
      </c>
      <c r="D153" t="s">
        <v>23</v>
      </c>
      <c r="E153" s="7">
        <v>45814</v>
      </c>
      <c r="F153" t="s">
        <v>57</v>
      </c>
      <c r="G153">
        <v>9</v>
      </c>
      <c r="H153">
        <v>1263</v>
      </c>
      <c r="I153" t="s">
        <v>76</v>
      </c>
    </row>
    <row r="154" spans="2:9" x14ac:dyDescent="0.25">
      <c r="B154" t="s">
        <v>250</v>
      </c>
      <c r="C154" t="s">
        <v>1021</v>
      </c>
      <c r="D154" t="s">
        <v>21</v>
      </c>
      <c r="E154" s="7">
        <v>45936</v>
      </c>
      <c r="F154" t="s">
        <v>58</v>
      </c>
      <c r="G154">
        <v>2</v>
      </c>
      <c r="H154">
        <v>347</v>
      </c>
      <c r="I154" t="s">
        <v>76</v>
      </c>
    </row>
    <row r="155" spans="2:9" x14ac:dyDescent="0.25">
      <c r="B155" t="s">
        <v>251</v>
      </c>
      <c r="C155" t="s">
        <v>1017</v>
      </c>
      <c r="D155" t="s">
        <v>23</v>
      </c>
      <c r="E155" s="7">
        <v>45673</v>
      </c>
      <c r="F155" t="s">
        <v>58</v>
      </c>
      <c r="G155">
        <v>3</v>
      </c>
      <c r="H155">
        <v>3376</v>
      </c>
      <c r="I155" t="s">
        <v>81</v>
      </c>
    </row>
    <row r="156" spans="2:9" x14ac:dyDescent="0.25">
      <c r="B156" t="s">
        <v>252</v>
      </c>
      <c r="C156" t="s">
        <v>1005</v>
      </c>
      <c r="D156" t="s">
        <v>14</v>
      </c>
      <c r="E156" s="7">
        <v>45766</v>
      </c>
      <c r="F156" t="s">
        <v>58</v>
      </c>
      <c r="G156">
        <v>4</v>
      </c>
      <c r="H156">
        <v>362</v>
      </c>
      <c r="I156" t="s">
        <v>76</v>
      </c>
    </row>
    <row r="157" spans="2:9" x14ac:dyDescent="0.25">
      <c r="B157" t="s">
        <v>253</v>
      </c>
      <c r="C157" t="s">
        <v>1017</v>
      </c>
      <c r="D157" t="s">
        <v>17</v>
      </c>
      <c r="E157" s="7">
        <v>45664</v>
      </c>
      <c r="F157" t="s">
        <v>58</v>
      </c>
      <c r="G157">
        <v>7</v>
      </c>
      <c r="H157">
        <v>73</v>
      </c>
      <c r="I157" t="s">
        <v>84</v>
      </c>
    </row>
    <row r="158" spans="2:9" x14ac:dyDescent="0.25">
      <c r="B158" t="s">
        <v>254</v>
      </c>
      <c r="C158" t="s">
        <v>1020</v>
      </c>
      <c r="D158" t="s">
        <v>17</v>
      </c>
      <c r="E158" s="7">
        <v>45995</v>
      </c>
      <c r="F158" t="s">
        <v>57</v>
      </c>
      <c r="G158">
        <v>10</v>
      </c>
      <c r="H158">
        <v>2637</v>
      </c>
      <c r="I158" t="s">
        <v>84</v>
      </c>
    </row>
    <row r="159" spans="2:9" x14ac:dyDescent="0.25">
      <c r="B159" t="s">
        <v>255</v>
      </c>
      <c r="C159" t="s">
        <v>1016</v>
      </c>
      <c r="D159" t="s">
        <v>23</v>
      </c>
      <c r="E159" s="7">
        <v>45671</v>
      </c>
      <c r="F159" t="s">
        <v>57</v>
      </c>
      <c r="G159">
        <v>3</v>
      </c>
      <c r="H159">
        <v>2035</v>
      </c>
      <c r="I159" t="s">
        <v>76</v>
      </c>
    </row>
    <row r="160" spans="2:9" x14ac:dyDescent="0.25">
      <c r="B160" t="s">
        <v>256</v>
      </c>
      <c r="C160" t="s">
        <v>1013</v>
      </c>
      <c r="D160" t="s">
        <v>27</v>
      </c>
      <c r="E160" s="7">
        <v>45823</v>
      </c>
      <c r="F160" t="s">
        <v>58</v>
      </c>
      <c r="G160">
        <v>1</v>
      </c>
      <c r="H160">
        <v>3533</v>
      </c>
      <c r="I160" t="s">
        <v>84</v>
      </c>
    </row>
    <row r="161" spans="2:9" x14ac:dyDescent="0.25">
      <c r="B161" t="s">
        <v>257</v>
      </c>
      <c r="C161" t="s">
        <v>1011</v>
      </c>
      <c r="D161" t="s">
        <v>23</v>
      </c>
      <c r="E161" s="7">
        <v>45984</v>
      </c>
      <c r="F161" t="s">
        <v>57</v>
      </c>
      <c r="G161">
        <v>8</v>
      </c>
      <c r="H161">
        <v>1267</v>
      </c>
      <c r="I161" t="s">
        <v>76</v>
      </c>
    </row>
    <row r="162" spans="2:9" x14ac:dyDescent="0.25">
      <c r="B162" t="s">
        <v>258</v>
      </c>
      <c r="C162" t="s">
        <v>1022</v>
      </c>
      <c r="D162" t="s">
        <v>21</v>
      </c>
      <c r="E162" s="7">
        <v>45988</v>
      </c>
      <c r="F162" t="s">
        <v>58</v>
      </c>
      <c r="G162">
        <v>6</v>
      </c>
      <c r="H162">
        <v>658</v>
      </c>
      <c r="I162" t="s">
        <v>81</v>
      </c>
    </row>
    <row r="163" spans="2:9" x14ac:dyDescent="0.25">
      <c r="B163" t="s">
        <v>259</v>
      </c>
      <c r="C163" t="s">
        <v>1009</v>
      </c>
      <c r="D163" t="s">
        <v>21</v>
      </c>
      <c r="E163" s="7">
        <v>45896</v>
      </c>
      <c r="F163" t="s">
        <v>57</v>
      </c>
      <c r="G163">
        <v>8</v>
      </c>
      <c r="H163">
        <v>978</v>
      </c>
      <c r="I163" t="s">
        <v>84</v>
      </c>
    </row>
    <row r="164" spans="2:9" x14ac:dyDescent="0.25">
      <c r="B164" t="s">
        <v>260</v>
      </c>
      <c r="C164" t="s">
        <v>1015</v>
      </c>
      <c r="D164" t="s">
        <v>27</v>
      </c>
      <c r="E164" s="7">
        <v>45770</v>
      </c>
      <c r="F164" t="s">
        <v>58</v>
      </c>
      <c r="G164">
        <v>1</v>
      </c>
      <c r="H164">
        <v>2824</v>
      </c>
      <c r="I164" t="s">
        <v>76</v>
      </c>
    </row>
    <row r="165" spans="2:9" x14ac:dyDescent="0.25">
      <c r="B165" t="s">
        <v>261</v>
      </c>
      <c r="C165" t="s">
        <v>1021</v>
      </c>
      <c r="D165" t="s">
        <v>11</v>
      </c>
      <c r="E165" s="7">
        <v>45895</v>
      </c>
      <c r="F165" t="s">
        <v>58</v>
      </c>
      <c r="G165">
        <v>4</v>
      </c>
      <c r="H165">
        <v>644</v>
      </c>
      <c r="I165" t="s">
        <v>84</v>
      </c>
    </row>
    <row r="166" spans="2:9" x14ac:dyDescent="0.25">
      <c r="B166" t="s">
        <v>262</v>
      </c>
      <c r="C166" t="s">
        <v>1013</v>
      </c>
      <c r="D166" t="s">
        <v>21</v>
      </c>
      <c r="E166" s="7">
        <v>45736</v>
      </c>
      <c r="F166" t="s">
        <v>58</v>
      </c>
      <c r="G166">
        <v>1</v>
      </c>
      <c r="H166">
        <v>168</v>
      </c>
      <c r="I166" t="s">
        <v>84</v>
      </c>
    </row>
    <row r="167" spans="2:9" x14ac:dyDescent="0.25">
      <c r="B167" t="s">
        <v>263</v>
      </c>
      <c r="C167" t="s">
        <v>1017</v>
      </c>
      <c r="D167" t="s">
        <v>11</v>
      </c>
      <c r="E167" s="7">
        <v>45805</v>
      </c>
      <c r="F167" t="s">
        <v>57</v>
      </c>
      <c r="G167">
        <v>9</v>
      </c>
      <c r="H167">
        <v>983</v>
      </c>
      <c r="I167" t="s">
        <v>84</v>
      </c>
    </row>
    <row r="168" spans="2:9" x14ac:dyDescent="0.25">
      <c r="B168" t="s">
        <v>264</v>
      </c>
      <c r="C168" t="s">
        <v>1017</v>
      </c>
      <c r="D168" t="s">
        <v>27</v>
      </c>
      <c r="E168" s="7">
        <v>45793</v>
      </c>
      <c r="F168" t="s">
        <v>58</v>
      </c>
      <c r="G168">
        <v>7</v>
      </c>
      <c r="H168">
        <v>3994</v>
      </c>
      <c r="I168" t="s">
        <v>81</v>
      </c>
    </row>
    <row r="169" spans="2:9" x14ac:dyDescent="0.25">
      <c r="B169" t="s">
        <v>265</v>
      </c>
      <c r="C169" t="s">
        <v>1014</v>
      </c>
      <c r="D169" t="s">
        <v>27</v>
      </c>
      <c r="E169" s="7">
        <v>45979</v>
      </c>
      <c r="F169" t="s">
        <v>58</v>
      </c>
      <c r="G169">
        <v>8</v>
      </c>
      <c r="H169">
        <v>3961</v>
      </c>
      <c r="I169" t="s">
        <v>84</v>
      </c>
    </row>
    <row r="170" spans="2:9" x14ac:dyDescent="0.25">
      <c r="B170" t="s">
        <v>266</v>
      </c>
      <c r="C170" t="s">
        <v>1010</v>
      </c>
      <c r="D170" t="s">
        <v>11</v>
      </c>
      <c r="E170" s="7">
        <v>45913</v>
      </c>
      <c r="F170" t="s">
        <v>57</v>
      </c>
      <c r="G170">
        <v>10</v>
      </c>
      <c r="H170">
        <v>1947</v>
      </c>
      <c r="I170" t="s">
        <v>76</v>
      </c>
    </row>
    <row r="171" spans="2:9" x14ac:dyDescent="0.25">
      <c r="B171" t="s">
        <v>267</v>
      </c>
      <c r="C171" t="s">
        <v>1012</v>
      </c>
      <c r="D171" t="s">
        <v>27</v>
      </c>
      <c r="E171" s="7">
        <v>45706</v>
      </c>
      <c r="F171" t="s">
        <v>57</v>
      </c>
      <c r="G171">
        <v>10</v>
      </c>
      <c r="H171">
        <v>2827</v>
      </c>
      <c r="I171" t="s">
        <v>84</v>
      </c>
    </row>
    <row r="172" spans="2:9" x14ac:dyDescent="0.25">
      <c r="B172" t="s">
        <v>268</v>
      </c>
      <c r="C172" t="s">
        <v>1007</v>
      </c>
      <c r="D172" t="s">
        <v>21</v>
      </c>
      <c r="E172" s="7">
        <v>45800</v>
      </c>
      <c r="F172" t="s">
        <v>57</v>
      </c>
      <c r="G172">
        <v>3</v>
      </c>
      <c r="H172">
        <v>2840</v>
      </c>
      <c r="I172" t="s">
        <v>84</v>
      </c>
    </row>
    <row r="173" spans="2:9" x14ac:dyDescent="0.25">
      <c r="B173" t="s">
        <v>269</v>
      </c>
      <c r="C173" t="s">
        <v>1006</v>
      </c>
      <c r="D173" t="s">
        <v>14</v>
      </c>
      <c r="E173" s="7">
        <v>45805</v>
      </c>
      <c r="F173" t="s">
        <v>58</v>
      </c>
      <c r="G173">
        <v>4</v>
      </c>
      <c r="H173">
        <v>2037</v>
      </c>
      <c r="I173" t="s">
        <v>76</v>
      </c>
    </row>
    <row r="174" spans="2:9" x14ac:dyDescent="0.25">
      <c r="B174" t="s">
        <v>270</v>
      </c>
      <c r="C174" t="s">
        <v>1006</v>
      </c>
      <c r="D174" t="s">
        <v>21</v>
      </c>
      <c r="E174" s="7">
        <v>45967</v>
      </c>
      <c r="F174" t="s">
        <v>58</v>
      </c>
      <c r="G174">
        <v>3</v>
      </c>
      <c r="H174">
        <v>1791</v>
      </c>
      <c r="I174" t="s">
        <v>76</v>
      </c>
    </row>
    <row r="175" spans="2:9" x14ac:dyDescent="0.25">
      <c r="B175" t="s">
        <v>271</v>
      </c>
      <c r="C175" t="s">
        <v>1014</v>
      </c>
      <c r="D175" t="s">
        <v>11</v>
      </c>
      <c r="E175" s="7">
        <v>45773</v>
      </c>
      <c r="F175" t="s">
        <v>57</v>
      </c>
      <c r="G175">
        <v>3</v>
      </c>
      <c r="H175">
        <v>2309</v>
      </c>
      <c r="I175" t="s">
        <v>84</v>
      </c>
    </row>
    <row r="176" spans="2:9" x14ac:dyDescent="0.25">
      <c r="B176" t="s">
        <v>272</v>
      </c>
      <c r="C176" t="s">
        <v>1012</v>
      </c>
      <c r="D176" t="s">
        <v>27</v>
      </c>
      <c r="E176" s="7">
        <v>46007</v>
      </c>
      <c r="F176" t="s">
        <v>57</v>
      </c>
      <c r="G176">
        <v>10</v>
      </c>
      <c r="H176">
        <v>141</v>
      </c>
      <c r="I176" t="s">
        <v>76</v>
      </c>
    </row>
    <row r="177" spans="2:9" x14ac:dyDescent="0.25">
      <c r="B177" t="s">
        <v>273</v>
      </c>
      <c r="C177" t="s">
        <v>1019</v>
      </c>
      <c r="D177" t="s">
        <v>19</v>
      </c>
      <c r="E177" s="7">
        <v>45927</v>
      </c>
      <c r="F177" t="s">
        <v>57</v>
      </c>
      <c r="G177">
        <v>3</v>
      </c>
      <c r="H177">
        <v>629</v>
      </c>
      <c r="I177" t="s">
        <v>84</v>
      </c>
    </row>
    <row r="178" spans="2:9" x14ac:dyDescent="0.25">
      <c r="B178" t="s">
        <v>274</v>
      </c>
      <c r="C178" t="s">
        <v>1019</v>
      </c>
      <c r="D178" t="s">
        <v>11</v>
      </c>
      <c r="E178" s="7">
        <v>45866</v>
      </c>
      <c r="F178" t="s">
        <v>58</v>
      </c>
      <c r="G178">
        <v>5</v>
      </c>
      <c r="H178">
        <v>478</v>
      </c>
      <c r="I178" t="s">
        <v>76</v>
      </c>
    </row>
    <row r="179" spans="2:9" x14ac:dyDescent="0.25">
      <c r="B179" t="s">
        <v>275</v>
      </c>
      <c r="C179" t="s">
        <v>1012</v>
      </c>
      <c r="D179" t="s">
        <v>17</v>
      </c>
      <c r="E179" s="7">
        <v>45925</v>
      </c>
      <c r="F179" t="s">
        <v>57</v>
      </c>
      <c r="G179">
        <v>1</v>
      </c>
      <c r="H179">
        <v>206</v>
      </c>
      <c r="I179" t="s">
        <v>84</v>
      </c>
    </row>
    <row r="180" spans="2:9" x14ac:dyDescent="0.25">
      <c r="B180" t="s">
        <v>276</v>
      </c>
      <c r="C180" t="s">
        <v>1009</v>
      </c>
      <c r="D180" t="s">
        <v>21</v>
      </c>
      <c r="E180" s="7">
        <v>45955</v>
      </c>
      <c r="F180" t="s">
        <v>57</v>
      </c>
      <c r="G180">
        <v>2</v>
      </c>
      <c r="H180">
        <v>1655</v>
      </c>
      <c r="I180" t="s">
        <v>84</v>
      </c>
    </row>
    <row r="181" spans="2:9" x14ac:dyDescent="0.25">
      <c r="B181" t="s">
        <v>277</v>
      </c>
      <c r="C181" t="s">
        <v>1013</v>
      </c>
      <c r="D181" t="s">
        <v>21</v>
      </c>
      <c r="E181" s="7">
        <v>45887</v>
      </c>
      <c r="F181" t="s">
        <v>57</v>
      </c>
      <c r="G181">
        <v>8</v>
      </c>
      <c r="H181">
        <v>516</v>
      </c>
      <c r="I181" t="s">
        <v>84</v>
      </c>
    </row>
    <row r="182" spans="2:9" x14ac:dyDescent="0.25">
      <c r="B182" t="s">
        <v>278</v>
      </c>
      <c r="C182" t="s">
        <v>1014</v>
      </c>
      <c r="D182" t="s">
        <v>17</v>
      </c>
      <c r="E182" s="7">
        <v>45740</v>
      </c>
      <c r="F182" t="s">
        <v>58</v>
      </c>
      <c r="G182">
        <v>8</v>
      </c>
      <c r="H182">
        <v>3768</v>
      </c>
      <c r="I182" t="s">
        <v>84</v>
      </c>
    </row>
    <row r="183" spans="2:9" x14ac:dyDescent="0.25">
      <c r="B183" t="s">
        <v>279</v>
      </c>
      <c r="C183" t="s">
        <v>1006</v>
      </c>
      <c r="D183" t="s">
        <v>14</v>
      </c>
      <c r="E183" s="7">
        <v>46006</v>
      </c>
      <c r="F183" t="s">
        <v>58</v>
      </c>
      <c r="G183">
        <v>8</v>
      </c>
      <c r="H183">
        <v>2278</v>
      </c>
      <c r="I183" t="s">
        <v>76</v>
      </c>
    </row>
    <row r="184" spans="2:9" x14ac:dyDescent="0.25">
      <c r="B184" t="s">
        <v>280</v>
      </c>
      <c r="C184" t="s">
        <v>1004</v>
      </c>
      <c r="D184" t="s">
        <v>19</v>
      </c>
      <c r="E184" s="7">
        <v>45830</v>
      </c>
      <c r="F184" t="s">
        <v>57</v>
      </c>
      <c r="G184">
        <v>1</v>
      </c>
      <c r="H184">
        <v>3179</v>
      </c>
      <c r="I184" t="s">
        <v>81</v>
      </c>
    </row>
    <row r="185" spans="2:9" x14ac:dyDescent="0.25">
      <c r="B185" t="s">
        <v>281</v>
      </c>
      <c r="C185" t="s">
        <v>1008</v>
      </c>
      <c r="D185" t="s">
        <v>21</v>
      </c>
      <c r="E185" s="7">
        <v>45870</v>
      </c>
      <c r="F185" t="s">
        <v>58</v>
      </c>
      <c r="G185">
        <v>4</v>
      </c>
      <c r="H185">
        <v>2476</v>
      </c>
      <c r="I185" t="s">
        <v>76</v>
      </c>
    </row>
    <row r="186" spans="2:9" x14ac:dyDescent="0.25">
      <c r="B186" t="s">
        <v>282</v>
      </c>
      <c r="C186" t="s">
        <v>1014</v>
      </c>
      <c r="D186" t="s">
        <v>11</v>
      </c>
      <c r="E186" s="7">
        <v>45860</v>
      </c>
      <c r="F186" t="s">
        <v>57</v>
      </c>
      <c r="G186">
        <v>5</v>
      </c>
      <c r="H186">
        <v>2477</v>
      </c>
      <c r="I186" t="s">
        <v>76</v>
      </c>
    </row>
    <row r="187" spans="2:9" x14ac:dyDescent="0.25">
      <c r="B187" t="s">
        <v>283</v>
      </c>
      <c r="C187" t="s">
        <v>1014</v>
      </c>
      <c r="D187" t="s">
        <v>23</v>
      </c>
      <c r="E187" s="7">
        <v>45926</v>
      </c>
      <c r="F187" t="s">
        <v>58</v>
      </c>
      <c r="G187">
        <v>5</v>
      </c>
      <c r="H187">
        <v>4322</v>
      </c>
      <c r="I187" t="s">
        <v>76</v>
      </c>
    </row>
    <row r="188" spans="2:9" x14ac:dyDescent="0.25">
      <c r="B188" t="s">
        <v>284</v>
      </c>
      <c r="C188" t="s">
        <v>1014</v>
      </c>
      <c r="D188" t="s">
        <v>11</v>
      </c>
      <c r="E188" s="7">
        <v>45908</v>
      </c>
      <c r="F188" t="s">
        <v>57</v>
      </c>
      <c r="G188">
        <v>1</v>
      </c>
      <c r="H188">
        <v>513</v>
      </c>
      <c r="I188" t="s">
        <v>84</v>
      </c>
    </row>
    <row r="189" spans="2:9" x14ac:dyDescent="0.25">
      <c r="B189" t="s">
        <v>285</v>
      </c>
      <c r="C189" t="s">
        <v>1022</v>
      </c>
      <c r="D189" t="s">
        <v>11</v>
      </c>
      <c r="E189" s="7">
        <v>45843</v>
      </c>
      <c r="F189" t="s">
        <v>58</v>
      </c>
      <c r="G189">
        <v>1</v>
      </c>
      <c r="H189">
        <v>2308</v>
      </c>
      <c r="I189" t="s">
        <v>81</v>
      </c>
    </row>
    <row r="190" spans="2:9" x14ac:dyDescent="0.25">
      <c r="B190" t="s">
        <v>286</v>
      </c>
      <c r="C190" t="s">
        <v>1012</v>
      </c>
      <c r="D190" t="s">
        <v>14</v>
      </c>
      <c r="E190" s="7">
        <v>45801</v>
      </c>
      <c r="F190" t="s">
        <v>57</v>
      </c>
      <c r="G190">
        <v>8</v>
      </c>
      <c r="H190">
        <v>2364</v>
      </c>
      <c r="I190" t="s">
        <v>81</v>
      </c>
    </row>
    <row r="191" spans="2:9" x14ac:dyDescent="0.25">
      <c r="B191" t="s">
        <v>287</v>
      </c>
      <c r="C191" t="s">
        <v>1007</v>
      </c>
      <c r="D191" t="s">
        <v>21</v>
      </c>
      <c r="E191" s="7">
        <v>45902</v>
      </c>
      <c r="F191" t="s">
        <v>57</v>
      </c>
      <c r="G191">
        <v>6</v>
      </c>
      <c r="H191">
        <v>2135</v>
      </c>
      <c r="I191" t="s">
        <v>81</v>
      </c>
    </row>
    <row r="192" spans="2:9" x14ac:dyDescent="0.25">
      <c r="B192" t="s">
        <v>288</v>
      </c>
      <c r="C192" t="s">
        <v>1006</v>
      </c>
      <c r="D192" t="s">
        <v>19</v>
      </c>
      <c r="E192" s="7">
        <v>45700</v>
      </c>
      <c r="F192" t="s">
        <v>57</v>
      </c>
      <c r="G192">
        <v>4</v>
      </c>
      <c r="H192">
        <v>4394</v>
      </c>
      <c r="I192" t="s">
        <v>76</v>
      </c>
    </row>
    <row r="193" spans="2:9" x14ac:dyDescent="0.25">
      <c r="B193" t="s">
        <v>289</v>
      </c>
      <c r="C193" t="s">
        <v>1013</v>
      </c>
      <c r="D193" t="s">
        <v>21</v>
      </c>
      <c r="E193" s="7">
        <v>45994</v>
      </c>
      <c r="F193" t="s">
        <v>58</v>
      </c>
      <c r="G193">
        <v>4</v>
      </c>
      <c r="H193">
        <v>788</v>
      </c>
      <c r="I193" t="s">
        <v>76</v>
      </c>
    </row>
    <row r="194" spans="2:9" x14ac:dyDescent="0.25">
      <c r="B194" t="s">
        <v>290</v>
      </c>
      <c r="C194" t="s">
        <v>1007</v>
      </c>
      <c r="D194" t="s">
        <v>14</v>
      </c>
      <c r="E194" s="7">
        <v>45691</v>
      </c>
      <c r="F194" t="s">
        <v>57</v>
      </c>
      <c r="G194">
        <v>1</v>
      </c>
      <c r="H194">
        <v>4209</v>
      </c>
      <c r="I194" t="s">
        <v>76</v>
      </c>
    </row>
    <row r="195" spans="2:9" x14ac:dyDescent="0.25">
      <c r="B195" t="s">
        <v>291</v>
      </c>
      <c r="C195" t="s">
        <v>1020</v>
      </c>
      <c r="D195" t="s">
        <v>23</v>
      </c>
      <c r="E195" s="7">
        <v>45836</v>
      </c>
      <c r="F195" t="s">
        <v>58</v>
      </c>
      <c r="G195">
        <v>3</v>
      </c>
      <c r="H195">
        <v>1477</v>
      </c>
      <c r="I195" t="s">
        <v>81</v>
      </c>
    </row>
    <row r="196" spans="2:9" x14ac:dyDescent="0.25">
      <c r="B196" t="s">
        <v>292</v>
      </c>
      <c r="C196" t="s">
        <v>1010</v>
      </c>
      <c r="D196" t="s">
        <v>14</v>
      </c>
      <c r="E196" s="7">
        <v>45816</v>
      </c>
      <c r="F196" t="s">
        <v>58</v>
      </c>
      <c r="G196">
        <v>3</v>
      </c>
      <c r="H196">
        <v>660</v>
      </c>
      <c r="I196" t="s">
        <v>84</v>
      </c>
    </row>
    <row r="197" spans="2:9" x14ac:dyDescent="0.25">
      <c r="B197" t="s">
        <v>293</v>
      </c>
      <c r="C197" t="s">
        <v>1008</v>
      </c>
      <c r="D197" t="s">
        <v>17</v>
      </c>
      <c r="E197" s="7">
        <v>45831</v>
      </c>
      <c r="F197" t="s">
        <v>58</v>
      </c>
      <c r="G197">
        <v>4</v>
      </c>
      <c r="H197">
        <v>3676</v>
      </c>
      <c r="I197" t="s">
        <v>76</v>
      </c>
    </row>
    <row r="198" spans="2:9" x14ac:dyDescent="0.25">
      <c r="B198" t="s">
        <v>294</v>
      </c>
      <c r="C198" t="s">
        <v>1004</v>
      </c>
      <c r="D198" t="s">
        <v>14</v>
      </c>
      <c r="E198" s="7">
        <v>45884</v>
      </c>
      <c r="F198" t="s">
        <v>58</v>
      </c>
      <c r="G198">
        <v>7</v>
      </c>
      <c r="H198">
        <v>3807</v>
      </c>
      <c r="I198" t="s">
        <v>84</v>
      </c>
    </row>
    <row r="199" spans="2:9" x14ac:dyDescent="0.25">
      <c r="B199" t="s">
        <v>295</v>
      </c>
      <c r="C199" t="s">
        <v>1012</v>
      </c>
      <c r="D199" t="s">
        <v>23</v>
      </c>
      <c r="E199" s="7">
        <v>45891</v>
      </c>
      <c r="F199" t="s">
        <v>57</v>
      </c>
      <c r="G199">
        <v>10</v>
      </c>
      <c r="H199">
        <v>3125</v>
      </c>
      <c r="I199" t="s">
        <v>81</v>
      </c>
    </row>
    <row r="200" spans="2:9" x14ac:dyDescent="0.25">
      <c r="B200" t="s">
        <v>296</v>
      </c>
      <c r="C200" t="s">
        <v>1014</v>
      </c>
      <c r="D200" t="s">
        <v>17</v>
      </c>
      <c r="E200" s="7">
        <v>45770</v>
      </c>
      <c r="F200" t="s">
        <v>58</v>
      </c>
      <c r="G200">
        <v>1</v>
      </c>
      <c r="H200">
        <v>49</v>
      </c>
      <c r="I200" t="s">
        <v>84</v>
      </c>
    </row>
    <row r="201" spans="2:9" x14ac:dyDescent="0.25">
      <c r="B201" t="s">
        <v>297</v>
      </c>
      <c r="C201" t="s">
        <v>1009</v>
      </c>
      <c r="D201" t="s">
        <v>23</v>
      </c>
      <c r="E201" s="7">
        <v>45941</v>
      </c>
      <c r="F201" t="s">
        <v>57</v>
      </c>
      <c r="G201">
        <v>5</v>
      </c>
      <c r="H201">
        <v>1789</v>
      </c>
      <c r="I201" t="s">
        <v>84</v>
      </c>
    </row>
    <row r="202" spans="2:9" x14ac:dyDescent="0.25">
      <c r="B202" t="s">
        <v>298</v>
      </c>
      <c r="C202" t="s">
        <v>1009</v>
      </c>
      <c r="D202" t="s">
        <v>23</v>
      </c>
      <c r="E202" s="7">
        <v>45814</v>
      </c>
      <c r="F202" t="s">
        <v>57</v>
      </c>
      <c r="G202">
        <v>7</v>
      </c>
      <c r="H202">
        <v>1937</v>
      </c>
      <c r="I202" t="s">
        <v>84</v>
      </c>
    </row>
    <row r="203" spans="2:9" x14ac:dyDescent="0.25">
      <c r="B203" t="s">
        <v>299</v>
      </c>
      <c r="C203" t="s">
        <v>1007</v>
      </c>
      <c r="D203" t="s">
        <v>19</v>
      </c>
      <c r="E203" s="7">
        <v>46002</v>
      </c>
      <c r="F203" t="s">
        <v>57</v>
      </c>
      <c r="G203">
        <v>9</v>
      </c>
      <c r="H203">
        <v>2878</v>
      </c>
      <c r="I203" t="s">
        <v>76</v>
      </c>
    </row>
    <row r="204" spans="2:9" x14ac:dyDescent="0.25">
      <c r="B204" t="s">
        <v>300</v>
      </c>
      <c r="C204" t="s">
        <v>1013</v>
      </c>
      <c r="D204" t="s">
        <v>17</v>
      </c>
      <c r="E204" s="7">
        <v>45750</v>
      </c>
      <c r="F204" t="s">
        <v>57</v>
      </c>
      <c r="G204">
        <v>10</v>
      </c>
      <c r="H204">
        <v>3341</v>
      </c>
      <c r="I204" t="s">
        <v>76</v>
      </c>
    </row>
    <row r="205" spans="2:9" x14ac:dyDescent="0.25">
      <c r="B205" t="s">
        <v>301</v>
      </c>
      <c r="C205" t="s">
        <v>1011</v>
      </c>
      <c r="D205" t="s">
        <v>27</v>
      </c>
      <c r="E205" s="7">
        <v>45861</v>
      </c>
      <c r="F205" t="s">
        <v>58</v>
      </c>
      <c r="G205">
        <v>10</v>
      </c>
      <c r="H205">
        <v>886</v>
      </c>
      <c r="I205" t="s">
        <v>84</v>
      </c>
    </row>
    <row r="206" spans="2:9" x14ac:dyDescent="0.25">
      <c r="B206" t="s">
        <v>302</v>
      </c>
      <c r="C206" t="s">
        <v>1014</v>
      </c>
      <c r="D206" t="s">
        <v>23</v>
      </c>
      <c r="E206" s="7">
        <v>45750</v>
      </c>
      <c r="F206" t="s">
        <v>57</v>
      </c>
      <c r="G206">
        <v>6</v>
      </c>
      <c r="H206">
        <v>4359</v>
      </c>
      <c r="I206" t="s">
        <v>81</v>
      </c>
    </row>
    <row r="207" spans="2:9" x14ac:dyDescent="0.25">
      <c r="B207" t="s">
        <v>303</v>
      </c>
      <c r="C207" t="s">
        <v>1007</v>
      </c>
      <c r="D207" t="s">
        <v>21</v>
      </c>
      <c r="E207" s="7">
        <v>45714</v>
      </c>
      <c r="F207" t="s">
        <v>57</v>
      </c>
      <c r="G207">
        <v>3</v>
      </c>
      <c r="H207">
        <v>1513</v>
      </c>
      <c r="I207" t="s">
        <v>84</v>
      </c>
    </row>
    <row r="208" spans="2:9" x14ac:dyDescent="0.25">
      <c r="B208" t="s">
        <v>304</v>
      </c>
      <c r="C208" t="s">
        <v>1021</v>
      </c>
      <c r="D208" t="s">
        <v>17</v>
      </c>
      <c r="E208" s="7">
        <v>45692</v>
      </c>
      <c r="F208" t="s">
        <v>58</v>
      </c>
      <c r="G208">
        <v>3</v>
      </c>
      <c r="H208">
        <v>1352</v>
      </c>
      <c r="I208" t="s">
        <v>84</v>
      </c>
    </row>
    <row r="209" spans="2:9" x14ac:dyDescent="0.25">
      <c r="B209" t="s">
        <v>305</v>
      </c>
      <c r="C209" t="s">
        <v>1019</v>
      </c>
      <c r="D209" t="s">
        <v>19</v>
      </c>
      <c r="E209" s="7">
        <v>45813</v>
      </c>
      <c r="F209" t="s">
        <v>57</v>
      </c>
      <c r="G209">
        <v>1</v>
      </c>
      <c r="H209">
        <v>1745</v>
      </c>
      <c r="I209" t="s">
        <v>84</v>
      </c>
    </row>
    <row r="210" spans="2:9" x14ac:dyDescent="0.25">
      <c r="B210" t="s">
        <v>306</v>
      </c>
      <c r="C210" t="s">
        <v>1014</v>
      </c>
      <c r="D210" t="s">
        <v>11</v>
      </c>
      <c r="E210" s="7">
        <v>45909</v>
      </c>
      <c r="F210" t="s">
        <v>58</v>
      </c>
      <c r="G210">
        <v>5</v>
      </c>
      <c r="H210">
        <v>1888</v>
      </c>
      <c r="I210" t="s">
        <v>84</v>
      </c>
    </row>
    <row r="211" spans="2:9" x14ac:dyDescent="0.25">
      <c r="B211" t="s">
        <v>307</v>
      </c>
      <c r="C211" t="s">
        <v>1021</v>
      </c>
      <c r="D211" t="s">
        <v>11</v>
      </c>
      <c r="E211" s="7">
        <v>45910</v>
      </c>
      <c r="F211" t="s">
        <v>57</v>
      </c>
      <c r="G211">
        <v>4</v>
      </c>
      <c r="H211">
        <v>4790</v>
      </c>
      <c r="I211" t="s">
        <v>76</v>
      </c>
    </row>
    <row r="212" spans="2:9" x14ac:dyDescent="0.25">
      <c r="B212" t="s">
        <v>308</v>
      </c>
      <c r="C212" t="s">
        <v>1012</v>
      </c>
      <c r="D212" t="s">
        <v>23</v>
      </c>
      <c r="E212" s="7">
        <v>45805</v>
      </c>
      <c r="F212" t="s">
        <v>58</v>
      </c>
      <c r="G212">
        <v>4</v>
      </c>
      <c r="H212">
        <v>4821</v>
      </c>
      <c r="I212" t="s">
        <v>81</v>
      </c>
    </row>
    <row r="213" spans="2:9" x14ac:dyDescent="0.25">
      <c r="B213" t="s">
        <v>309</v>
      </c>
      <c r="C213" t="s">
        <v>1020</v>
      </c>
      <c r="D213" t="s">
        <v>11</v>
      </c>
      <c r="E213" s="7">
        <v>45701</v>
      </c>
      <c r="F213" t="s">
        <v>58</v>
      </c>
      <c r="G213">
        <v>1</v>
      </c>
      <c r="H213">
        <v>163</v>
      </c>
      <c r="I213" t="s">
        <v>76</v>
      </c>
    </row>
    <row r="214" spans="2:9" x14ac:dyDescent="0.25">
      <c r="B214" t="s">
        <v>310</v>
      </c>
      <c r="C214" t="s">
        <v>1016</v>
      </c>
      <c r="D214" t="s">
        <v>14</v>
      </c>
      <c r="E214" s="7">
        <v>45861</v>
      </c>
      <c r="F214" t="s">
        <v>58</v>
      </c>
      <c r="G214">
        <v>8</v>
      </c>
      <c r="H214">
        <v>285</v>
      </c>
      <c r="I214" t="s">
        <v>81</v>
      </c>
    </row>
    <row r="215" spans="2:9" x14ac:dyDescent="0.25">
      <c r="B215" t="s">
        <v>311</v>
      </c>
      <c r="C215" t="s">
        <v>1018</v>
      </c>
      <c r="D215" t="s">
        <v>21</v>
      </c>
      <c r="E215" s="7">
        <v>45797</v>
      </c>
      <c r="F215" t="s">
        <v>58</v>
      </c>
      <c r="G215">
        <v>6</v>
      </c>
      <c r="H215">
        <v>3525</v>
      </c>
      <c r="I215" t="s">
        <v>76</v>
      </c>
    </row>
    <row r="216" spans="2:9" x14ac:dyDescent="0.25">
      <c r="B216" t="s">
        <v>312</v>
      </c>
      <c r="C216" t="s">
        <v>1009</v>
      </c>
      <c r="D216" t="s">
        <v>21</v>
      </c>
      <c r="E216" s="7">
        <v>45949</v>
      </c>
      <c r="F216" t="s">
        <v>58</v>
      </c>
      <c r="G216">
        <v>5</v>
      </c>
      <c r="H216">
        <v>4566</v>
      </c>
      <c r="I216" t="s">
        <v>84</v>
      </c>
    </row>
    <row r="217" spans="2:9" x14ac:dyDescent="0.25">
      <c r="B217" t="s">
        <v>313</v>
      </c>
      <c r="C217" t="s">
        <v>1019</v>
      </c>
      <c r="D217" t="s">
        <v>21</v>
      </c>
      <c r="E217" s="7">
        <v>45766</v>
      </c>
      <c r="F217" t="s">
        <v>57</v>
      </c>
      <c r="G217">
        <v>3</v>
      </c>
      <c r="H217">
        <v>1900</v>
      </c>
      <c r="I217" t="s">
        <v>76</v>
      </c>
    </row>
    <row r="218" spans="2:9" x14ac:dyDescent="0.25">
      <c r="B218" t="s">
        <v>314</v>
      </c>
      <c r="C218" t="s">
        <v>1018</v>
      </c>
      <c r="D218" t="s">
        <v>14</v>
      </c>
      <c r="E218" s="7">
        <v>45766</v>
      </c>
      <c r="F218" t="s">
        <v>58</v>
      </c>
      <c r="G218">
        <v>7</v>
      </c>
      <c r="H218">
        <v>327</v>
      </c>
      <c r="I218" t="s">
        <v>84</v>
      </c>
    </row>
    <row r="219" spans="2:9" x14ac:dyDescent="0.25">
      <c r="B219" t="s">
        <v>315</v>
      </c>
      <c r="C219" t="s">
        <v>1008</v>
      </c>
      <c r="D219" t="s">
        <v>27</v>
      </c>
      <c r="E219" s="7">
        <v>45964</v>
      </c>
      <c r="F219" t="s">
        <v>58</v>
      </c>
      <c r="G219">
        <v>1</v>
      </c>
      <c r="H219">
        <v>3478</v>
      </c>
      <c r="I219" t="s">
        <v>76</v>
      </c>
    </row>
    <row r="220" spans="2:9" x14ac:dyDescent="0.25">
      <c r="B220" t="s">
        <v>316</v>
      </c>
      <c r="C220" t="s">
        <v>1006</v>
      </c>
      <c r="D220" t="s">
        <v>21</v>
      </c>
      <c r="E220" s="7">
        <v>45664</v>
      </c>
      <c r="F220" t="s">
        <v>57</v>
      </c>
      <c r="G220">
        <v>8</v>
      </c>
      <c r="H220">
        <v>1364</v>
      </c>
      <c r="I220" t="s">
        <v>76</v>
      </c>
    </row>
    <row r="221" spans="2:9" x14ac:dyDescent="0.25">
      <c r="B221" t="s">
        <v>317</v>
      </c>
      <c r="C221" t="s">
        <v>1010</v>
      </c>
      <c r="D221" t="s">
        <v>27</v>
      </c>
      <c r="E221" s="7">
        <v>45834</v>
      </c>
      <c r="F221" t="s">
        <v>57</v>
      </c>
      <c r="G221">
        <v>10</v>
      </c>
      <c r="H221">
        <v>2753</v>
      </c>
      <c r="I221" t="s">
        <v>76</v>
      </c>
    </row>
    <row r="222" spans="2:9" x14ac:dyDescent="0.25">
      <c r="B222" t="s">
        <v>318</v>
      </c>
      <c r="C222" t="s">
        <v>1006</v>
      </c>
      <c r="D222" t="s">
        <v>21</v>
      </c>
      <c r="E222" s="7">
        <v>45895</v>
      </c>
      <c r="F222" t="s">
        <v>58</v>
      </c>
      <c r="G222">
        <v>5</v>
      </c>
      <c r="H222">
        <v>2792</v>
      </c>
      <c r="I222" t="s">
        <v>81</v>
      </c>
    </row>
    <row r="223" spans="2:9" x14ac:dyDescent="0.25">
      <c r="B223" t="s">
        <v>319</v>
      </c>
      <c r="C223" t="s">
        <v>1011</v>
      </c>
      <c r="D223" t="s">
        <v>27</v>
      </c>
      <c r="E223" s="7">
        <v>45913</v>
      </c>
      <c r="F223" t="s">
        <v>58</v>
      </c>
      <c r="G223">
        <v>3</v>
      </c>
      <c r="H223">
        <v>444</v>
      </c>
      <c r="I223" t="s">
        <v>84</v>
      </c>
    </row>
    <row r="224" spans="2:9" x14ac:dyDescent="0.25">
      <c r="B224" t="s">
        <v>320</v>
      </c>
      <c r="C224" t="s">
        <v>1014</v>
      </c>
      <c r="D224" t="s">
        <v>21</v>
      </c>
      <c r="E224" s="7">
        <v>45919</v>
      </c>
      <c r="F224" t="s">
        <v>58</v>
      </c>
      <c r="G224">
        <v>7</v>
      </c>
      <c r="H224">
        <v>974</v>
      </c>
      <c r="I224" t="s">
        <v>76</v>
      </c>
    </row>
    <row r="225" spans="2:9" x14ac:dyDescent="0.25">
      <c r="B225" t="s">
        <v>321</v>
      </c>
      <c r="C225" t="s">
        <v>1008</v>
      </c>
      <c r="D225" t="s">
        <v>21</v>
      </c>
      <c r="E225" s="7">
        <v>45783</v>
      </c>
      <c r="F225" t="s">
        <v>57</v>
      </c>
      <c r="G225">
        <v>5</v>
      </c>
      <c r="H225">
        <v>3499</v>
      </c>
      <c r="I225" t="s">
        <v>76</v>
      </c>
    </row>
    <row r="226" spans="2:9" x14ac:dyDescent="0.25">
      <c r="B226" t="s">
        <v>322</v>
      </c>
      <c r="C226" t="s">
        <v>1021</v>
      </c>
      <c r="D226" t="s">
        <v>21</v>
      </c>
      <c r="E226" s="7">
        <v>45764</v>
      </c>
      <c r="F226" t="s">
        <v>57</v>
      </c>
      <c r="G226">
        <v>6</v>
      </c>
      <c r="H226">
        <v>3479</v>
      </c>
      <c r="I226" t="s">
        <v>84</v>
      </c>
    </row>
    <row r="227" spans="2:9" x14ac:dyDescent="0.25">
      <c r="B227" t="s">
        <v>323</v>
      </c>
      <c r="C227" t="s">
        <v>1013</v>
      </c>
      <c r="D227" t="s">
        <v>14</v>
      </c>
      <c r="E227" s="7">
        <v>45894</v>
      </c>
      <c r="F227" t="s">
        <v>57</v>
      </c>
      <c r="G227">
        <v>3</v>
      </c>
      <c r="H227">
        <v>185</v>
      </c>
      <c r="I227" t="s">
        <v>84</v>
      </c>
    </row>
    <row r="228" spans="2:9" x14ac:dyDescent="0.25">
      <c r="B228" t="s">
        <v>324</v>
      </c>
      <c r="C228" t="s">
        <v>1006</v>
      </c>
      <c r="D228" t="s">
        <v>14</v>
      </c>
      <c r="E228" s="7">
        <v>45840</v>
      </c>
      <c r="F228" t="s">
        <v>57</v>
      </c>
      <c r="G228">
        <v>5</v>
      </c>
      <c r="H228">
        <v>4176</v>
      </c>
      <c r="I228" t="s">
        <v>84</v>
      </c>
    </row>
    <row r="229" spans="2:9" x14ac:dyDescent="0.25">
      <c r="B229" t="s">
        <v>325</v>
      </c>
      <c r="C229" t="s">
        <v>1021</v>
      </c>
      <c r="D229" t="s">
        <v>23</v>
      </c>
      <c r="E229" s="7">
        <v>45915</v>
      </c>
      <c r="F229" t="s">
        <v>57</v>
      </c>
      <c r="G229">
        <v>9</v>
      </c>
      <c r="H229">
        <v>4919</v>
      </c>
      <c r="I229" t="s">
        <v>76</v>
      </c>
    </row>
    <row r="230" spans="2:9" x14ac:dyDescent="0.25">
      <c r="B230" t="s">
        <v>326</v>
      </c>
      <c r="C230" t="s">
        <v>1009</v>
      </c>
      <c r="D230" t="s">
        <v>19</v>
      </c>
      <c r="E230" s="7">
        <v>45980</v>
      </c>
      <c r="F230" t="s">
        <v>57</v>
      </c>
      <c r="G230">
        <v>1</v>
      </c>
      <c r="H230">
        <v>3164</v>
      </c>
      <c r="I230" t="s">
        <v>76</v>
      </c>
    </row>
    <row r="231" spans="2:9" x14ac:dyDescent="0.25">
      <c r="B231" t="s">
        <v>327</v>
      </c>
      <c r="C231" t="s">
        <v>1013</v>
      </c>
      <c r="D231" t="s">
        <v>21</v>
      </c>
      <c r="E231" s="7">
        <v>45758</v>
      </c>
      <c r="F231" t="s">
        <v>57</v>
      </c>
      <c r="G231">
        <v>6</v>
      </c>
      <c r="H231">
        <v>3478</v>
      </c>
      <c r="I231" t="s">
        <v>84</v>
      </c>
    </row>
    <row r="232" spans="2:9" x14ac:dyDescent="0.25">
      <c r="B232" t="s">
        <v>328</v>
      </c>
      <c r="C232" t="s">
        <v>1007</v>
      </c>
      <c r="D232" t="s">
        <v>17</v>
      </c>
      <c r="E232" s="7">
        <v>45668</v>
      </c>
      <c r="F232" t="s">
        <v>57</v>
      </c>
      <c r="G232">
        <v>4</v>
      </c>
      <c r="H232">
        <v>1785</v>
      </c>
      <c r="I232" t="s">
        <v>84</v>
      </c>
    </row>
    <row r="233" spans="2:9" x14ac:dyDescent="0.25">
      <c r="B233" t="s">
        <v>329</v>
      </c>
      <c r="C233" t="s">
        <v>1004</v>
      </c>
      <c r="D233" t="s">
        <v>27</v>
      </c>
      <c r="E233" s="7">
        <v>45715</v>
      </c>
      <c r="F233" t="s">
        <v>57</v>
      </c>
      <c r="G233">
        <v>7</v>
      </c>
      <c r="H233">
        <v>2808</v>
      </c>
      <c r="I233" t="s">
        <v>84</v>
      </c>
    </row>
    <row r="234" spans="2:9" x14ac:dyDescent="0.25">
      <c r="B234" t="s">
        <v>330</v>
      </c>
      <c r="C234" t="s">
        <v>1006</v>
      </c>
      <c r="D234" t="s">
        <v>17</v>
      </c>
      <c r="E234" s="7">
        <v>45664</v>
      </c>
      <c r="F234" t="s">
        <v>57</v>
      </c>
      <c r="G234">
        <v>4</v>
      </c>
      <c r="H234">
        <v>2627</v>
      </c>
      <c r="I234" t="s">
        <v>76</v>
      </c>
    </row>
    <row r="235" spans="2:9" x14ac:dyDescent="0.25">
      <c r="B235" t="s">
        <v>331</v>
      </c>
      <c r="C235" t="s">
        <v>1022</v>
      </c>
      <c r="D235" t="s">
        <v>14</v>
      </c>
      <c r="E235" s="7">
        <v>45775</v>
      </c>
      <c r="F235" t="s">
        <v>57</v>
      </c>
      <c r="G235">
        <v>2</v>
      </c>
      <c r="H235">
        <v>1139</v>
      </c>
      <c r="I235" t="s">
        <v>76</v>
      </c>
    </row>
    <row r="236" spans="2:9" x14ac:dyDescent="0.25">
      <c r="B236" t="s">
        <v>332</v>
      </c>
      <c r="C236" t="s">
        <v>1011</v>
      </c>
      <c r="D236" t="s">
        <v>23</v>
      </c>
      <c r="E236" s="7">
        <v>45677</v>
      </c>
      <c r="F236" t="s">
        <v>58</v>
      </c>
      <c r="G236">
        <v>7</v>
      </c>
      <c r="H236">
        <v>4542</v>
      </c>
      <c r="I236" t="s">
        <v>81</v>
      </c>
    </row>
    <row r="237" spans="2:9" x14ac:dyDescent="0.25">
      <c r="B237" t="s">
        <v>333</v>
      </c>
      <c r="C237" t="s">
        <v>1008</v>
      </c>
      <c r="D237" t="s">
        <v>27</v>
      </c>
      <c r="E237" s="7">
        <v>45730</v>
      </c>
      <c r="F237" t="s">
        <v>57</v>
      </c>
      <c r="G237">
        <v>1</v>
      </c>
      <c r="H237">
        <v>2926</v>
      </c>
      <c r="I237" t="s">
        <v>81</v>
      </c>
    </row>
    <row r="238" spans="2:9" x14ac:dyDescent="0.25">
      <c r="B238" t="s">
        <v>334</v>
      </c>
      <c r="C238" t="s">
        <v>1022</v>
      </c>
      <c r="D238" t="s">
        <v>23</v>
      </c>
      <c r="E238" s="7">
        <v>45818</v>
      </c>
      <c r="F238" t="s">
        <v>58</v>
      </c>
      <c r="G238">
        <v>8</v>
      </c>
      <c r="H238">
        <v>2646</v>
      </c>
      <c r="I238" t="s">
        <v>76</v>
      </c>
    </row>
    <row r="239" spans="2:9" x14ac:dyDescent="0.25">
      <c r="B239" t="s">
        <v>335</v>
      </c>
      <c r="C239" t="s">
        <v>1016</v>
      </c>
      <c r="D239" t="s">
        <v>19</v>
      </c>
      <c r="E239" s="7">
        <v>45797</v>
      </c>
      <c r="F239" t="s">
        <v>57</v>
      </c>
      <c r="G239">
        <v>7</v>
      </c>
      <c r="H239">
        <v>3909</v>
      </c>
      <c r="I239" t="s">
        <v>81</v>
      </c>
    </row>
    <row r="240" spans="2:9" x14ac:dyDescent="0.25">
      <c r="B240" t="s">
        <v>336</v>
      </c>
      <c r="C240" t="s">
        <v>1015</v>
      </c>
      <c r="D240" t="s">
        <v>17</v>
      </c>
      <c r="E240" s="7">
        <v>45689</v>
      </c>
      <c r="F240" t="s">
        <v>57</v>
      </c>
      <c r="G240">
        <v>6</v>
      </c>
      <c r="H240">
        <v>3263</v>
      </c>
      <c r="I240" t="s">
        <v>84</v>
      </c>
    </row>
    <row r="241" spans="2:9" x14ac:dyDescent="0.25">
      <c r="B241" t="s">
        <v>337</v>
      </c>
      <c r="C241" t="s">
        <v>1007</v>
      </c>
      <c r="D241" t="s">
        <v>21</v>
      </c>
      <c r="E241" s="7">
        <v>45874</v>
      </c>
      <c r="F241" t="s">
        <v>57</v>
      </c>
      <c r="G241">
        <v>4</v>
      </c>
      <c r="H241">
        <v>1071</v>
      </c>
      <c r="I241" t="s">
        <v>84</v>
      </c>
    </row>
    <row r="242" spans="2:9" x14ac:dyDescent="0.25">
      <c r="B242" t="s">
        <v>338</v>
      </c>
      <c r="C242" t="s">
        <v>1004</v>
      </c>
      <c r="D242" t="s">
        <v>21</v>
      </c>
      <c r="E242" s="7">
        <v>45957</v>
      </c>
      <c r="F242" t="s">
        <v>57</v>
      </c>
      <c r="G242">
        <v>4</v>
      </c>
      <c r="H242">
        <v>3999</v>
      </c>
      <c r="I242" t="s">
        <v>84</v>
      </c>
    </row>
    <row r="243" spans="2:9" x14ac:dyDescent="0.25">
      <c r="B243" t="s">
        <v>339</v>
      </c>
      <c r="C243" t="s">
        <v>1009</v>
      </c>
      <c r="D243" t="s">
        <v>14</v>
      </c>
      <c r="E243" s="7">
        <v>45706</v>
      </c>
      <c r="F243" t="s">
        <v>57</v>
      </c>
      <c r="G243">
        <v>1</v>
      </c>
      <c r="H243">
        <v>2604</v>
      </c>
      <c r="I243" t="s">
        <v>76</v>
      </c>
    </row>
    <row r="244" spans="2:9" x14ac:dyDescent="0.25">
      <c r="B244" t="s">
        <v>340</v>
      </c>
      <c r="C244" t="s">
        <v>1005</v>
      </c>
      <c r="D244" t="s">
        <v>21</v>
      </c>
      <c r="E244" s="7">
        <v>45973</v>
      </c>
      <c r="F244" t="s">
        <v>58</v>
      </c>
      <c r="G244">
        <v>6</v>
      </c>
      <c r="H244">
        <v>3707</v>
      </c>
      <c r="I244" t="s">
        <v>84</v>
      </c>
    </row>
    <row r="245" spans="2:9" x14ac:dyDescent="0.25">
      <c r="B245" t="s">
        <v>341</v>
      </c>
      <c r="C245" t="s">
        <v>1004</v>
      </c>
      <c r="D245" t="s">
        <v>21</v>
      </c>
      <c r="E245" s="7">
        <v>45690</v>
      </c>
      <c r="F245" t="s">
        <v>57</v>
      </c>
      <c r="G245">
        <v>9</v>
      </c>
      <c r="H245">
        <v>3001</v>
      </c>
      <c r="I245" t="s">
        <v>76</v>
      </c>
    </row>
    <row r="246" spans="2:9" x14ac:dyDescent="0.25">
      <c r="B246" t="s">
        <v>342</v>
      </c>
      <c r="C246" t="s">
        <v>1021</v>
      </c>
      <c r="D246" t="s">
        <v>23</v>
      </c>
      <c r="E246" s="7">
        <v>45904</v>
      </c>
      <c r="F246" t="s">
        <v>58</v>
      </c>
      <c r="G246">
        <v>7</v>
      </c>
      <c r="H246">
        <v>2483</v>
      </c>
      <c r="I246" t="s">
        <v>81</v>
      </c>
    </row>
    <row r="247" spans="2:9" x14ac:dyDescent="0.25">
      <c r="B247" t="s">
        <v>343</v>
      </c>
      <c r="C247" t="s">
        <v>1022</v>
      </c>
      <c r="D247" t="s">
        <v>14</v>
      </c>
      <c r="E247" s="7">
        <v>45737</v>
      </c>
      <c r="F247" t="s">
        <v>57</v>
      </c>
      <c r="G247">
        <v>9</v>
      </c>
      <c r="H247">
        <v>2983</v>
      </c>
      <c r="I247" t="s">
        <v>76</v>
      </c>
    </row>
    <row r="248" spans="2:9" x14ac:dyDescent="0.25">
      <c r="B248" t="s">
        <v>344</v>
      </c>
      <c r="C248" t="s">
        <v>1007</v>
      </c>
      <c r="D248" t="s">
        <v>21</v>
      </c>
      <c r="E248" s="7">
        <v>45683</v>
      </c>
      <c r="F248" t="s">
        <v>57</v>
      </c>
      <c r="G248">
        <v>8</v>
      </c>
      <c r="H248">
        <v>1671</v>
      </c>
      <c r="I248" t="s">
        <v>76</v>
      </c>
    </row>
    <row r="249" spans="2:9" x14ac:dyDescent="0.25">
      <c r="B249" t="s">
        <v>345</v>
      </c>
      <c r="C249" t="s">
        <v>1018</v>
      </c>
      <c r="D249" t="s">
        <v>23</v>
      </c>
      <c r="E249" s="7">
        <v>45752</v>
      </c>
      <c r="F249" t="s">
        <v>58</v>
      </c>
      <c r="G249">
        <v>7</v>
      </c>
      <c r="H249">
        <v>4514</v>
      </c>
      <c r="I249" t="s">
        <v>84</v>
      </c>
    </row>
    <row r="250" spans="2:9" x14ac:dyDescent="0.25">
      <c r="B250" t="s">
        <v>346</v>
      </c>
      <c r="C250" t="s">
        <v>1006</v>
      </c>
      <c r="D250" t="s">
        <v>11</v>
      </c>
      <c r="E250" s="7">
        <v>45987</v>
      </c>
      <c r="F250" t="s">
        <v>57</v>
      </c>
      <c r="G250">
        <v>9</v>
      </c>
      <c r="H250">
        <v>3858</v>
      </c>
      <c r="I250" t="s">
        <v>84</v>
      </c>
    </row>
    <row r="251" spans="2:9" x14ac:dyDescent="0.25">
      <c r="B251" t="s">
        <v>347</v>
      </c>
      <c r="C251" t="s">
        <v>1021</v>
      </c>
      <c r="D251" t="s">
        <v>17</v>
      </c>
      <c r="E251" s="7">
        <v>45749</v>
      </c>
      <c r="F251" t="s">
        <v>57</v>
      </c>
      <c r="G251">
        <v>2</v>
      </c>
      <c r="H251">
        <v>843</v>
      </c>
      <c r="I251" t="s">
        <v>84</v>
      </c>
    </row>
    <row r="252" spans="2:9" x14ac:dyDescent="0.25">
      <c r="B252" t="s">
        <v>348</v>
      </c>
      <c r="C252" t="s">
        <v>1006</v>
      </c>
      <c r="D252" t="s">
        <v>27</v>
      </c>
      <c r="E252" s="7">
        <v>45761</v>
      </c>
      <c r="F252" t="s">
        <v>58</v>
      </c>
      <c r="G252">
        <v>5</v>
      </c>
      <c r="H252">
        <v>2915</v>
      </c>
      <c r="I252" t="s">
        <v>76</v>
      </c>
    </row>
    <row r="253" spans="2:9" x14ac:dyDescent="0.25">
      <c r="B253" t="s">
        <v>349</v>
      </c>
      <c r="C253" t="s">
        <v>1017</v>
      </c>
      <c r="D253" t="s">
        <v>27</v>
      </c>
      <c r="E253" s="7">
        <v>45914</v>
      </c>
      <c r="F253" t="s">
        <v>57</v>
      </c>
      <c r="G253">
        <v>4</v>
      </c>
      <c r="H253">
        <v>1407</v>
      </c>
      <c r="I253" t="s">
        <v>84</v>
      </c>
    </row>
    <row r="254" spans="2:9" x14ac:dyDescent="0.25">
      <c r="B254" t="s">
        <v>350</v>
      </c>
      <c r="C254" t="s">
        <v>1004</v>
      </c>
      <c r="D254" t="s">
        <v>27</v>
      </c>
      <c r="E254" s="7">
        <v>45939</v>
      </c>
      <c r="F254" t="s">
        <v>58</v>
      </c>
      <c r="G254">
        <v>2</v>
      </c>
      <c r="H254">
        <v>3921</v>
      </c>
      <c r="I254" t="s">
        <v>84</v>
      </c>
    </row>
    <row r="255" spans="2:9" x14ac:dyDescent="0.25">
      <c r="B255" t="s">
        <v>351</v>
      </c>
      <c r="C255" t="s">
        <v>1010</v>
      </c>
      <c r="D255" t="s">
        <v>17</v>
      </c>
      <c r="E255" s="7">
        <v>45707</v>
      </c>
      <c r="F255" t="s">
        <v>58</v>
      </c>
      <c r="G255">
        <v>4</v>
      </c>
      <c r="H255">
        <v>1945</v>
      </c>
      <c r="I255" t="s">
        <v>84</v>
      </c>
    </row>
    <row r="256" spans="2:9" x14ac:dyDescent="0.25">
      <c r="B256" t="s">
        <v>352</v>
      </c>
      <c r="C256" t="s">
        <v>1022</v>
      </c>
      <c r="D256" t="s">
        <v>19</v>
      </c>
      <c r="E256" s="7">
        <v>45723</v>
      </c>
      <c r="F256" t="s">
        <v>57</v>
      </c>
      <c r="G256">
        <v>10</v>
      </c>
      <c r="H256">
        <v>3236</v>
      </c>
      <c r="I256" t="s">
        <v>76</v>
      </c>
    </row>
    <row r="257" spans="2:9" x14ac:dyDescent="0.25">
      <c r="B257" t="s">
        <v>353</v>
      </c>
      <c r="C257" t="s">
        <v>1010</v>
      </c>
      <c r="D257" t="s">
        <v>27</v>
      </c>
      <c r="E257" s="7">
        <v>45720</v>
      </c>
      <c r="F257" t="s">
        <v>57</v>
      </c>
      <c r="G257">
        <v>10</v>
      </c>
      <c r="H257">
        <v>4421</v>
      </c>
      <c r="I257" t="s">
        <v>84</v>
      </c>
    </row>
    <row r="258" spans="2:9" x14ac:dyDescent="0.25">
      <c r="B258" t="s">
        <v>354</v>
      </c>
      <c r="C258" t="s">
        <v>1005</v>
      </c>
      <c r="D258" t="s">
        <v>21</v>
      </c>
      <c r="E258" s="7">
        <v>45788</v>
      </c>
      <c r="F258" t="s">
        <v>58</v>
      </c>
      <c r="G258">
        <v>10</v>
      </c>
      <c r="H258">
        <v>3449</v>
      </c>
      <c r="I258" t="s">
        <v>81</v>
      </c>
    </row>
    <row r="259" spans="2:9" x14ac:dyDescent="0.25">
      <c r="B259" t="s">
        <v>355</v>
      </c>
      <c r="C259" t="s">
        <v>1014</v>
      </c>
      <c r="D259" t="s">
        <v>23</v>
      </c>
      <c r="E259" s="7">
        <v>45732</v>
      </c>
      <c r="F259" t="s">
        <v>58</v>
      </c>
      <c r="G259">
        <v>8</v>
      </c>
      <c r="H259">
        <v>2084</v>
      </c>
      <c r="I259" t="s">
        <v>81</v>
      </c>
    </row>
    <row r="260" spans="2:9" x14ac:dyDescent="0.25">
      <c r="B260" t="s">
        <v>356</v>
      </c>
      <c r="C260" t="s">
        <v>1022</v>
      </c>
      <c r="D260" t="s">
        <v>27</v>
      </c>
      <c r="E260" s="7">
        <v>45813</v>
      </c>
      <c r="F260" t="s">
        <v>57</v>
      </c>
      <c r="G260">
        <v>6</v>
      </c>
      <c r="H260">
        <v>3412</v>
      </c>
      <c r="I260" t="s">
        <v>76</v>
      </c>
    </row>
    <row r="261" spans="2:9" x14ac:dyDescent="0.25">
      <c r="B261" t="s">
        <v>357</v>
      </c>
      <c r="C261" t="s">
        <v>1007</v>
      </c>
      <c r="D261" t="s">
        <v>19</v>
      </c>
      <c r="E261" s="7">
        <v>45779</v>
      </c>
      <c r="F261" t="s">
        <v>57</v>
      </c>
      <c r="G261">
        <v>9</v>
      </c>
      <c r="H261">
        <v>4371</v>
      </c>
      <c r="I261" t="s">
        <v>76</v>
      </c>
    </row>
    <row r="262" spans="2:9" x14ac:dyDescent="0.25">
      <c r="B262" t="s">
        <v>358</v>
      </c>
      <c r="C262" t="s">
        <v>1007</v>
      </c>
      <c r="D262" t="s">
        <v>19</v>
      </c>
      <c r="E262" s="7">
        <v>45662</v>
      </c>
      <c r="F262" t="s">
        <v>58</v>
      </c>
      <c r="G262">
        <v>5</v>
      </c>
      <c r="H262">
        <v>3223</v>
      </c>
      <c r="I262" t="s">
        <v>84</v>
      </c>
    </row>
    <row r="263" spans="2:9" x14ac:dyDescent="0.25">
      <c r="B263" t="s">
        <v>359</v>
      </c>
      <c r="C263" t="s">
        <v>1019</v>
      </c>
      <c r="D263" t="s">
        <v>27</v>
      </c>
      <c r="E263" s="7">
        <v>45770</v>
      </c>
      <c r="F263" t="s">
        <v>58</v>
      </c>
      <c r="G263">
        <v>6</v>
      </c>
      <c r="H263">
        <v>2040</v>
      </c>
      <c r="I263" t="s">
        <v>81</v>
      </c>
    </row>
    <row r="264" spans="2:9" x14ac:dyDescent="0.25">
      <c r="B264" t="s">
        <v>360</v>
      </c>
      <c r="C264" t="s">
        <v>1009</v>
      </c>
      <c r="D264" t="s">
        <v>14</v>
      </c>
      <c r="E264" s="7">
        <v>45938</v>
      </c>
      <c r="F264" t="s">
        <v>58</v>
      </c>
      <c r="G264">
        <v>6</v>
      </c>
      <c r="H264">
        <v>4222</v>
      </c>
      <c r="I264" t="s">
        <v>84</v>
      </c>
    </row>
    <row r="265" spans="2:9" x14ac:dyDescent="0.25">
      <c r="B265" t="s">
        <v>361</v>
      </c>
      <c r="C265" t="s">
        <v>1018</v>
      </c>
      <c r="D265" t="s">
        <v>14</v>
      </c>
      <c r="E265" s="7">
        <v>45939</v>
      </c>
      <c r="F265" t="s">
        <v>58</v>
      </c>
      <c r="G265">
        <v>4</v>
      </c>
      <c r="H265">
        <v>2037</v>
      </c>
      <c r="I265" t="s">
        <v>81</v>
      </c>
    </row>
    <row r="266" spans="2:9" x14ac:dyDescent="0.25">
      <c r="B266" t="s">
        <v>362</v>
      </c>
      <c r="C266" t="s">
        <v>1012</v>
      </c>
      <c r="D266" t="s">
        <v>19</v>
      </c>
      <c r="E266" s="7">
        <v>45887</v>
      </c>
      <c r="F266" t="s">
        <v>57</v>
      </c>
      <c r="G266">
        <v>1</v>
      </c>
      <c r="H266">
        <v>4018</v>
      </c>
      <c r="I266" t="s">
        <v>84</v>
      </c>
    </row>
    <row r="267" spans="2:9" x14ac:dyDescent="0.25">
      <c r="B267" t="s">
        <v>363</v>
      </c>
      <c r="C267" t="s">
        <v>1018</v>
      </c>
      <c r="D267" t="s">
        <v>14</v>
      </c>
      <c r="E267" s="7">
        <v>46002</v>
      </c>
      <c r="F267" t="s">
        <v>58</v>
      </c>
      <c r="G267">
        <v>1</v>
      </c>
      <c r="H267">
        <v>2591</v>
      </c>
      <c r="I267" t="s">
        <v>81</v>
      </c>
    </row>
    <row r="268" spans="2:9" x14ac:dyDescent="0.25">
      <c r="B268" t="s">
        <v>364</v>
      </c>
      <c r="C268" t="s">
        <v>1013</v>
      </c>
      <c r="D268" t="s">
        <v>27</v>
      </c>
      <c r="E268" s="7">
        <v>45918</v>
      </c>
      <c r="F268" t="s">
        <v>58</v>
      </c>
      <c r="G268">
        <v>3</v>
      </c>
      <c r="H268">
        <v>1463</v>
      </c>
      <c r="I268" t="s">
        <v>81</v>
      </c>
    </row>
    <row r="269" spans="2:9" x14ac:dyDescent="0.25">
      <c r="B269" t="s">
        <v>365</v>
      </c>
      <c r="C269" t="s">
        <v>1016</v>
      </c>
      <c r="D269" t="s">
        <v>11</v>
      </c>
      <c r="E269" s="7">
        <v>45715</v>
      </c>
      <c r="F269" t="s">
        <v>57</v>
      </c>
      <c r="G269">
        <v>7</v>
      </c>
      <c r="H269">
        <v>3177</v>
      </c>
      <c r="I269" t="s">
        <v>84</v>
      </c>
    </row>
    <row r="270" spans="2:9" x14ac:dyDescent="0.25">
      <c r="B270" t="s">
        <v>366</v>
      </c>
      <c r="C270" t="s">
        <v>1012</v>
      </c>
      <c r="D270" t="s">
        <v>19</v>
      </c>
      <c r="E270" s="7">
        <v>45894</v>
      </c>
      <c r="F270" t="s">
        <v>57</v>
      </c>
      <c r="G270">
        <v>9</v>
      </c>
      <c r="H270">
        <v>1634</v>
      </c>
      <c r="I270" t="s">
        <v>81</v>
      </c>
    </row>
    <row r="271" spans="2:9" x14ac:dyDescent="0.25">
      <c r="B271" t="s">
        <v>367</v>
      </c>
      <c r="C271" t="s">
        <v>1021</v>
      </c>
      <c r="D271" t="s">
        <v>19</v>
      </c>
      <c r="E271" s="7">
        <v>46001</v>
      </c>
      <c r="F271" t="s">
        <v>57</v>
      </c>
      <c r="G271">
        <v>6</v>
      </c>
      <c r="H271">
        <v>4514</v>
      </c>
      <c r="I271" t="s">
        <v>76</v>
      </c>
    </row>
    <row r="272" spans="2:9" x14ac:dyDescent="0.25">
      <c r="B272" t="s">
        <v>368</v>
      </c>
      <c r="C272" t="s">
        <v>1021</v>
      </c>
      <c r="D272" t="s">
        <v>27</v>
      </c>
      <c r="E272" s="7">
        <v>45665</v>
      </c>
      <c r="F272" t="s">
        <v>58</v>
      </c>
      <c r="G272">
        <v>9</v>
      </c>
      <c r="H272">
        <v>894</v>
      </c>
      <c r="I272" t="s">
        <v>76</v>
      </c>
    </row>
    <row r="273" spans="2:9" x14ac:dyDescent="0.25">
      <c r="B273" t="s">
        <v>369</v>
      </c>
      <c r="C273" t="s">
        <v>1011</v>
      </c>
      <c r="D273" t="s">
        <v>23</v>
      </c>
      <c r="E273" s="7">
        <v>45717</v>
      </c>
      <c r="F273" t="s">
        <v>57</v>
      </c>
      <c r="G273">
        <v>2</v>
      </c>
      <c r="H273">
        <v>3588</v>
      </c>
      <c r="I273" t="s">
        <v>81</v>
      </c>
    </row>
    <row r="274" spans="2:9" x14ac:dyDescent="0.25">
      <c r="B274" t="s">
        <v>370</v>
      </c>
      <c r="C274" t="s">
        <v>1008</v>
      </c>
      <c r="D274" t="s">
        <v>11</v>
      </c>
      <c r="E274" s="7">
        <v>45956</v>
      </c>
      <c r="F274" t="s">
        <v>57</v>
      </c>
      <c r="G274">
        <v>3</v>
      </c>
      <c r="H274">
        <v>1829</v>
      </c>
      <c r="I274" t="s">
        <v>81</v>
      </c>
    </row>
    <row r="275" spans="2:9" x14ac:dyDescent="0.25">
      <c r="B275" t="s">
        <v>371</v>
      </c>
      <c r="C275" t="s">
        <v>1022</v>
      </c>
      <c r="D275" t="s">
        <v>19</v>
      </c>
      <c r="E275" s="7">
        <v>45982</v>
      </c>
      <c r="F275" t="s">
        <v>57</v>
      </c>
      <c r="G275">
        <v>3</v>
      </c>
      <c r="H275">
        <v>3608</v>
      </c>
      <c r="I275" t="s">
        <v>84</v>
      </c>
    </row>
    <row r="276" spans="2:9" x14ac:dyDescent="0.25">
      <c r="B276" t="s">
        <v>372</v>
      </c>
      <c r="C276" t="s">
        <v>1016</v>
      </c>
      <c r="D276" t="s">
        <v>14</v>
      </c>
      <c r="E276" s="7">
        <v>45753</v>
      </c>
      <c r="F276" t="s">
        <v>58</v>
      </c>
      <c r="G276">
        <v>7</v>
      </c>
      <c r="H276">
        <v>3293</v>
      </c>
      <c r="I276" t="s">
        <v>81</v>
      </c>
    </row>
    <row r="277" spans="2:9" x14ac:dyDescent="0.25">
      <c r="B277" t="s">
        <v>373</v>
      </c>
      <c r="C277" t="s">
        <v>1009</v>
      </c>
      <c r="D277" t="s">
        <v>17</v>
      </c>
      <c r="E277" s="7">
        <v>45822</v>
      </c>
      <c r="F277" t="s">
        <v>58</v>
      </c>
      <c r="G277">
        <v>10</v>
      </c>
      <c r="H277">
        <v>4049</v>
      </c>
      <c r="I277" t="s">
        <v>84</v>
      </c>
    </row>
    <row r="278" spans="2:9" x14ac:dyDescent="0.25">
      <c r="B278" t="s">
        <v>374</v>
      </c>
      <c r="C278" t="s">
        <v>1018</v>
      </c>
      <c r="D278" t="s">
        <v>14</v>
      </c>
      <c r="E278" s="7">
        <v>45952</v>
      </c>
      <c r="F278" t="s">
        <v>57</v>
      </c>
      <c r="G278">
        <v>6</v>
      </c>
      <c r="H278">
        <v>401</v>
      </c>
      <c r="I278" t="s">
        <v>76</v>
      </c>
    </row>
    <row r="279" spans="2:9" x14ac:dyDescent="0.25">
      <c r="B279" t="s">
        <v>375</v>
      </c>
      <c r="C279" t="s">
        <v>1005</v>
      </c>
      <c r="D279" t="s">
        <v>27</v>
      </c>
      <c r="E279" s="7">
        <v>45824</v>
      </c>
      <c r="F279" t="s">
        <v>58</v>
      </c>
      <c r="G279">
        <v>6</v>
      </c>
      <c r="H279">
        <v>650</v>
      </c>
      <c r="I279" t="s">
        <v>76</v>
      </c>
    </row>
    <row r="280" spans="2:9" x14ac:dyDescent="0.25">
      <c r="B280" t="s">
        <v>376</v>
      </c>
      <c r="C280" t="s">
        <v>1014</v>
      </c>
      <c r="D280" t="s">
        <v>14</v>
      </c>
      <c r="E280" s="7">
        <v>45730</v>
      </c>
      <c r="F280" t="s">
        <v>58</v>
      </c>
      <c r="G280">
        <v>10</v>
      </c>
      <c r="H280">
        <v>4458</v>
      </c>
      <c r="I280" t="s">
        <v>81</v>
      </c>
    </row>
    <row r="281" spans="2:9" x14ac:dyDescent="0.25">
      <c r="B281" t="s">
        <v>377</v>
      </c>
      <c r="C281" t="s">
        <v>1004</v>
      </c>
      <c r="D281" t="s">
        <v>14</v>
      </c>
      <c r="E281" s="7">
        <v>45882</v>
      </c>
      <c r="F281" t="s">
        <v>57</v>
      </c>
      <c r="G281">
        <v>6</v>
      </c>
      <c r="H281">
        <v>357</v>
      </c>
      <c r="I281" t="s">
        <v>84</v>
      </c>
    </row>
    <row r="282" spans="2:9" x14ac:dyDescent="0.25">
      <c r="B282" t="s">
        <v>378</v>
      </c>
      <c r="C282" t="s">
        <v>1005</v>
      </c>
      <c r="D282" t="s">
        <v>21</v>
      </c>
      <c r="E282" s="7">
        <v>45760</v>
      </c>
      <c r="F282" t="s">
        <v>58</v>
      </c>
      <c r="G282">
        <v>10</v>
      </c>
      <c r="H282">
        <v>3109</v>
      </c>
      <c r="I282" t="s">
        <v>76</v>
      </c>
    </row>
    <row r="283" spans="2:9" x14ac:dyDescent="0.25">
      <c r="B283" t="s">
        <v>379</v>
      </c>
      <c r="C283" t="s">
        <v>1022</v>
      </c>
      <c r="D283" t="s">
        <v>23</v>
      </c>
      <c r="E283" s="7">
        <v>45741</v>
      </c>
      <c r="F283" t="s">
        <v>58</v>
      </c>
      <c r="G283">
        <v>8</v>
      </c>
      <c r="H283">
        <v>1400</v>
      </c>
      <c r="I283" t="s">
        <v>81</v>
      </c>
    </row>
    <row r="284" spans="2:9" x14ac:dyDescent="0.25">
      <c r="B284" t="s">
        <v>380</v>
      </c>
      <c r="C284" t="s">
        <v>1021</v>
      </c>
      <c r="D284" t="s">
        <v>23</v>
      </c>
      <c r="E284" s="7">
        <v>45780</v>
      </c>
      <c r="F284" t="s">
        <v>57</v>
      </c>
      <c r="G284">
        <v>1</v>
      </c>
      <c r="H284">
        <v>186</v>
      </c>
      <c r="I284" t="s">
        <v>76</v>
      </c>
    </row>
    <row r="285" spans="2:9" x14ac:dyDescent="0.25">
      <c r="B285" t="s">
        <v>381</v>
      </c>
      <c r="C285" t="s">
        <v>1019</v>
      </c>
      <c r="D285" t="s">
        <v>14</v>
      </c>
      <c r="E285" s="7">
        <v>45834</v>
      </c>
      <c r="F285" t="s">
        <v>58</v>
      </c>
      <c r="G285">
        <v>2</v>
      </c>
      <c r="H285">
        <v>3253</v>
      </c>
      <c r="I285" t="s">
        <v>76</v>
      </c>
    </row>
    <row r="286" spans="2:9" x14ac:dyDescent="0.25">
      <c r="B286" t="s">
        <v>382</v>
      </c>
      <c r="C286" t="s">
        <v>1018</v>
      </c>
      <c r="D286" t="s">
        <v>27</v>
      </c>
      <c r="E286" s="7">
        <v>45962</v>
      </c>
      <c r="F286" t="s">
        <v>58</v>
      </c>
      <c r="G286">
        <v>9</v>
      </c>
      <c r="H286">
        <v>768</v>
      </c>
      <c r="I286" t="s">
        <v>84</v>
      </c>
    </row>
    <row r="287" spans="2:9" x14ac:dyDescent="0.25">
      <c r="B287" t="s">
        <v>383</v>
      </c>
      <c r="C287" t="s">
        <v>1020</v>
      </c>
      <c r="D287" t="s">
        <v>23</v>
      </c>
      <c r="E287" s="7">
        <v>45982</v>
      </c>
      <c r="F287" t="s">
        <v>57</v>
      </c>
      <c r="G287">
        <v>10</v>
      </c>
      <c r="H287">
        <v>1655</v>
      </c>
      <c r="I287" t="s">
        <v>76</v>
      </c>
    </row>
    <row r="288" spans="2:9" x14ac:dyDescent="0.25">
      <c r="B288" t="s">
        <v>384</v>
      </c>
      <c r="C288" t="s">
        <v>1018</v>
      </c>
      <c r="D288" t="s">
        <v>27</v>
      </c>
      <c r="E288" s="7">
        <v>45842</v>
      </c>
      <c r="F288" t="s">
        <v>58</v>
      </c>
      <c r="G288">
        <v>2</v>
      </c>
      <c r="H288">
        <v>1217</v>
      </c>
      <c r="I288" t="s">
        <v>84</v>
      </c>
    </row>
    <row r="289" spans="2:9" x14ac:dyDescent="0.25">
      <c r="B289" t="s">
        <v>385</v>
      </c>
      <c r="C289" t="s">
        <v>1008</v>
      </c>
      <c r="D289" t="s">
        <v>17</v>
      </c>
      <c r="E289" s="7">
        <v>45833</v>
      </c>
      <c r="F289" t="s">
        <v>57</v>
      </c>
      <c r="G289">
        <v>10</v>
      </c>
      <c r="H289">
        <v>3553</v>
      </c>
      <c r="I289" t="s">
        <v>84</v>
      </c>
    </row>
    <row r="290" spans="2:9" x14ac:dyDescent="0.25">
      <c r="B290" t="s">
        <v>386</v>
      </c>
      <c r="C290" t="s">
        <v>1018</v>
      </c>
      <c r="D290" t="s">
        <v>14</v>
      </c>
      <c r="E290" s="7">
        <v>45762</v>
      </c>
      <c r="F290" t="s">
        <v>58</v>
      </c>
      <c r="G290">
        <v>4</v>
      </c>
      <c r="H290">
        <v>4120</v>
      </c>
      <c r="I290" t="s">
        <v>81</v>
      </c>
    </row>
    <row r="291" spans="2:9" x14ac:dyDescent="0.25">
      <c r="B291" t="s">
        <v>387</v>
      </c>
      <c r="C291" t="s">
        <v>1014</v>
      </c>
      <c r="D291" t="s">
        <v>21</v>
      </c>
      <c r="E291" s="7">
        <v>45719</v>
      </c>
      <c r="F291" t="s">
        <v>58</v>
      </c>
      <c r="G291">
        <v>7</v>
      </c>
      <c r="H291">
        <v>2194</v>
      </c>
      <c r="I291" t="s">
        <v>84</v>
      </c>
    </row>
    <row r="292" spans="2:9" x14ac:dyDescent="0.25">
      <c r="B292" t="s">
        <v>388</v>
      </c>
      <c r="C292" t="s">
        <v>1022</v>
      </c>
      <c r="D292" t="s">
        <v>17</v>
      </c>
      <c r="E292" s="7">
        <v>45764</v>
      </c>
      <c r="F292" t="s">
        <v>58</v>
      </c>
      <c r="G292">
        <v>7</v>
      </c>
      <c r="H292">
        <v>3349</v>
      </c>
      <c r="I292" t="s">
        <v>84</v>
      </c>
    </row>
    <row r="293" spans="2:9" x14ac:dyDescent="0.25">
      <c r="B293" t="s">
        <v>389</v>
      </c>
      <c r="C293" t="s">
        <v>1016</v>
      </c>
      <c r="D293" t="s">
        <v>14</v>
      </c>
      <c r="E293" s="7">
        <v>45789</v>
      </c>
      <c r="F293" t="s">
        <v>58</v>
      </c>
      <c r="G293">
        <v>3</v>
      </c>
      <c r="H293">
        <v>2034</v>
      </c>
      <c r="I293" t="s">
        <v>84</v>
      </c>
    </row>
    <row r="294" spans="2:9" x14ac:dyDescent="0.25">
      <c r="B294" t="s">
        <v>390</v>
      </c>
      <c r="C294" t="s">
        <v>1011</v>
      </c>
      <c r="D294" t="s">
        <v>11</v>
      </c>
      <c r="E294" s="7">
        <v>45715</v>
      </c>
      <c r="F294" t="s">
        <v>58</v>
      </c>
      <c r="G294">
        <v>9</v>
      </c>
      <c r="H294">
        <v>3981</v>
      </c>
      <c r="I294" t="s">
        <v>76</v>
      </c>
    </row>
    <row r="295" spans="2:9" x14ac:dyDescent="0.25">
      <c r="B295" t="s">
        <v>391</v>
      </c>
      <c r="C295" t="s">
        <v>1017</v>
      </c>
      <c r="D295" t="s">
        <v>17</v>
      </c>
      <c r="E295" s="7">
        <v>45902</v>
      </c>
      <c r="F295" t="s">
        <v>57</v>
      </c>
      <c r="G295">
        <v>1</v>
      </c>
      <c r="H295">
        <v>3794</v>
      </c>
      <c r="I295" t="s">
        <v>84</v>
      </c>
    </row>
    <row r="296" spans="2:9" x14ac:dyDescent="0.25">
      <c r="B296" t="s">
        <v>392</v>
      </c>
      <c r="C296" t="s">
        <v>1004</v>
      </c>
      <c r="D296" t="s">
        <v>21</v>
      </c>
      <c r="E296" s="7">
        <v>45791</v>
      </c>
      <c r="F296" t="s">
        <v>57</v>
      </c>
      <c r="G296">
        <v>8</v>
      </c>
      <c r="H296">
        <v>2378</v>
      </c>
      <c r="I296" t="s">
        <v>81</v>
      </c>
    </row>
    <row r="297" spans="2:9" x14ac:dyDescent="0.25">
      <c r="B297" t="s">
        <v>393</v>
      </c>
      <c r="C297" t="s">
        <v>1019</v>
      </c>
      <c r="D297" t="s">
        <v>21</v>
      </c>
      <c r="E297" s="7">
        <v>45976</v>
      </c>
      <c r="F297" t="s">
        <v>58</v>
      </c>
      <c r="G297">
        <v>5</v>
      </c>
      <c r="H297">
        <v>4457</v>
      </c>
      <c r="I297" t="s">
        <v>76</v>
      </c>
    </row>
    <row r="298" spans="2:9" x14ac:dyDescent="0.25">
      <c r="B298" t="s">
        <v>394</v>
      </c>
      <c r="C298" t="s">
        <v>1010</v>
      </c>
      <c r="D298" t="s">
        <v>17</v>
      </c>
      <c r="E298" s="7">
        <v>46001</v>
      </c>
      <c r="F298" t="s">
        <v>57</v>
      </c>
      <c r="G298">
        <v>7</v>
      </c>
      <c r="H298">
        <v>1129</v>
      </c>
      <c r="I298" t="s">
        <v>84</v>
      </c>
    </row>
    <row r="299" spans="2:9" x14ac:dyDescent="0.25">
      <c r="B299" t="s">
        <v>395</v>
      </c>
      <c r="C299" t="s">
        <v>1013</v>
      </c>
      <c r="D299" t="s">
        <v>17</v>
      </c>
      <c r="E299" s="7">
        <v>45675</v>
      </c>
      <c r="F299" t="s">
        <v>58</v>
      </c>
      <c r="G299">
        <v>4</v>
      </c>
      <c r="H299">
        <v>2252</v>
      </c>
      <c r="I299" t="s">
        <v>81</v>
      </c>
    </row>
    <row r="300" spans="2:9" x14ac:dyDescent="0.25">
      <c r="B300" t="s">
        <v>396</v>
      </c>
      <c r="C300" t="s">
        <v>1005</v>
      </c>
      <c r="D300" t="s">
        <v>21</v>
      </c>
      <c r="E300" s="7">
        <v>45773</v>
      </c>
      <c r="F300" t="s">
        <v>57</v>
      </c>
      <c r="G300">
        <v>9</v>
      </c>
      <c r="H300">
        <v>4065</v>
      </c>
      <c r="I300" t="s">
        <v>84</v>
      </c>
    </row>
    <row r="301" spans="2:9" x14ac:dyDescent="0.25">
      <c r="B301" t="s">
        <v>397</v>
      </c>
      <c r="C301" t="s">
        <v>1004</v>
      </c>
      <c r="D301" t="s">
        <v>19</v>
      </c>
      <c r="E301" s="7">
        <v>45846</v>
      </c>
      <c r="F301" t="s">
        <v>57</v>
      </c>
      <c r="G301">
        <v>7</v>
      </c>
      <c r="H301">
        <v>1637</v>
      </c>
      <c r="I301" t="s">
        <v>76</v>
      </c>
    </row>
    <row r="302" spans="2:9" x14ac:dyDescent="0.25">
      <c r="B302" t="s">
        <v>398</v>
      </c>
      <c r="C302" t="s">
        <v>1012</v>
      </c>
      <c r="D302" t="s">
        <v>21</v>
      </c>
      <c r="E302" s="7">
        <v>45891</v>
      </c>
      <c r="F302" t="s">
        <v>58</v>
      </c>
      <c r="G302">
        <v>10</v>
      </c>
      <c r="H302">
        <v>1323</v>
      </c>
      <c r="I302" t="s">
        <v>76</v>
      </c>
    </row>
    <row r="303" spans="2:9" x14ac:dyDescent="0.25">
      <c r="B303" t="s">
        <v>399</v>
      </c>
      <c r="C303" t="s">
        <v>1006</v>
      </c>
      <c r="D303" t="s">
        <v>21</v>
      </c>
      <c r="E303" s="7">
        <v>46014</v>
      </c>
      <c r="F303" t="s">
        <v>57</v>
      </c>
      <c r="G303">
        <v>9</v>
      </c>
      <c r="H303">
        <v>3330</v>
      </c>
      <c r="I303" t="s">
        <v>84</v>
      </c>
    </row>
    <row r="304" spans="2:9" x14ac:dyDescent="0.25">
      <c r="B304" t="s">
        <v>400</v>
      </c>
      <c r="C304" t="s">
        <v>1012</v>
      </c>
      <c r="D304" t="s">
        <v>19</v>
      </c>
      <c r="E304" s="7">
        <v>45954</v>
      </c>
      <c r="F304" t="s">
        <v>57</v>
      </c>
      <c r="G304">
        <v>1</v>
      </c>
      <c r="H304">
        <v>4206</v>
      </c>
      <c r="I304" t="s">
        <v>84</v>
      </c>
    </row>
    <row r="305" spans="2:9" x14ac:dyDescent="0.25">
      <c r="B305" t="s">
        <v>401</v>
      </c>
      <c r="C305" t="s">
        <v>1012</v>
      </c>
      <c r="D305" t="s">
        <v>17</v>
      </c>
      <c r="E305" s="7">
        <v>45708</v>
      </c>
      <c r="F305" t="s">
        <v>58</v>
      </c>
      <c r="G305">
        <v>4</v>
      </c>
      <c r="H305">
        <v>4315</v>
      </c>
      <c r="I305" t="s">
        <v>76</v>
      </c>
    </row>
    <row r="306" spans="2:9" x14ac:dyDescent="0.25">
      <c r="B306" t="s">
        <v>402</v>
      </c>
      <c r="C306" t="s">
        <v>1014</v>
      </c>
      <c r="D306" t="s">
        <v>11</v>
      </c>
      <c r="E306" s="7">
        <v>45906</v>
      </c>
      <c r="F306" t="s">
        <v>58</v>
      </c>
      <c r="G306">
        <v>2</v>
      </c>
      <c r="H306">
        <v>360</v>
      </c>
      <c r="I306" t="s">
        <v>76</v>
      </c>
    </row>
    <row r="307" spans="2:9" x14ac:dyDescent="0.25">
      <c r="B307" t="s">
        <v>403</v>
      </c>
      <c r="C307" t="s">
        <v>1009</v>
      </c>
      <c r="D307" t="s">
        <v>23</v>
      </c>
      <c r="E307" s="7">
        <v>45676</v>
      </c>
      <c r="F307" t="s">
        <v>57</v>
      </c>
      <c r="G307">
        <v>10</v>
      </c>
      <c r="H307">
        <v>2822</v>
      </c>
      <c r="I307" t="s">
        <v>84</v>
      </c>
    </row>
    <row r="308" spans="2:9" x14ac:dyDescent="0.25">
      <c r="B308" t="s">
        <v>404</v>
      </c>
      <c r="C308" t="s">
        <v>1022</v>
      </c>
      <c r="D308" t="s">
        <v>19</v>
      </c>
      <c r="E308" s="7">
        <v>45847</v>
      </c>
      <c r="F308" t="s">
        <v>57</v>
      </c>
      <c r="G308">
        <v>8</v>
      </c>
      <c r="H308">
        <v>3580</v>
      </c>
      <c r="I308" t="s">
        <v>76</v>
      </c>
    </row>
    <row r="309" spans="2:9" x14ac:dyDescent="0.25">
      <c r="B309" t="s">
        <v>405</v>
      </c>
      <c r="C309" t="s">
        <v>1008</v>
      </c>
      <c r="D309" t="s">
        <v>14</v>
      </c>
      <c r="E309" s="7">
        <v>45738</v>
      </c>
      <c r="F309" t="s">
        <v>58</v>
      </c>
      <c r="G309">
        <v>7</v>
      </c>
      <c r="H309">
        <v>3307</v>
      </c>
      <c r="I309" t="s">
        <v>84</v>
      </c>
    </row>
    <row r="310" spans="2:9" x14ac:dyDescent="0.25">
      <c r="B310" t="s">
        <v>406</v>
      </c>
      <c r="C310" t="s">
        <v>1015</v>
      </c>
      <c r="D310" t="s">
        <v>14</v>
      </c>
      <c r="E310" s="7">
        <v>45951</v>
      </c>
      <c r="F310" t="s">
        <v>57</v>
      </c>
      <c r="G310">
        <v>5</v>
      </c>
      <c r="H310">
        <v>4000</v>
      </c>
      <c r="I310" t="s">
        <v>76</v>
      </c>
    </row>
    <row r="311" spans="2:9" x14ac:dyDescent="0.25">
      <c r="B311" t="s">
        <v>407</v>
      </c>
      <c r="C311" t="s">
        <v>1010</v>
      </c>
      <c r="D311" t="s">
        <v>27</v>
      </c>
      <c r="E311" s="7">
        <v>45664</v>
      </c>
      <c r="F311" t="s">
        <v>57</v>
      </c>
      <c r="G311">
        <v>8</v>
      </c>
      <c r="H311">
        <v>1508</v>
      </c>
      <c r="I311" t="s">
        <v>76</v>
      </c>
    </row>
    <row r="312" spans="2:9" x14ac:dyDescent="0.25">
      <c r="B312" t="s">
        <v>408</v>
      </c>
      <c r="C312" t="s">
        <v>1013</v>
      </c>
      <c r="D312" t="s">
        <v>19</v>
      </c>
      <c r="E312" s="7">
        <v>45727</v>
      </c>
      <c r="F312" t="s">
        <v>57</v>
      </c>
      <c r="G312">
        <v>2</v>
      </c>
      <c r="H312">
        <v>2964</v>
      </c>
      <c r="I312" t="s">
        <v>81</v>
      </c>
    </row>
    <row r="313" spans="2:9" x14ac:dyDescent="0.25">
      <c r="B313" t="s">
        <v>409</v>
      </c>
      <c r="C313" t="s">
        <v>1009</v>
      </c>
      <c r="D313" t="s">
        <v>21</v>
      </c>
      <c r="E313" s="7">
        <v>45825</v>
      </c>
      <c r="F313" t="s">
        <v>58</v>
      </c>
      <c r="G313">
        <v>9</v>
      </c>
      <c r="H313">
        <v>4373</v>
      </c>
      <c r="I313" t="s">
        <v>81</v>
      </c>
    </row>
    <row r="314" spans="2:9" x14ac:dyDescent="0.25">
      <c r="B314" t="s">
        <v>410</v>
      </c>
      <c r="C314" t="s">
        <v>1005</v>
      </c>
      <c r="D314" t="s">
        <v>21</v>
      </c>
      <c r="E314" s="7">
        <v>45879</v>
      </c>
      <c r="F314" t="s">
        <v>57</v>
      </c>
      <c r="G314">
        <v>1</v>
      </c>
      <c r="H314">
        <v>3060</v>
      </c>
      <c r="I314" t="s">
        <v>84</v>
      </c>
    </row>
    <row r="315" spans="2:9" x14ac:dyDescent="0.25">
      <c r="B315" t="s">
        <v>411</v>
      </c>
      <c r="C315" t="s">
        <v>1019</v>
      </c>
      <c r="D315" t="s">
        <v>21</v>
      </c>
      <c r="E315" s="7">
        <v>45824</v>
      </c>
      <c r="F315" t="s">
        <v>57</v>
      </c>
      <c r="G315">
        <v>8</v>
      </c>
      <c r="H315">
        <v>167</v>
      </c>
      <c r="I315" t="s">
        <v>84</v>
      </c>
    </row>
    <row r="316" spans="2:9" x14ac:dyDescent="0.25">
      <c r="B316" t="s">
        <v>412</v>
      </c>
      <c r="C316" t="s">
        <v>1009</v>
      </c>
      <c r="D316" t="s">
        <v>21</v>
      </c>
      <c r="E316" s="7">
        <v>45778</v>
      </c>
      <c r="F316" t="s">
        <v>57</v>
      </c>
      <c r="G316">
        <v>6</v>
      </c>
      <c r="H316">
        <v>3138</v>
      </c>
      <c r="I316" t="s">
        <v>84</v>
      </c>
    </row>
    <row r="317" spans="2:9" x14ac:dyDescent="0.25">
      <c r="B317" t="s">
        <v>413</v>
      </c>
      <c r="C317" t="s">
        <v>1013</v>
      </c>
      <c r="D317" t="s">
        <v>21</v>
      </c>
      <c r="E317" s="7">
        <v>45842</v>
      </c>
      <c r="F317" t="s">
        <v>57</v>
      </c>
      <c r="G317">
        <v>4</v>
      </c>
      <c r="H317">
        <v>3309</v>
      </c>
      <c r="I317" t="s">
        <v>81</v>
      </c>
    </row>
    <row r="318" spans="2:9" x14ac:dyDescent="0.25">
      <c r="B318" t="s">
        <v>414</v>
      </c>
      <c r="C318" t="s">
        <v>1004</v>
      </c>
      <c r="D318" t="s">
        <v>21</v>
      </c>
      <c r="E318" s="7">
        <v>45964</v>
      </c>
      <c r="F318" t="s">
        <v>58</v>
      </c>
      <c r="G318">
        <v>4</v>
      </c>
      <c r="H318">
        <v>3298</v>
      </c>
      <c r="I318" t="s">
        <v>76</v>
      </c>
    </row>
    <row r="319" spans="2:9" x14ac:dyDescent="0.25">
      <c r="B319" t="s">
        <v>415</v>
      </c>
      <c r="C319" t="s">
        <v>1019</v>
      </c>
      <c r="D319" t="s">
        <v>21</v>
      </c>
      <c r="E319" s="7">
        <v>45705</v>
      </c>
      <c r="F319" t="s">
        <v>57</v>
      </c>
      <c r="G319">
        <v>1</v>
      </c>
      <c r="H319">
        <v>4556</v>
      </c>
      <c r="I319" t="s">
        <v>76</v>
      </c>
    </row>
    <row r="320" spans="2:9" x14ac:dyDescent="0.25">
      <c r="B320" t="s">
        <v>416</v>
      </c>
      <c r="C320" t="s">
        <v>1010</v>
      </c>
      <c r="D320" t="s">
        <v>14</v>
      </c>
      <c r="E320" s="7">
        <v>45940</v>
      </c>
      <c r="F320" t="s">
        <v>57</v>
      </c>
      <c r="G320">
        <v>4</v>
      </c>
      <c r="H320">
        <v>4880</v>
      </c>
      <c r="I320" t="s">
        <v>84</v>
      </c>
    </row>
    <row r="321" spans="2:9" x14ac:dyDescent="0.25">
      <c r="B321" t="s">
        <v>417</v>
      </c>
      <c r="C321" t="s">
        <v>1013</v>
      </c>
      <c r="D321" t="s">
        <v>27</v>
      </c>
      <c r="E321" s="7">
        <v>45670</v>
      </c>
      <c r="F321" t="s">
        <v>57</v>
      </c>
      <c r="G321">
        <v>4</v>
      </c>
      <c r="H321">
        <v>894</v>
      </c>
      <c r="I321" t="s">
        <v>81</v>
      </c>
    </row>
    <row r="322" spans="2:9" x14ac:dyDescent="0.25">
      <c r="B322" t="s">
        <v>418</v>
      </c>
      <c r="C322" t="s">
        <v>1018</v>
      </c>
      <c r="D322" t="s">
        <v>21</v>
      </c>
      <c r="E322" s="7">
        <v>45716</v>
      </c>
      <c r="F322" t="s">
        <v>57</v>
      </c>
      <c r="G322">
        <v>7</v>
      </c>
      <c r="H322">
        <v>511</v>
      </c>
      <c r="I322" t="s">
        <v>76</v>
      </c>
    </row>
    <row r="323" spans="2:9" x14ac:dyDescent="0.25">
      <c r="B323" t="s">
        <v>419</v>
      </c>
      <c r="C323" t="s">
        <v>1006</v>
      </c>
      <c r="D323" t="s">
        <v>23</v>
      </c>
      <c r="E323" s="7">
        <v>45851</v>
      </c>
      <c r="F323" t="s">
        <v>57</v>
      </c>
      <c r="G323">
        <v>1</v>
      </c>
      <c r="H323">
        <v>513</v>
      </c>
      <c r="I323" t="s">
        <v>76</v>
      </c>
    </row>
    <row r="324" spans="2:9" x14ac:dyDescent="0.25">
      <c r="B324" t="s">
        <v>420</v>
      </c>
      <c r="C324" t="s">
        <v>1019</v>
      </c>
      <c r="D324" t="s">
        <v>19</v>
      </c>
      <c r="E324" s="7">
        <v>45667</v>
      </c>
      <c r="F324" t="s">
        <v>58</v>
      </c>
      <c r="G324">
        <v>8</v>
      </c>
      <c r="H324">
        <v>3986</v>
      </c>
      <c r="I324" t="s">
        <v>84</v>
      </c>
    </row>
    <row r="325" spans="2:9" x14ac:dyDescent="0.25">
      <c r="B325" t="s">
        <v>421</v>
      </c>
      <c r="C325" t="s">
        <v>1021</v>
      </c>
      <c r="D325" t="s">
        <v>14</v>
      </c>
      <c r="E325" s="7">
        <v>45947</v>
      </c>
      <c r="F325" t="s">
        <v>58</v>
      </c>
      <c r="G325">
        <v>2</v>
      </c>
      <c r="H325">
        <v>2887</v>
      </c>
      <c r="I325" t="s">
        <v>84</v>
      </c>
    </row>
    <row r="326" spans="2:9" x14ac:dyDescent="0.25">
      <c r="B326" t="s">
        <v>422</v>
      </c>
      <c r="C326" t="s">
        <v>1006</v>
      </c>
      <c r="D326" t="s">
        <v>19</v>
      </c>
      <c r="E326" s="7">
        <v>45660</v>
      </c>
      <c r="F326" t="s">
        <v>57</v>
      </c>
      <c r="G326">
        <v>2</v>
      </c>
      <c r="H326">
        <v>459</v>
      </c>
      <c r="I326" t="s">
        <v>84</v>
      </c>
    </row>
    <row r="327" spans="2:9" x14ac:dyDescent="0.25">
      <c r="B327" t="s">
        <v>423</v>
      </c>
      <c r="C327" t="s">
        <v>1010</v>
      </c>
      <c r="D327" t="s">
        <v>23</v>
      </c>
      <c r="E327" s="7">
        <v>45812</v>
      </c>
      <c r="F327" t="s">
        <v>58</v>
      </c>
      <c r="G327">
        <v>10</v>
      </c>
      <c r="H327">
        <v>3757</v>
      </c>
      <c r="I327" t="s">
        <v>76</v>
      </c>
    </row>
    <row r="328" spans="2:9" x14ac:dyDescent="0.25">
      <c r="B328" t="s">
        <v>424</v>
      </c>
      <c r="C328" t="s">
        <v>1006</v>
      </c>
      <c r="D328" t="s">
        <v>23</v>
      </c>
      <c r="E328" s="7">
        <v>45932</v>
      </c>
      <c r="F328" t="s">
        <v>58</v>
      </c>
      <c r="G328">
        <v>10</v>
      </c>
      <c r="H328">
        <v>1235</v>
      </c>
      <c r="I328" t="s">
        <v>84</v>
      </c>
    </row>
    <row r="329" spans="2:9" x14ac:dyDescent="0.25">
      <c r="B329" t="s">
        <v>425</v>
      </c>
      <c r="C329" t="s">
        <v>1008</v>
      </c>
      <c r="D329" t="s">
        <v>17</v>
      </c>
      <c r="E329" s="7">
        <v>45764</v>
      </c>
      <c r="F329" t="s">
        <v>57</v>
      </c>
      <c r="G329">
        <v>10</v>
      </c>
      <c r="H329">
        <v>105</v>
      </c>
      <c r="I329" t="s">
        <v>84</v>
      </c>
    </row>
    <row r="330" spans="2:9" x14ac:dyDescent="0.25">
      <c r="B330" t="s">
        <v>426</v>
      </c>
      <c r="C330" t="s">
        <v>1018</v>
      </c>
      <c r="D330" t="s">
        <v>23</v>
      </c>
      <c r="E330" s="7">
        <v>45759</v>
      </c>
      <c r="F330" t="s">
        <v>57</v>
      </c>
      <c r="G330">
        <v>3</v>
      </c>
      <c r="H330">
        <v>3921</v>
      </c>
      <c r="I330" t="s">
        <v>76</v>
      </c>
    </row>
    <row r="331" spans="2:9" x14ac:dyDescent="0.25">
      <c r="B331" t="s">
        <v>427</v>
      </c>
      <c r="C331" t="s">
        <v>1015</v>
      </c>
      <c r="D331" t="s">
        <v>21</v>
      </c>
      <c r="E331" s="7">
        <v>45857</v>
      </c>
      <c r="F331" t="s">
        <v>57</v>
      </c>
      <c r="G331">
        <v>1</v>
      </c>
      <c r="H331">
        <v>124</v>
      </c>
      <c r="I331" t="s">
        <v>81</v>
      </c>
    </row>
    <row r="332" spans="2:9" x14ac:dyDescent="0.25">
      <c r="B332" t="s">
        <v>428</v>
      </c>
      <c r="C332" t="s">
        <v>1007</v>
      </c>
      <c r="D332" t="s">
        <v>14</v>
      </c>
      <c r="E332" s="7">
        <v>45914</v>
      </c>
      <c r="F332" t="s">
        <v>58</v>
      </c>
      <c r="G332">
        <v>4</v>
      </c>
      <c r="H332">
        <v>2387</v>
      </c>
      <c r="I332" t="s">
        <v>84</v>
      </c>
    </row>
    <row r="333" spans="2:9" x14ac:dyDescent="0.25">
      <c r="B333" t="s">
        <v>429</v>
      </c>
      <c r="C333" t="s">
        <v>1017</v>
      </c>
      <c r="D333" t="s">
        <v>11</v>
      </c>
      <c r="E333" s="7">
        <v>45759</v>
      </c>
      <c r="F333" t="s">
        <v>57</v>
      </c>
      <c r="G333">
        <v>2</v>
      </c>
      <c r="H333">
        <v>3288</v>
      </c>
      <c r="I333" t="s">
        <v>81</v>
      </c>
    </row>
    <row r="334" spans="2:9" x14ac:dyDescent="0.25">
      <c r="B334" t="s">
        <v>430</v>
      </c>
      <c r="C334" t="s">
        <v>1022</v>
      </c>
      <c r="D334" t="s">
        <v>21</v>
      </c>
      <c r="E334" s="7">
        <v>45866</v>
      </c>
      <c r="F334" t="s">
        <v>57</v>
      </c>
      <c r="G334">
        <v>1</v>
      </c>
      <c r="H334">
        <v>1712</v>
      </c>
      <c r="I334" t="s">
        <v>76</v>
      </c>
    </row>
    <row r="335" spans="2:9" x14ac:dyDescent="0.25">
      <c r="B335" t="s">
        <v>431</v>
      </c>
      <c r="C335" t="s">
        <v>1018</v>
      </c>
      <c r="D335" t="s">
        <v>27</v>
      </c>
      <c r="E335" s="7">
        <v>45780</v>
      </c>
      <c r="F335" t="s">
        <v>57</v>
      </c>
      <c r="G335">
        <v>7</v>
      </c>
      <c r="H335">
        <v>355</v>
      </c>
      <c r="I335" t="s">
        <v>76</v>
      </c>
    </row>
    <row r="336" spans="2:9" x14ac:dyDescent="0.25">
      <c r="B336" t="s">
        <v>432</v>
      </c>
      <c r="C336" t="s">
        <v>1016</v>
      </c>
      <c r="D336" t="s">
        <v>19</v>
      </c>
      <c r="E336" s="7">
        <v>45828</v>
      </c>
      <c r="F336" t="s">
        <v>58</v>
      </c>
      <c r="G336">
        <v>2</v>
      </c>
      <c r="H336">
        <v>3238</v>
      </c>
      <c r="I336" t="s">
        <v>76</v>
      </c>
    </row>
    <row r="337" spans="2:9" x14ac:dyDescent="0.25">
      <c r="B337" t="s">
        <v>433</v>
      </c>
      <c r="C337" t="s">
        <v>1018</v>
      </c>
      <c r="D337" t="s">
        <v>11</v>
      </c>
      <c r="E337" s="7">
        <v>45783</v>
      </c>
      <c r="F337" t="s">
        <v>58</v>
      </c>
      <c r="G337">
        <v>10</v>
      </c>
      <c r="H337">
        <v>3252</v>
      </c>
      <c r="I337" t="s">
        <v>84</v>
      </c>
    </row>
    <row r="338" spans="2:9" x14ac:dyDescent="0.25">
      <c r="B338" t="s">
        <v>434</v>
      </c>
      <c r="C338" t="s">
        <v>1020</v>
      </c>
      <c r="D338" t="s">
        <v>23</v>
      </c>
      <c r="E338" s="7">
        <v>45832</v>
      </c>
      <c r="F338" t="s">
        <v>58</v>
      </c>
      <c r="G338">
        <v>10</v>
      </c>
      <c r="H338">
        <v>4572</v>
      </c>
      <c r="I338" t="s">
        <v>81</v>
      </c>
    </row>
    <row r="339" spans="2:9" x14ac:dyDescent="0.25">
      <c r="B339" t="s">
        <v>435</v>
      </c>
      <c r="C339" t="s">
        <v>1014</v>
      </c>
      <c r="D339" t="s">
        <v>19</v>
      </c>
      <c r="E339" s="7">
        <v>45882</v>
      </c>
      <c r="F339" t="s">
        <v>58</v>
      </c>
      <c r="G339">
        <v>1</v>
      </c>
      <c r="H339">
        <v>246</v>
      </c>
      <c r="I339" t="s">
        <v>81</v>
      </c>
    </row>
    <row r="340" spans="2:9" x14ac:dyDescent="0.25">
      <c r="B340" t="s">
        <v>436</v>
      </c>
      <c r="C340" t="s">
        <v>1009</v>
      </c>
      <c r="D340" t="s">
        <v>17</v>
      </c>
      <c r="E340" s="7">
        <v>45921</v>
      </c>
      <c r="F340" t="s">
        <v>57</v>
      </c>
      <c r="G340">
        <v>8</v>
      </c>
      <c r="H340">
        <v>4567</v>
      </c>
      <c r="I340" t="s">
        <v>84</v>
      </c>
    </row>
    <row r="341" spans="2:9" x14ac:dyDescent="0.25">
      <c r="B341" t="s">
        <v>437</v>
      </c>
      <c r="C341" t="s">
        <v>1022</v>
      </c>
      <c r="D341" t="s">
        <v>17</v>
      </c>
      <c r="E341" s="7">
        <v>45772</v>
      </c>
      <c r="F341" t="s">
        <v>58</v>
      </c>
      <c r="G341">
        <v>8</v>
      </c>
      <c r="H341">
        <v>775</v>
      </c>
      <c r="I341" t="s">
        <v>81</v>
      </c>
    </row>
    <row r="342" spans="2:9" x14ac:dyDescent="0.25">
      <c r="B342" t="s">
        <v>438</v>
      </c>
      <c r="C342" t="s">
        <v>1017</v>
      </c>
      <c r="D342" t="s">
        <v>23</v>
      </c>
      <c r="E342" s="7">
        <v>45901</v>
      </c>
      <c r="F342" t="s">
        <v>58</v>
      </c>
      <c r="G342">
        <v>3</v>
      </c>
      <c r="H342">
        <v>3319</v>
      </c>
      <c r="I342" t="s">
        <v>81</v>
      </c>
    </row>
    <row r="343" spans="2:9" x14ac:dyDescent="0.25">
      <c r="B343" t="s">
        <v>439</v>
      </c>
      <c r="C343" t="s">
        <v>1013</v>
      </c>
      <c r="D343" t="s">
        <v>11</v>
      </c>
      <c r="E343" s="7">
        <v>46012</v>
      </c>
      <c r="F343" t="s">
        <v>57</v>
      </c>
      <c r="G343">
        <v>5</v>
      </c>
      <c r="H343">
        <v>577</v>
      </c>
      <c r="I343" t="s">
        <v>84</v>
      </c>
    </row>
    <row r="344" spans="2:9" x14ac:dyDescent="0.25">
      <c r="B344" t="s">
        <v>440</v>
      </c>
      <c r="C344" t="s">
        <v>1007</v>
      </c>
      <c r="D344" t="s">
        <v>21</v>
      </c>
      <c r="E344" s="7">
        <v>45705</v>
      </c>
      <c r="F344" t="s">
        <v>58</v>
      </c>
      <c r="G344">
        <v>3</v>
      </c>
      <c r="H344">
        <v>2171</v>
      </c>
      <c r="I344" t="s">
        <v>84</v>
      </c>
    </row>
    <row r="345" spans="2:9" x14ac:dyDescent="0.25">
      <c r="B345" t="s">
        <v>441</v>
      </c>
      <c r="C345" t="s">
        <v>1014</v>
      </c>
      <c r="D345" t="s">
        <v>21</v>
      </c>
      <c r="E345" s="7">
        <v>45884</v>
      </c>
      <c r="F345" t="s">
        <v>57</v>
      </c>
      <c r="G345">
        <v>7</v>
      </c>
      <c r="H345">
        <v>1617</v>
      </c>
      <c r="I345" t="s">
        <v>76</v>
      </c>
    </row>
    <row r="346" spans="2:9" x14ac:dyDescent="0.25">
      <c r="B346" t="s">
        <v>442</v>
      </c>
      <c r="C346" t="s">
        <v>1017</v>
      </c>
      <c r="D346" t="s">
        <v>21</v>
      </c>
      <c r="E346" s="7">
        <v>45977</v>
      </c>
      <c r="F346" t="s">
        <v>58</v>
      </c>
      <c r="G346">
        <v>2</v>
      </c>
      <c r="H346">
        <v>3711</v>
      </c>
      <c r="I346" t="s">
        <v>76</v>
      </c>
    </row>
    <row r="347" spans="2:9" x14ac:dyDescent="0.25">
      <c r="B347" t="s">
        <v>443</v>
      </c>
      <c r="C347" t="s">
        <v>1015</v>
      </c>
      <c r="D347" t="s">
        <v>21</v>
      </c>
      <c r="E347" s="7">
        <v>45689</v>
      </c>
      <c r="F347" t="s">
        <v>57</v>
      </c>
      <c r="G347">
        <v>2</v>
      </c>
      <c r="H347">
        <v>2124</v>
      </c>
      <c r="I347" t="s">
        <v>81</v>
      </c>
    </row>
    <row r="348" spans="2:9" x14ac:dyDescent="0.25">
      <c r="B348" t="s">
        <v>444</v>
      </c>
      <c r="C348" t="s">
        <v>1011</v>
      </c>
      <c r="D348" t="s">
        <v>27</v>
      </c>
      <c r="E348" s="7">
        <v>45756</v>
      </c>
      <c r="F348" t="s">
        <v>58</v>
      </c>
      <c r="G348">
        <v>1</v>
      </c>
      <c r="H348">
        <v>1810</v>
      </c>
      <c r="I348" t="s">
        <v>84</v>
      </c>
    </row>
    <row r="349" spans="2:9" x14ac:dyDescent="0.25">
      <c r="B349" t="s">
        <v>445</v>
      </c>
      <c r="C349" t="s">
        <v>1012</v>
      </c>
      <c r="D349" t="s">
        <v>19</v>
      </c>
      <c r="E349" s="7">
        <v>45997</v>
      </c>
      <c r="F349" t="s">
        <v>58</v>
      </c>
      <c r="G349">
        <v>1</v>
      </c>
      <c r="H349">
        <v>1574</v>
      </c>
      <c r="I349" t="s">
        <v>84</v>
      </c>
    </row>
    <row r="350" spans="2:9" x14ac:dyDescent="0.25">
      <c r="B350" t="s">
        <v>446</v>
      </c>
      <c r="C350" t="s">
        <v>1006</v>
      </c>
      <c r="D350" t="s">
        <v>11</v>
      </c>
      <c r="E350" s="7">
        <v>45913</v>
      </c>
      <c r="F350" t="s">
        <v>58</v>
      </c>
      <c r="G350">
        <v>10</v>
      </c>
      <c r="H350">
        <v>1546</v>
      </c>
      <c r="I350" t="s">
        <v>84</v>
      </c>
    </row>
    <row r="351" spans="2:9" x14ac:dyDescent="0.25">
      <c r="B351" t="s">
        <v>447</v>
      </c>
      <c r="C351" t="s">
        <v>1020</v>
      </c>
      <c r="D351" t="s">
        <v>21</v>
      </c>
      <c r="E351" s="7">
        <v>45909</v>
      </c>
      <c r="F351" t="s">
        <v>58</v>
      </c>
      <c r="G351">
        <v>6</v>
      </c>
      <c r="H351">
        <v>687</v>
      </c>
      <c r="I351" t="s">
        <v>76</v>
      </c>
    </row>
    <row r="352" spans="2:9" x14ac:dyDescent="0.25">
      <c r="B352" t="s">
        <v>448</v>
      </c>
      <c r="C352" t="s">
        <v>1004</v>
      </c>
      <c r="D352" t="s">
        <v>14</v>
      </c>
      <c r="E352" s="7">
        <v>46017</v>
      </c>
      <c r="F352" t="s">
        <v>58</v>
      </c>
      <c r="G352">
        <v>5</v>
      </c>
      <c r="H352">
        <v>4262</v>
      </c>
      <c r="I352" t="s">
        <v>76</v>
      </c>
    </row>
    <row r="353" spans="2:9" x14ac:dyDescent="0.25">
      <c r="B353" t="s">
        <v>449</v>
      </c>
      <c r="C353" t="s">
        <v>1014</v>
      </c>
      <c r="D353" t="s">
        <v>23</v>
      </c>
      <c r="E353" s="7">
        <v>45713</v>
      </c>
      <c r="F353" t="s">
        <v>58</v>
      </c>
      <c r="G353">
        <v>3</v>
      </c>
      <c r="H353">
        <v>1426</v>
      </c>
      <c r="I353" t="s">
        <v>84</v>
      </c>
    </row>
    <row r="354" spans="2:9" x14ac:dyDescent="0.25">
      <c r="B354" t="s">
        <v>450</v>
      </c>
      <c r="C354" t="s">
        <v>1022</v>
      </c>
      <c r="D354" t="s">
        <v>21</v>
      </c>
      <c r="E354" s="7">
        <v>45952</v>
      </c>
      <c r="F354" t="s">
        <v>57</v>
      </c>
      <c r="G354">
        <v>10</v>
      </c>
      <c r="H354">
        <v>2583</v>
      </c>
      <c r="I354" t="s">
        <v>76</v>
      </c>
    </row>
    <row r="355" spans="2:9" x14ac:dyDescent="0.25">
      <c r="B355" t="s">
        <v>451</v>
      </c>
      <c r="C355" t="s">
        <v>1010</v>
      </c>
      <c r="D355" t="s">
        <v>11</v>
      </c>
      <c r="E355" s="7">
        <v>45765</v>
      </c>
      <c r="F355" t="s">
        <v>57</v>
      </c>
      <c r="G355">
        <v>9</v>
      </c>
      <c r="H355">
        <v>2023</v>
      </c>
      <c r="I355" t="s">
        <v>76</v>
      </c>
    </row>
    <row r="356" spans="2:9" x14ac:dyDescent="0.25">
      <c r="B356" t="s">
        <v>452</v>
      </c>
      <c r="C356" t="s">
        <v>1012</v>
      </c>
      <c r="D356" t="s">
        <v>14</v>
      </c>
      <c r="E356" s="7">
        <v>45882</v>
      </c>
      <c r="F356" t="s">
        <v>58</v>
      </c>
      <c r="G356">
        <v>8</v>
      </c>
      <c r="H356">
        <v>342</v>
      </c>
      <c r="I356" t="s">
        <v>81</v>
      </c>
    </row>
    <row r="357" spans="2:9" x14ac:dyDescent="0.25">
      <c r="B357" t="s">
        <v>453</v>
      </c>
      <c r="C357" t="s">
        <v>1006</v>
      </c>
      <c r="D357" t="s">
        <v>19</v>
      </c>
      <c r="E357" s="7">
        <v>45887</v>
      </c>
      <c r="F357" t="s">
        <v>58</v>
      </c>
      <c r="G357">
        <v>5</v>
      </c>
      <c r="H357">
        <v>1951</v>
      </c>
      <c r="I357" t="s">
        <v>81</v>
      </c>
    </row>
    <row r="358" spans="2:9" x14ac:dyDescent="0.25">
      <c r="B358" t="s">
        <v>454</v>
      </c>
      <c r="C358" t="s">
        <v>1017</v>
      </c>
      <c r="D358" t="s">
        <v>19</v>
      </c>
      <c r="E358" s="7">
        <v>45977</v>
      </c>
      <c r="F358" t="s">
        <v>57</v>
      </c>
      <c r="G358">
        <v>5</v>
      </c>
      <c r="H358">
        <v>2619</v>
      </c>
      <c r="I358" t="s">
        <v>84</v>
      </c>
    </row>
    <row r="359" spans="2:9" x14ac:dyDescent="0.25">
      <c r="B359" t="s">
        <v>455</v>
      </c>
      <c r="C359" t="s">
        <v>1022</v>
      </c>
      <c r="D359" t="s">
        <v>21</v>
      </c>
      <c r="E359" s="7">
        <v>45871</v>
      </c>
      <c r="F359" t="s">
        <v>58</v>
      </c>
      <c r="G359">
        <v>4</v>
      </c>
      <c r="H359">
        <v>1930</v>
      </c>
      <c r="I359" t="s">
        <v>76</v>
      </c>
    </row>
    <row r="360" spans="2:9" x14ac:dyDescent="0.25">
      <c r="B360" t="s">
        <v>456</v>
      </c>
      <c r="C360" t="s">
        <v>1018</v>
      </c>
      <c r="D360" t="s">
        <v>21</v>
      </c>
      <c r="E360" s="7">
        <v>45715</v>
      </c>
      <c r="F360" t="s">
        <v>57</v>
      </c>
      <c r="G360">
        <v>1</v>
      </c>
      <c r="H360">
        <v>792</v>
      </c>
      <c r="I360" t="s">
        <v>76</v>
      </c>
    </row>
    <row r="361" spans="2:9" x14ac:dyDescent="0.25">
      <c r="B361" t="s">
        <v>457</v>
      </c>
      <c r="C361" t="s">
        <v>1008</v>
      </c>
      <c r="D361" t="s">
        <v>14</v>
      </c>
      <c r="E361" s="7">
        <v>45729</v>
      </c>
      <c r="F361" t="s">
        <v>57</v>
      </c>
      <c r="G361">
        <v>10</v>
      </c>
      <c r="H361">
        <v>3926</v>
      </c>
      <c r="I361" t="s">
        <v>81</v>
      </c>
    </row>
    <row r="362" spans="2:9" x14ac:dyDescent="0.25">
      <c r="B362" t="s">
        <v>458</v>
      </c>
      <c r="C362" t="s">
        <v>1007</v>
      </c>
      <c r="D362" t="s">
        <v>14</v>
      </c>
      <c r="E362" s="7">
        <v>45830</v>
      </c>
      <c r="F362" t="s">
        <v>57</v>
      </c>
      <c r="G362">
        <v>8</v>
      </c>
      <c r="H362">
        <v>2432</v>
      </c>
      <c r="I362" t="s">
        <v>76</v>
      </c>
    </row>
    <row r="363" spans="2:9" x14ac:dyDescent="0.25">
      <c r="B363" t="s">
        <v>459</v>
      </c>
      <c r="C363" t="s">
        <v>1019</v>
      </c>
      <c r="D363" t="s">
        <v>14</v>
      </c>
      <c r="E363" s="7">
        <v>45793</v>
      </c>
      <c r="F363" t="s">
        <v>57</v>
      </c>
      <c r="G363">
        <v>3</v>
      </c>
      <c r="H363">
        <v>1187</v>
      </c>
      <c r="I363" t="s">
        <v>81</v>
      </c>
    </row>
    <row r="364" spans="2:9" x14ac:dyDescent="0.25">
      <c r="B364" t="s">
        <v>460</v>
      </c>
      <c r="C364" t="s">
        <v>1015</v>
      </c>
      <c r="D364" t="s">
        <v>19</v>
      </c>
      <c r="E364" s="7">
        <v>45669</v>
      </c>
      <c r="F364" t="s">
        <v>57</v>
      </c>
      <c r="G364">
        <v>9</v>
      </c>
      <c r="H364">
        <v>1409</v>
      </c>
      <c r="I364" t="s">
        <v>84</v>
      </c>
    </row>
    <row r="365" spans="2:9" x14ac:dyDescent="0.25">
      <c r="B365" t="s">
        <v>461</v>
      </c>
      <c r="C365" t="s">
        <v>1017</v>
      </c>
      <c r="D365" t="s">
        <v>23</v>
      </c>
      <c r="E365" s="7">
        <v>45820</v>
      </c>
      <c r="F365" t="s">
        <v>57</v>
      </c>
      <c r="G365">
        <v>1</v>
      </c>
      <c r="H365">
        <v>3149</v>
      </c>
      <c r="I365" t="s">
        <v>84</v>
      </c>
    </row>
    <row r="366" spans="2:9" x14ac:dyDescent="0.25">
      <c r="B366" t="s">
        <v>462</v>
      </c>
      <c r="C366" t="s">
        <v>1014</v>
      </c>
      <c r="D366" t="s">
        <v>19</v>
      </c>
      <c r="E366" s="7">
        <v>45792</v>
      </c>
      <c r="F366" t="s">
        <v>58</v>
      </c>
      <c r="G366">
        <v>1</v>
      </c>
      <c r="H366">
        <v>2801</v>
      </c>
      <c r="I366" t="s">
        <v>81</v>
      </c>
    </row>
    <row r="367" spans="2:9" x14ac:dyDescent="0.25">
      <c r="B367" t="s">
        <v>463</v>
      </c>
      <c r="C367" t="s">
        <v>1022</v>
      </c>
      <c r="D367" t="s">
        <v>21</v>
      </c>
      <c r="E367" s="7">
        <v>45695</v>
      </c>
      <c r="F367" t="s">
        <v>57</v>
      </c>
      <c r="G367">
        <v>9</v>
      </c>
      <c r="H367">
        <v>571</v>
      </c>
      <c r="I367" t="s">
        <v>84</v>
      </c>
    </row>
    <row r="368" spans="2:9" x14ac:dyDescent="0.25">
      <c r="B368" t="s">
        <v>464</v>
      </c>
      <c r="C368" t="s">
        <v>1006</v>
      </c>
      <c r="D368" t="s">
        <v>17</v>
      </c>
      <c r="E368" s="7">
        <v>45684</v>
      </c>
      <c r="F368" t="s">
        <v>57</v>
      </c>
      <c r="G368">
        <v>3</v>
      </c>
      <c r="H368">
        <v>2970</v>
      </c>
      <c r="I368" t="s">
        <v>84</v>
      </c>
    </row>
    <row r="369" spans="2:9" x14ac:dyDescent="0.25">
      <c r="B369" t="s">
        <v>465</v>
      </c>
      <c r="C369" t="s">
        <v>1021</v>
      </c>
      <c r="D369" t="s">
        <v>11</v>
      </c>
      <c r="E369" s="7">
        <v>45703</v>
      </c>
      <c r="F369" t="s">
        <v>58</v>
      </c>
      <c r="G369">
        <v>1</v>
      </c>
      <c r="H369">
        <v>399</v>
      </c>
      <c r="I369" t="s">
        <v>81</v>
      </c>
    </row>
    <row r="370" spans="2:9" x14ac:dyDescent="0.25">
      <c r="B370" t="s">
        <v>466</v>
      </c>
      <c r="C370" t="s">
        <v>1022</v>
      </c>
      <c r="D370" t="s">
        <v>17</v>
      </c>
      <c r="E370" s="7">
        <v>45711</v>
      </c>
      <c r="F370" t="s">
        <v>57</v>
      </c>
      <c r="G370">
        <v>7</v>
      </c>
      <c r="H370">
        <v>4504</v>
      </c>
      <c r="I370" t="s">
        <v>81</v>
      </c>
    </row>
    <row r="371" spans="2:9" x14ac:dyDescent="0.25">
      <c r="B371" t="s">
        <v>467</v>
      </c>
      <c r="C371" t="s">
        <v>1012</v>
      </c>
      <c r="D371" t="s">
        <v>17</v>
      </c>
      <c r="E371" s="7">
        <v>45840</v>
      </c>
      <c r="F371" t="s">
        <v>57</v>
      </c>
      <c r="G371">
        <v>6</v>
      </c>
      <c r="H371">
        <v>861</v>
      </c>
      <c r="I371" t="s">
        <v>76</v>
      </c>
    </row>
    <row r="372" spans="2:9" x14ac:dyDescent="0.25">
      <c r="B372" t="s">
        <v>468</v>
      </c>
      <c r="C372" t="s">
        <v>1022</v>
      </c>
      <c r="D372" t="s">
        <v>27</v>
      </c>
      <c r="E372" s="7">
        <v>45944</v>
      </c>
      <c r="F372" t="s">
        <v>57</v>
      </c>
      <c r="G372">
        <v>8</v>
      </c>
      <c r="H372">
        <v>1274</v>
      </c>
      <c r="I372" t="s">
        <v>81</v>
      </c>
    </row>
    <row r="373" spans="2:9" x14ac:dyDescent="0.25">
      <c r="B373" t="s">
        <v>469</v>
      </c>
      <c r="C373" t="s">
        <v>1013</v>
      </c>
      <c r="D373" t="s">
        <v>21</v>
      </c>
      <c r="E373" s="7">
        <v>45953</v>
      </c>
      <c r="F373" t="s">
        <v>58</v>
      </c>
      <c r="G373">
        <v>3</v>
      </c>
      <c r="H373">
        <v>1434</v>
      </c>
      <c r="I373" t="s">
        <v>76</v>
      </c>
    </row>
    <row r="374" spans="2:9" x14ac:dyDescent="0.25">
      <c r="B374" t="s">
        <v>470</v>
      </c>
      <c r="C374" t="s">
        <v>1013</v>
      </c>
      <c r="D374" t="s">
        <v>17</v>
      </c>
      <c r="E374" s="7">
        <v>45826</v>
      </c>
      <c r="F374" t="s">
        <v>58</v>
      </c>
      <c r="G374">
        <v>10</v>
      </c>
      <c r="H374">
        <v>3338</v>
      </c>
      <c r="I374" t="s">
        <v>76</v>
      </c>
    </row>
    <row r="375" spans="2:9" x14ac:dyDescent="0.25">
      <c r="B375" t="s">
        <v>471</v>
      </c>
      <c r="C375" t="s">
        <v>1015</v>
      </c>
      <c r="D375" t="s">
        <v>19</v>
      </c>
      <c r="E375" s="7">
        <v>45779</v>
      </c>
      <c r="F375" t="s">
        <v>57</v>
      </c>
      <c r="G375">
        <v>6</v>
      </c>
      <c r="H375">
        <v>2836</v>
      </c>
      <c r="I375" t="s">
        <v>81</v>
      </c>
    </row>
    <row r="376" spans="2:9" x14ac:dyDescent="0.25">
      <c r="B376" t="s">
        <v>472</v>
      </c>
      <c r="C376" t="s">
        <v>1006</v>
      </c>
      <c r="D376" t="s">
        <v>17</v>
      </c>
      <c r="E376" s="7">
        <v>45995</v>
      </c>
      <c r="F376" t="s">
        <v>57</v>
      </c>
      <c r="G376">
        <v>4</v>
      </c>
      <c r="H376">
        <v>2079</v>
      </c>
      <c r="I376" t="s">
        <v>81</v>
      </c>
    </row>
    <row r="377" spans="2:9" x14ac:dyDescent="0.25">
      <c r="B377" t="s">
        <v>473</v>
      </c>
      <c r="C377" t="s">
        <v>1009</v>
      </c>
      <c r="D377" t="s">
        <v>19</v>
      </c>
      <c r="E377" s="7">
        <v>45697</v>
      </c>
      <c r="F377" t="s">
        <v>58</v>
      </c>
      <c r="G377">
        <v>9</v>
      </c>
      <c r="H377">
        <v>2052</v>
      </c>
      <c r="I377" t="s">
        <v>81</v>
      </c>
    </row>
    <row r="378" spans="2:9" x14ac:dyDescent="0.25">
      <c r="B378" t="s">
        <v>474</v>
      </c>
      <c r="C378" t="s">
        <v>1011</v>
      </c>
      <c r="D378" t="s">
        <v>17</v>
      </c>
      <c r="E378" s="7">
        <v>45660</v>
      </c>
      <c r="F378" t="s">
        <v>57</v>
      </c>
      <c r="G378">
        <v>2</v>
      </c>
      <c r="H378">
        <v>82</v>
      </c>
      <c r="I378" t="s">
        <v>81</v>
      </c>
    </row>
    <row r="379" spans="2:9" x14ac:dyDescent="0.25">
      <c r="B379" t="s">
        <v>475</v>
      </c>
      <c r="C379" t="s">
        <v>1017</v>
      </c>
      <c r="D379" t="s">
        <v>21</v>
      </c>
      <c r="E379" s="7">
        <v>45725</v>
      </c>
      <c r="F379" t="s">
        <v>57</v>
      </c>
      <c r="G379">
        <v>2</v>
      </c>
      <c r="H379">
        <v>2292</v>
      </c>
      <c r="I379" t="s">
        <v>84</v>
      </c>
    </row>
    <row r="380" spans="2:9" x14ac:dyDescent="0.25">
      <c r="B380" t="s">
        <v>476</v>
      </c>
      <c r="C380" t="s">
        <v>1021</v>
      </c>
      <c r="D380" t="s">
        <v>27</v>
      </c>
      <c r="E380" s="7">
        <v>45713</v>
      </c>
      <c r="F380" t="s">
        <v>57</v>
      </c>
      <c r="G380">
        <v>6</v>
      </c>
      <c r="H380">
        <v>1182</v>
      </c>
      <c r="I380" t="s">
        <v>76</v>
      </c>
    </row>
    <row r="381" spans="2:9" x14ac:dyDescent="0.25">
      <c r="B381" t="s">
        <v>477</v>
      </c>
      <c r="C381" t="s">
        <v>1017</v>
      </c>
      <c r="D381" t="s">
        <v>17</v>
      </c>
      <c r="E381" s="7">
        <v>45933</v>
      </c>
      <c r="F381" t="s">
        <v>58</v>
      </c>
      <c r="G381">
        <v>3</v>
      </c>
      <c r="H381">
        <v>3031</v>
      </c>
      <c r="I381" t="s">
        <v>84</v>
      </c>
    </row>
    <row r="382" spans="2:9" x14ac:dyDescent="0.25">
      <c r="B382" t="s">
        <v>478</v>
      </c>
      <c r="C382" t="s">
        <v>1012</v>
      </c>
      <c r="D382" t="s">
        <v>11</v>
      </c>
      <c r="E382" s="7">
        <v>45813</v>
      </c>
      <c r="F382" t="s">
        <v>58</v>
      </c>
      <c r="G382">
        <v>5</v>
      </c>
      <c r="H382">
        <v>495</v>
      </c>
      <c r="I382" t="s">
        <v>76</v>
      </c>
    </row>
    <row r="383" spans="2:9" x14ac:dyDescent="0.25">
      <c r="B383" t="s">
        <v>479</v>
      </c>
      <c r="C383" t="s">
        <v>1018</v>
      </c>
      <c r="D383" t="s">
        <v>23</v>
      </c>
      <c r="E383" s="7">
        <v>45893</v>
      </c>
      <c r="F383" t="s">
        <v>58</v>
      </c>
      <c r="G383">
        <v>6</v>
      </c>
      <c r="H383">
        <v>4989</v>
      </c>
      <c r="I383" t="s">
        <v>76</v>
      </c>
    </row>
    <row r="384" spans="2:9" x14ac:dyDescent="0.25">
      <c r="B384" t="s">
        <v>480</v>
      </c>
      <c r="C384" t="s">
        <v>1016</v>
      </c>
      <c r="D384" t="s">
        <v>23</v>
      </c>
      <c r="E384" s="7">
        <v>46013</v>
      </c>
      <c r="F384" t="s">
        <v>57</v>
      </c>
      <c r="G384">
        <v>6</v>
      </c>
      <c r="H384">
        <v>4344</v>
      </c>
      <c r="I384" t="s">
        <v>76</v>
      </c>
    </row>
    <row r="385" spans="2:9" x14ac:dyDescent="0.25">
      <c r="B385" t="s">
        <v>481</v>
      </c>
      <c r="C385" t="s">
        <v>1008</v>
      </c>
      <c r="D385" t="s">
        <v>23</v>
      </c>
      <c r="E385" s="7">
        <v>45812</v>
      </c>
      <c r="F385" t="s">
        <v>58</v>
      </c>
      <c r="G385">
        <v>6</v>
      </c>
      <c r="H385">
        <v>169</v>
      </c>
      <c r="I385" t="s">
        <v>81</v>
      </c>
    </row>
    <row r="386" spans="2:9" x14ac:dyDescent="0.25">
      <c r="B386" t="s">
        <v>482</v>
      </c>
      <c r="C386" t="s">
        <v>1011</v>
      </c>
      <c r="D386" t="s">
        <v>21</v>
      </c>
      <c r="E386" s="7">
        <v>45834</v>
      </c>
      <c r="F386" t="s">
        <v>58</v>
      </c>
      <c r="G386">
        <v>2</v>
      </c>
      <c r="H386">
        <v>374</v>
      </c>
      <c r="I386" t="s">
        <v>84</v>
      </c>
    </row>
    <row r="387" spans="2:9" x14ac:dyDescent="0.25">
      <c r="B387" t="s">
        <v>483</v>
      </c>
      <c r="C387" t="s">
        <v>1004</v>
      </c>
      <c r="D387" t="s">
        <v>19</v>
      </c>
      <c r="E387" s="7">
        <v>45827</v>
      </c>
      <c r="F387" t="s">
        <v>58</v>
      </c>
      <c r="G387">
        <v>2</v>
      </c>
      <c r="H387">
        <v>1743</v>
      </c>
      <c r="I387" t="s">
        <v>81</v>
      </c>
    </row>
    <row r="388" spans="2:9" x14ac:dyDescent="0.25">
      <c r="B388" t="s">
        <v>484</v>
      </c>
      <c r="C388" t="s">
        <v>1014</v>
      </c>
      <c r="D388" t="s">
        <v>21</v>
      </c>
      <c r="E388" s="7">
        <v>45741</v>
      </c>
      <c r="F388" t="s">
        <v>58</v>
      </c>
      <c r="G388">
        <v>7</v>
      </c>
      <c r="H388">
        <v>2380</v>
      </c>
      <c r="I388" t="s">
        <v>81</v>
      </c>
    </row>
    <row r="389" spans="2:9" x14ac:dyDescent="0.25">
      <c r="B389" t="s">
        <v>485</v>
      </c>
      <c r="C389" t="s">
        <v>1012</v>
      </c>
      <c r="D389" t="s">
        <v>27</v>
      </c>
      <c r="E389" s="7">
        <v>45943</v>
      </c>
      <c r="F389" t="s">
        <v>58</v>
      </c>
      <c r="G389">
        <v>3</v>
      </c>
      <c r="H389">
        <v>4205</v>
      </c>
      <c r="I389" t="s">
        <v>76</v>
      </c>
    </row>
    <row r="390" spans="2:9" x14ac:dyDescent="0.25">
      <c r="B390" t="s">
        <v>486</v>
      </c>
      <c r="C390" t="s">
        <v>1019</v>
      </c>
      <c r="D390" t="s">
        <v>14</v>
      </c>
      <c r="E390" s="7">
        <v>45879</v>
      </c>
      <c r="F390" t="s">
        <v>57</v>
      </c>
      <c r="G390">
        <v>7</v>
      </c>
      <c r="H390">
        <v>498</v>
      </c>
      <c r="I390" t="s">
        <v>81</v>
      </c>
    </row>
    <row r="391" spans="2:9" x14ac:dyDescent="0.25">
      <c r="B391" t="s">
        <v>487</v>
      </c>
      <c r="C391" t="s">
        <v>1007</v>
      </c>
      <c r="D391" t="s">
        <v>21</v>
      </c>
      <c r="E391" s="7">
        <v>45739</v>
      </c>
      <c r="F391" t="s">
        <v>57</v>
      </c>
      <c r="G391">
        <v>2</v>
      </c>
      <c r="H391">
        <v>3294</v>
      </c>
      <c r="I391" t="s">
        <v>76</v>
      </c>
    </row>
    <row r="392" spans="2:9" x14ac:dyDescent="0.25">
      <c r="B392" t="s">
        <v>488</v>
      </c>
      <c r="C392" t="s">
        <v>1014</v>
      </c>
      <c r="D392" t="s">
        <v>17</v>
      </c>
      <c r="E392" s="7">
        <v>45782</v>
      </c>
      <c r="F392" t="s">
        <v>58</v>
      </c>
      <c r="G392">
        <v>2</v>
      </c>
      <c r="H392">
        <v>1050</v>
      </c>
      <c r="I392" t="s">
        <v>76</v>
      </c>
    </row>
    <row r="393" spans="2:9" x14ac:dyDescent="0.25">
      <c r="B393" t="s">
        <v>489</v>
      </c>
      <c r="C393" t="s">
        <v>1015</v>
      </c>
      <c r="D393" t="s">
        <v>17</v>
      </c>
      <c r="E393" s="7">
        <v>45813</v>
      </c>
      <c r="F393" t="s">
        <v>58</v>
      </c>
      <c r="G393">
        <v>5</v>
      </c>
      <c r="H393">
        <v>976</v>
      </c>
      <c r="I393" t="s">
        <v>76</v>
      </c>
    </row>
    <row r="394" spans="2:9" x14ac:dyDescent="0.25">
      <c r="B394" t="s">
        <v>490</v>
      </c>
      <c r="C394" t="s">
        <v>1020</v>
      </c>
      <c r="D394" t="s">
        <v>11</v>
      </c>
      <c r="E394" s="7">
        <v>45852</v>
      </c>
      <c r="F394" t="s">
        <v>57</v>
      </c>
      <c r="G394">
        <v>3</v>
      </c>
      <c r="H394">
        <v>1644</v>
      </c>
      <c r="I394" t="s">
        <v>81</v>
      </c>
    </row>
    <row r="395" spans="2:9" x14ac:dyDescent="0.25">
      <c r="B395" t="s">
        <v>491</v>
      </c>
      <c r="C395" t="s">
        <v>1004</v>
      </c>
      <c r="D395" t="s">
        <v>27</v>
      </c>
      <c r="E395" s="7">
        <v>45877</v>
      </c>
      <c r="F395" t="s">
        <v>58</v>
      </c>
      <c r="G395">
        <v>9</v>
      </c>
      <c r="H395">
        <v>459</v>
      </c>
      <c r="I395" t="s">
        <v>81</v>
      </c>
    </row>
    <row r="396" spans="2:9" x14ac:dyDescent="0.25">
      <c r="B396" t="s">
        <v>492</v>
      </c>
      <c r="C396" t="s">
        <v>1009</v>
      </c>
      <c r="D396" t="s">
        <v>19</v>
      </c>
      <c r="E396" s="7">
        <v>45766</v>
      </c>
      <c r="F396" t="s">
        <v>57</v>
      </c>
      <c r="G396">
        <v>3</v>
      </c>
      <c r="H396">
        <v>1131</v>
      </c>
      <c r="I396" t="s">
        <v>81</v>
      </c>
    </row>
    <row r="397" spans="2:9" x14ac:dyDescent="0.25">
      <c r="B397" t="s">
        <v>493</v>
      </c>
      <c r="C397" t="s">
        <v>1009</v>
      </c>
      <c r="D397" t="s">
        <v>23</v>
      </c>
      <c r="E397" s="7">
        <v>45663</v>
      </c>
      <c r="F397" t="s">
        <v>57</v>
      </c>
      <c r="G397">
        <v>5</v>
      </c>
      <c r="H397">
        <v>1220</v>
      </c>
      <c r="I397" t="s">
        <v>84</v>
      </c>
    </row>
    <row r="398" spans="2:9" x14ac:dyDescent="0.25">
      <c r="B398" t="s">
        <v>494</v>
      </c>
      <c r="C398" t="s">
        <v>1006</v>
      </c>
      <c r="D398" t="s">
        <v>27</v>
      </c>
      <c r="E398" s="7">
        <v>45668</v>
      </c>
      <c r="F398" t="s">
        <v>57</v>
      </c>
      <c r="G398">
        <v>1</v>
      </c>
      <c r="H398">
        <v>4591</v>
      </c>
      <c r="I398" t="s">
        <v>81</v>
      </c>
    </row>
    <row r="399" spans="2:9" x14ac:dyDescent="0.25">
      <c r="B399" t="s">
        <v>495</v>
      </c>
      <c r="C399" t="s">
        <v>1005</v>
      </c>
      <c r="D399" t="s">
        <v>17</v>
      </c>
      <c r="E399" s="7">
        <v>45752</v>
      </c>
      <c r="F399" t="s">
        <v>57</v>
      </c>
      <c r="G399">
        <v>6</v>
      </c>
      <c r="H399">
        <v>3978</v>
      </c>
      <c r="I399" t="s">
        <v>76</v>
      </c>
    </row>
    <row r="400" spans="2:9" x14ac:dyDescent="0.25">
      <c r="B400" t="s">
        <v>496</v>
      </c>
      <c r="C400" t="s">
        <v>1019</v>
      </c>
      <c r="D400" t="s">
        <v>23</v>
      </c>
      <c r="E400" s="7">
        <v>45852</v>
      </c>
      <c r="F400" t="s">
        <v>58</v>
      </c>
      <c r="G400">
        <v>4</v>
      </c>
      <c r="H400">
        <v>3403</v>
      </c>
      <c r="I400" t="s">
        <v>84</v>
      </c>
    </row>
    <row r="401" spans="2:9" x14ac:dyDescent="0.25">
      <c r="B401" t="s">
        <v>497</v>
      </c>
      <c r="C401" t="s">
        <v>1004</v>
      </c>
      <c r="D401" t="s">
        <v>14</v>
      </c>
      <c r="E401" s="7">
        <v>45735</v>
      </c>
      <c r="F401" t="s">
        <v>58</v>
      </c>
      <c r="G401">
        <v>7</v>
      </c>
      <c r="H401">
        <v>737</v>
      </c>
      <c r="I401" t="s">
        <v>76</v>
      </c>
    </row>
    <row r="402" spans="2:9" x14ac:dyDescent="0.25">
      <c r="B402" t="s">
        <v>498</v>
      </c>
      <c r="C402" t="s">
        <v>1008</v>
      </c>
      <c r="D402" t="s">
        <v>19</v>
      </c>
      <c r="E402" s="7">
        <v>45903</v>
      </c>
      <c r="F402" t="s">
        <v>57</v>
      </c>
      <c r="G402">
        <v>5</v>
      </c>
      <c r="H402">
        <v>155</v>
      </c>
      <c r="I402" t="s">
        <v>81</v>
      </c>
    </row>
    <row r="403" spans="2:9" x14ac:dyDescent="0.25">
      <c r="B403" t="s">
        <v>499</v>
      </c>
      <c r="C403" t="s">
        <v>1004</v>
      </c>
      <c r="D403" t="s">
        <v>19</v>
      </c>
      <c r="E403" s="7">
        <v>45975</v>
      </c>
      <c r="F403" t="s">
        <v>58</v>
      </c>
      <c r="G403">
        <v>6</v>
      </c>
      <c r="H403">
        <v>4667</v>
      </c>
      <c r="I403" t="s">
        <v>84</v>
      </c>
    </row>
    <row r="404" spans="2:9" x14ac:dyDescent="0.25">
      <c r="B404" t="s">
        <v>500</v>
      </c>
      <c r="C404" t="s">
        <v>1015</v>
      </c>
      <c r="D404" t="s">
        <v>17</v>
      </c>
      <c r="E404" s="7">
        <v>45947</v>
      </c>
      <c r="F404" t="s">
        <v>58</v>
      </c>
      <c r="G404">
        <v>7</v>
      </c>
      <c r="H404">
        <v>3662</v>
      </c>
      <c r="I404" t="s">
        <v>84</v>
      </c>
    </row>
    <row r="405" spans="2:9" x14ac:dyDescent="0.25">
      <c r="B405" t="s">
        <v>501</v>
      </c>
      <c r="C405" t="s">
        <v>1007</v>
      </c>
      <c r="D405" t="s">
        <v>14</v>
      </c>
      <c r="E405" s="7">
        <v>45916</v>
      </c>
      <c r="F405" t="s">
        <v>57</v>
      </c>
      <c r="G405">
        <v>3</v>
      </c>
      <c r="H405">
        <v>303</v>
      </c>
      <c r="I405" t="s">
        <v>84</v>
      </c>
    </row>
    <row r="406" spans="2:9" x14ac:dyDescent="0.25">
      <c r="B406" t="s">
        <v>502</v>
      </c>
      <c r="C406" t="s">
        <v>1021</v>
      </c>
      <c r="D406" t="s">
        <v>19</v>
      </c>
      <c r="E406" s="7">
        <v>45705</v>
      </c>
      <c r="F406" t="s">
        <v>57</v>
      </c>
      <c r="G406">
        <v>7</v>
      </c>
      <c r="H406">
        <v>4058</v>
      </c>
      <c r="I406" t="s">
        <v>81</v>
      </c>
    </row>
    <row r="407" spans="2:9" x14ac:dyDescent="0.25">
      <c r="B407" t="s">
        <v>503</v>
      </c>
      <c r="C407" t="s">
        <v>1006</v>
      </c>
      <c r="D407" t="s">
        <v>11</v>
      </c>
      <c r="E407" s="7">
        <v>45695</v>
      </c>
      <c r="F407" t="s">
        <v>57</v>
      </c>
      <c r="G407">
        <v>1</v>
      </c>
      <c r="H407">
        <v>3305</v>
      </c>
      <c r="I407" t="s">
        <v>84</v>
      </c>
    </row>
    <row r="408" spans="2:9" x14ac:dyDescent="0.25">
      <c r="B408" t="s">
        <v>504</v>
      </c>
      <c r="C408" t="s">
        <v>1008</v>
      </c>
      <c r="D408" t="s">
        <v>21</v>
      </c>
      <c r="E408" s="7">
        <v>45870</v>
      </c>
      <c r="F408" t="s">
        <v>58</v>
      </c>
      <c r="G408">
        <v>5</v>
      </c>
      <c r="H408">
        <v>2687</v>
      </c>
      <c r="I408" t="s">
        <v>81</v>
      </c>
    </row>
    <row r="409" spans="2:9" x14ac:dyDescent="0.25">
      <c r="B409" t="s">
        <v>505</v>
      </c>
      <c r="C409" t="s">
        <v>1022</v>
      </c>
      <c r="D409" t="s">
        <v>21</v>
      </c>
      <c r="E409" s="7">
        <v>45715</v>
      </c>
      <c r="F409" t="s">
        <v>57</v>
      </c>
      <c r="G409">
        <v>6</v>
      </c>
      <c r="H409">
        <v>697</v>
      </c>
      <c r="I409" t="s">
        <v>76</v>
      </c>
    </row>
    <row r="410" spans="2:9" x14ac:dyDescent="0.25">
      <c r="B410" t="s">
        <v>506</v>
      </c>
      <c r="C410" t="s">
        <v>1006</v>
      </c>
      <c r="D410" t="s">
        <v>21</v>
      </c>
      <c r="E410" s="7">
        <v>45684</v>
      </c>
      <c r="F410" t="s">
        <v>58</v>
      </c>
      <c r="G410">
        <v>1</v>
      </c>
      <c r="H410">
        <v>2135</v>
      </c>
      <c r="I410" t="s">
        <v>84</v>
      </c>
    </row>
    <row r="411" spans="2:9" x14ac:dyDescent="0.25">
      <c r="B411" t="s">
        <v>507</v>
      </c>
      <c r="C411" t="s">
        <v>1020</v>
      </c>
      <c r="D411" t="s">
        <v>11</v>
      </c>
      <c r="E411" s="7">
        <v>45882</v>
      </c>
      <c r="F411" t="s">
        <v>57</v>
      </c>
      <c r="G411">
        <v>5</v>
      </c>
      <c r="H411">
        <v>670</v>
      </c>
      <c r="I411" t="s">
        <v>76</v>
      </c>
    </row>
    <row r="412" spans="2:9" x14ac:dyDescent="0.25">
      <c r="B412" t="s">
        <v>508</v>
      </c>
      <c r="C412" t="s">
        <v>1008</v>
      </c>
      <c r="D412" t="s">
        <v>21</v>
      </c>
      <c r="E412" s="7">
        <v>45953</v>
      </c>
      <c r="F412" t="s">
        <v>58</v>
      </c>
      <c r="G412">
        <v>10</v>
      </c>
      <c r="H412">
        <v>1255</v>
      </c>
      <c r="I412" t="s">
        <v>84</v>
      </c>
    </row>
    <row r="413" spans="2:9" x14ac:dyDescent="0.25">
      <c r="B413" t="s">
        <v>509</v>
      </c>
      <c r="C413" t="s">
        <v>1006</v>
      </c>
      <c r="D413" t="s">
        <v>17</v>
      </c>
      <c r="E413" s="7">
        <v>45680</v>
      </c>
      <c r="F413" t="s">
        <v>57</v>
      </c>
      <c r="G413">
        <v>9</v>
      </c>
      <c r="H413">
        <v>2698</v>
      </c>
      <c r="I413" t="s">
        <v>84</v>
      </c>
    </row>
    <row r="414" spans="2:9" x14ac:dyDescent="0.25">
      <c r="B414" t="s">
        <v>510</v>
      </c>
      <c r="C414" t="s">
        <v>1020</v>
      </c>
      <c r="D414" t="s">
        <v>27</v>
      </c>
      <c r="E414" s="7">
        <v>45694</v>
      </c>
      <c r="F414" t="s">
        <v>57</v>
      </c>
      <c r="G414">
        <v>9</v>
      </c>
      <c r="H414">
        <v>145</v>
      </c>
      <c r="I414" t="s">
        <v>81</v>
      </c>
    </row>
    <row r="415" spans="2:9" x14ac:dyDescent="0.25">
      <c r="B415" t="s">
        <v>511</v>
      </c>
      <c r="C415" t="s">
        <v>1020</v>
      </c>
      <c r="D415" t="s">
        <v>14</v>
      </c>
      <c r="E415" s="7">
        <v>45663</v>
      </c>
      <c r="F415" t="s">
        <v>57</v>
      </c>
      <c r="G415">
        <v>10</v>
      </c>
      <c r="H415">
        <v>2520</v>
      </c>
      <c r="I415" t="s">
        <v>84</v>
      </c>
    </row>
    <row r="416" spans="2:9" x14ac:dyDescent="0.25">
      <c r="B416" t="s">
        <v>512</v>
      </c>
      <c r="C416" t="s">
        <v>1007</v>
      </c>
      <c r="D416" t="s">
        <v>14</v>
      </c>
      <c r="E416" s="7">
        <v>45989</v>
      </c>
      <c r="F416" t="s">
        <v>58</v>
      </c>
      <c r="G416">
        <v>7</v>
      </c>
      <c r="H416">
        <v>146</v>
      </c>
      <c r="I416" t="s">
        <v>76</v>
      </c>
    </row>
    <row r="417" spans="2:9" x14ac:dyDescent="0.25">
      <c r="B417" t="s">
        <v>513</v>
      </c>
      <c r="C417" t="s">
        <v>1016</v>
      </c>
      <c r="D417" t="s">
        <v>11</v>
      </c>
      <c r="E417" s="7">
        <v>45753</v>
      </c>
      <c r="F417" t="s">
        <v>57</v>
      </c>
      <c r="G417">
        <v>4</v>
      </c>
      <c r="H417">
        <v>2102</v>
      </c>
      <c r="I417" t="s">
        <v>84</v>
      </c>
    </row>
    <row r="418" spans="2:9" x14ac:dyDescent="0.25">
      <c r="B418" t="s">
        <v>514</v>
      </c>
      <c r="C418" t="s">
        <v>1006</v>
      </c>
      <c r="D418" t="s">
        <v>11</v>
      </c>
      <c r="E418" s="7">
        <v>46001</v>
      </c>
      <c r="F418" t="s">
        <v>58</v>
      </c>
      <c r="G418">
        <v>4</v>
      </c>
      <c r="H418">
        <v>3847</v>
      </c>
      <c r="I418" t="s">
        <v>84</v>
      </c>
    </row>
    <row r="419" spans="2:9" x14ac:dyDescent="0.25">
      <c r="B419" t="s">
        <v>515</v>
      </c>
      <c r="C419" t="s">
        <v>1009</v>
      </c>
      <c r="D419" t="s">
        <v>14</v>
      </c>
      <c r="E419" s="7">
        <v>46005</v>
      </c>
      <c r="F419" t="s">
        <v>58</v>
      </c>
      <c r="G419">
        <v>9</v>
      </c>
      <c r="H419">
        <v>4654</v>
      </c>
      <c r="I419" t="s">
        <v>81</v>
      </c>
    </row>
    <row r="420" spans="2:9" x14ac:dyDescent="0.25">
      <c r="B420" t="s">
        <v>516</v>
      </c>
      <c r="C420" t="s">
        <v>1014</v>
      </c>
      <c r="D420" t="s">
        <v>27</v>
      </c>
      <c r="E420" s="7">
        <v>45856</v>
      </c>
      <c r="F420" t="s">
        <v>57</v>
      </c>
      <c r="G420">
        <v>6</v>
      </c>
      <c r="H420">
        <v>138</v>
      </c>
      <c r="I420" t="s">
        <v>76</v>
      </c>
    </row>
    <row r="421" spans="2:9" x14ac:dyDescent="0.25">
      <c r="B421" t="s">
        <v>517</v>
      </c>
      <c r="C421" t="s">
        <v>1007</v>
      </c>
      <c r="D421" t="s">
        <v>21</v>
      </c>
      <c r="E421" s="7">
        <v>45781</v>
      </c>
      <c r="F421" t="s">
        <v>57</v>
      </c>
      <c r="G421">
        <v>5</v>
      </c>
      <c r="H421">
        <v>4669</v>
      </c>
      <c r="I421" t="s">
        <v>84</v>
      </c>
    </row>
    <row r="422" spans="2:9" x14ac:dyDescent="0.25">
      <c r="B422" t="s">
        <v>518</v>
      </c>
      <c r="C422" t="s">
        <v>1020</v>
      </c>
      <c r="D422" t="s">
        <v>21</v>
      </c>
      <c r="E422" s="7">
        <v>45729</v>
      </c>
      <c r="F422" t="s">
        <v>58</v>
      </c>
      <c r="G422">
        <v>9</v>
      </c>
      <c r="H422">
        <v>4058</v>
      </c>
      <c r="I422" t="s">
        <v>81</v>
      </c>
    </row>
    <row r="423" spans="2:9" x14ac:dyDescent="0.25">
      <c r="B423" t="s">
        <v>519</v>
      </c>
      <c r="C423" t="s">
        <v>1009</v>
      </c>
      <c r="D423" t="s">
        <v>23</v>
      </c>
      <c r="E423" s="7">
        <v>45727</v>
      </c>
      <c r="F423" t="s">
        <v>57</v>
      </c>
      <c r="G423">
        <v>5</v>
      </c>
      <c r="H423">
        <v>2868</v>
      </c>
      <c r="I423" t="s">
        <v>81</v>
      </c>
    </row>
    <row r="424" spans="2:9" x14ac:dyDescent="0.25">
      <c r="B424" t="s">
        <v>520</v>
      </c>
      <c r="C424" t="s">
        <v>1014</v>
      </c>
      <c r="D424" t="s">
        <v>21</v>
      </c>
      <c r="E424" s="7">
        <v>45858</v>
      </c>
      <c r="F424" t="s">
        <v>57</v>
      </c>
      <c r="G424">
        <v>2</v>
      </c>
      <c r="H424">
        <v>2008</v>
      </c>
      <c r="I424" t="s">
        <v>81</v>
      </c>
    </row>
    <row r="425" spans="2:9" x14ac:dyDescent="0.25">
      <c r="B425" t="s">
        <v>521</v>
      </c>
      <c r="C425" t="s">
        <v>1012</v>
      </c>
      <c r="D425" t="s">
        <v>21</v>
      </c>
      <c r="E425" s="7">
        <v>45676</v>
      </c>
      <c r="F425" t="s">
        <v>58</v>
      </c>
      <c r="G425">
        <v>4</v>
      </c>
      <c r="H425">
        <v>1216</v>
      </c>
      <c r="I425" t="s">
        <v>81</v>
      </c>
    </row>
    <row r="426" spans="2:9" x14ac:dyDescent="0.25">
      <c r="B426" t="s">
        <v>522</v>
      </c>
      <c r="C426" t="s">
        <v>1016</v>
      </c>
      <c r="D426" t="s">
        <v>23</v>
      </c>
      <c r="E426" s="7">
        <v>45853</v>
      </c>
      <c r="F426" t="s">
        <v>57</v>
      </c>
      <c r="G426">
        <v>7</v>
      </c>
      <c r="H426">
        <v>1556</v>
      </c>
      <c r="I426" t="s">
        <v>76</v>
      </c>
    </row>
    <row r="427" spans="2:9" x14ac:dyDescent="0.25">
      <c r="B427" t="s">
        <v>523</v>
      </c>
      <c r="C427" t="s">
        <v>1019</v>
      </c>
      <c r="D427" t="s">
        <v>27</v>
      </c>
      <c r="E427" s="7">
        <v>45740</v>
      </c>
      <c r="F427" t="s">
        <v>58</v>
      </c>
      <c r="G427">
        <v>10</v>
      </c>
      <c r="H427">
        <v>2923</v>
      </c>
      <c r="I427" t="s">
        <v>76</v>
      </c>
    </row>
    <row r="428" spans="2:9" x14ac:dyDescent="0.25">
      <c r="B428" t="s">
        <v>524</v>
      </c>
      <c r="C428" t="s">
        <v>1020</v>
      </c>
      <c r="D428" t="s">
        <v>11</v>
      </c>
      <c r="E428" s="7">
        <v>45816</v>
      </c>
      <c r="F428" t="s">
        <v>58</v>
      </c>
      <c r="G428">
        <v>7</v>
      </c>
      <c r="H428">
        <v>1554</v>
      </c>
      <c r="I428" t="s">
        <v>81</v>
      </c>
    </row>
    <row r="429" spans="2:9" x14ac:dyDescent="0.25">
      <c r="B429" t="s">
        <v>525</v>
      </c>
      <c r="C429" t="s">
        <v>1019</v>
      </c>
      <c r="D429" t="s">
        <v>27</v>
      </c>
      <c r="E429" s="7">
        <v>46015</v>
      </c>
      <c r="F429" t="s">
        <v>57</v>
      </c>
      <c r="G429">
        <v>4</v>
      </c>
      <c r="H429">
        <v>2482</v>
      </c>
      <c r="I429" t="s">
        <v>84</v>
      </c>
    </row>
    <row r="430" spans="2:9" x14ac:dyDescent="0.25">
      <c r="B430" t="s">
        <v>526</v>
      </c>
      <c r="C430" t="s">
        <v>1017</v>
      </c>
      <c r="D430" t="s">
        <v>11</v>
      </c>
      <c r="E430" s="7">
        <v>45886</v>
      </c>
      <c r="F430" t="s">
        <v>58</v>
      </c>
      <c r="G430">
        <v>10</v>
      </c>
      <c r="H430">
        <v>2100</v>
      </c>
      <c r="I430" t="s">
        <v>84</v>
      </c>
    </row>
    <row r="431" spans="2:9" x14ac:dyDescent="0.25">
      <c r="B431" t="s">
        <v>527</v>
      </c>
      <c r="C431" t="s">
        <v>1010</v>
      </c>
      <c r="D431" t="s">
        <v>17</v>
      </c>
      <c r="E431" s="7">
        <v>45988</v>
      </c>
      <c r="F431" t="s">
        <v>57</v>
      </c>
      <c r="G431">
        <v>8</v>
      </c>
      <c r="H431">
        <v>614</v>
      </c>
      <c r="I431" t="s">
        <v>76</v>
      </c>
    </row>
    <row r="432" spans="2:9" x14ac:dyDescent="0.25">
      <c r="B432" t="s">
        <v>528</v>
      </c>
      <c r="C432" t="s">
        <v>1008</v>
      </c>
      <c r="D432" t="s">
        <v>11</v>
      </c>
      <c r="E432" s="7">
        <v>45971</v>
      </c>
      <c r="F432" t="s">
        <v>57</v>
      </c>
      <c r="G432">
        <v>4</v>
      </c>
      <c r="H432">
        <v>4536</v>
      </c>
      <c r="I432" t="s">
        <v>81</v>
      </c>
    </row>
    <row r="433" spans="2:9" x14ac:dyDescent="0.25">
      <c r="B433" t="s">
        <v>529</v>
      </c>
      <c r="C433" t="s">
        <v>1007</v>
      </c>
      <c r="D433" t="s">
        <v>21</v>
      </c>
      <c r="E433" s="7">
        <v>45919</v>
      </c>
      <c r="F433" t="s">
        <v>57</v>
      </c>
      <c r="G433">
        <v>7</v>
      </c>
      <c r="H433">
        <v>4265</v>
      </c>
      <c r="I433" t="s">
        <v>81</v>
      </c>
    </row>
    <row r="434" spans="2:9" x14ac:dyDescent="0.25">
      <c r="B434" t="s">
        <v>530</v>
      </c>
      <c r="C434" t="s">
        <v>1021</v>
      </c>
      <c r="D434" t="s">
        <v>17</v>
      </c>
      <c r="E434" s="7">
        <v>45708</v>
      </c>
      <c r="F434" t="s">
        <v>58</v>
      </c>
      <c r="G434">
        <v>1</v>
      </c>
      <c r="H434">
        <v>1488</v>
      </c>
      <c r="I434" t="s">
        <v>76</v>
      </c>
    </row>
    <row r="435" spans="2:9" x14ac:dyDescent="0.25">
      <c r="B435" t="s">
        <v>531</v>
      </c>
      <c r="C435" t="s">
        <v>1010</v>
      </c>
      <c r="D435" t="s">
        <v>21</v>
      </c>
      <c r="E435" s="7">
        <v>45890</v>
      </c>
      <c r="F435" t="s">
        <v>58</v>
      </c>
      <c r="G435">
        <v>1</v>
      </c>
      <c r="H435">
        <v>1702</v>
      </c>
      <c r="I435" t="s">
        <v>76</v>
      </c>
    </row>
    <row r="436" spans="2:9" x14ac:dyDescent="0.25">
      <c r="B436" t="s">
        <v>532</v>
      </c>
      <c r="C436" t="s">
        <v>1004</v>
      </c>
      <c r="D436" t="s">
        <v>19</v>
      </c>
      <c r="E436" s="7">
        <v>45897</v>
      </c>
      <c r="F436" t="s">
        <v>58</v>
      </c>
      <c r="G436">
        <v>6</v>
      </c>
      <c r="H436">
        <v>1769</v>
      </c>
      <c r="I436" t="s">
        <v>81</v>
      </c>
    </row>
    <row r="437" spans="2:9" x14ac:dyDescent="0.25">
      <c r="B437" t="s">
        <v>533</v>
      </c>
      <c r="C437" t="s">
        <v>1010</v>
      </c>
      <c r="D437" t="s">
        <v>27</v>
      </c>
      <c r="E437" s="7">
        <v>45996</v>
      </c>
      <c r="F437" t="s">
        <v>57</v>
      </c>
      <c r="G437">
        <v>8</v>
      </c>
      <c r="H437">
        <v>2362</v>
      </c>
      <c r="I437" t="s">
        <v>81</v>
      </c>
    </row>
    <row r="438" spans="2:9" x14ac:dyDescent="0.25">
      <c r="B438" t="s">
        <v>534</v>
      </c>
      <c r="C438" t="s">
        <v>1004</v>
      </c>
      <c r="D438" t="s">
        <v>14</v>
      </c>
      <c r="E438" s="7">
        <v>45925</v>
      </c>
      <c r="F438" t="s">
        <v>58</v>
      </c>
      <c r="G438">
        <v>4</v>
      </c>
      <c r="H438">
        <v>497</v>
      </c>
      <c r="I438" t="s">
        <v>76</v>
      </c>
    </row>
    <row r="439" spans="2:9" x14ac:dyDescent="0.25">
      <c r="B439" t="s">
        <v>535</v>
      </c>
      <c r="C439" t="s">
        <v>1004</v>
      </c>
      <c r="D439" t="s">
        <v>23</v>
      </c>
      <c r="E439" s="7">
        <v>45753</v>
      </c>
      <c r="F439" t="s">
        <v>58</v>
      </c>
      <c r="G439">
        <v>2</v>
      </c>
      <c r="H439">
        <v>1984</v>
      </c>
      <c r="I439" t="s">
        <v>81</v>
      </c>
    </row>
    <row r="440" spans="2:9" x14ac:dyDescent="0.25">
      <c r="B440" t="s">
        <v>536</v>
      </c>
      <c r="C440" t="s">
        <v>1013</v>
      </c>
      <c r="D440" t="s">
        <v>23</v>
      </c>
      <c r="E440" s="7">
        <v>45722</v>
      </c>
      <c r="F440" t="s">
        <v>57</v>
      </c>
      <c r="G440">
        <v>5</v>
      </c>
      <c r="H440">
        <v>3995</v>
      </c>
      <c r="I440" t="s">
        <v>76</v>
      </c>
    </row>
    <row r="441" spans="2:9" x14ac:dyDescent="0.25">
      <c r="B441" t="s">
        <v>537</v>
      </c>
      <c r="C441" t="s">
        <v>1009</v>
      </c>
      <c r="D441" t="s">
        <v>11</v>
      </c>
      <c r="E441" s="7">
        <v>45819</v>
      </c>
      <c r="F441" t="s">
        <v>58</v>
      </c>
      <c r="G441">
        <v>7</v>
      </c>
      <c r="H441">
        <v>2533</v>
      </c>
      <c r="I441" t="s">
        <v>81</v>
      </c>
    </row>
    <row r="442" spans="2:9" x14ac:dyDescent="0.25">
      <c r="B442" t="s">
        <v>538</v>
      </c>
      <c r="C442" t="s">
        <v>1017</v>
      </c>
      <c r="D442" t="s">
        <v>21</v>
      </c>
      <c r="E442" s="7">
        <v>45996</v>
      </c>
      <c r="F442" t="s">
        <v>57</v>
      </c>
      <c r="G442">
        <v>10</v>
      </c>
      <c r="H442">
        <v>4888</v>
      </c>
      <c r="I442" t="s">
        <v>76</v>
      </c>
    </row>
    <row r="443" spans="2:9" x14ac:dyDescent="0.25">
      <c r="B443" t="s">
        <v>539</v>
      </c>
      <c r="C443" t="s">
        <v>1009</v>
      </c>
      <c r="D443" t="s">
        <v>21</v>
      </c>
      <c r="E443" s="7">
        <v>45820</v>
      </c>
      <c r="F443" t="s">
        <v>57</v>
      </c>
      <c r="G443">
        <v>3</v>
      </c>
      <c r="H443">
        <v>2238</v>
      </c>
      <c r="I443" t="s">
        <v>81</v>
      </c>
    </row>
    <row r="444" spans="2:9" x14ac:dyDescent="0.25">
      <c r="B444" t="s">
        <v>540</v>
      </c>
      <c r="C444" t="s">
        <v>1022</v>
      </c>
      <c r="D444" t="s">
        <v>14</v>
      </c>
      <c r="E444" s="7">
        <v>45749</v>
      </c>
      <c r="F444" t="s">
        <v>58</v>
      </c>
      <c r="G444">
        <v>4</v>
      </c>
      <c r="H444">
        <v>2028</v>
      </c>
      <c r="I444" t="s">
        <v>76</v>
      </c>
    </row>
    <row r="445" spans="2:9" x14ac:dyDescent="0.25">
      <c r="B445" t="s">
        <v>541</v>
      </c>
      <c r="C445" t="s">
        <v>1007</v>
      </c>
      <c r="D445" t="s">
        <v>21</v>
      </c>
      <c r="E445" s="7">
        <v>45910</v>
      </c>
      <c r="F445" t="s">
        <v>57</v>
      </c>
      <c r="G445">
        <v>10</v>
      </c>
      <c r="H445">
        <v>574</v>
      </c>
      <c r="I445" t="s">
        <v>84</v>
      </c>
    </row>
    <row r="446" spans="2:9" x14ac:dyDescent="0.25">
      <c r="B446" t="s">
        <v>542</v>
      </c>
      <c r="C446" t="s">
        <v>1010</v>
      </c>
      <c r="D446" t="s">
        <v>19</v>
      </c>
      <c r="E446" s="7">
        <v>45885</v>
      </c>
      <c r="F446" t="s">
        <v>57</v>
      </c>
      <c r="G446">
        <v>3</v>
      </c>
      <c r="H446">
        <v>495</v>
      </c>
      <c r="I446" t="s">
        <v>81</v>
      </c>
    </row>
    <row r="447" spans="2:9" x14ac:dyDescent="0.25">
      <c r="B447" t="s">
        <v>543</v>
      </c>
      <c r="C447" t="s">
        <v>1006</v>
      </c>
      <c r="D447" t="s">
        <v>21</v>
      </c>
      <c r="E447" s="7">
        <v>45941</v>
      </c>
      <c r="F447" t="s">
        <v>57</v>
      </c>
      <c r="G447">
        <v>9</v>
      </c>
      <c r="H447">
        <v>3242</v>
      </c>
      <c r="I447" t="s">
        <v>81</v>
      </c>
    </row>
    <row r="448" spans="2:9" x14ac:dyDescent="0.25">
      <c r="B448" t="s">
        <v>544</v>
      </c>
      <c r="C448" t="s">
        <v>1005</v>
      </c>
      <c r="D448" t="s">
        <v>17</v>
      </c>
      <c r="E448" s="7">
        <v>45915</v>
      </c>
      <c r="F448" t="s">
        <v>57</v>
      </c>
      <c r="G448">
        <v>6</v>
      </c>
      <c r="H448">
        <v>1630</v>
      </c>
      <c r="I448" t="s">
        <v>84</v>
      </c>
    </row>
    <row r="449" spans="2:9" x14ac:dyDescent="0.25">
      <c r="B449" t="s">
        <v>545</v>
      </c>
      <c r="C449" t="s">
        <v>1004</v>
      </c>
      <c r="D449" t="s">
        <v>21</v>
      </c>
      <c r="E449" s="7">
        <v>45811</v>
      </c>
      <c r="F449" t="s">
        <v>58</v>
      </c>
      <c r="G449">
        <v>7</v>
      </c>
      <c r="H449">
        <v>2245</v>
      </c>
      <c r="I449" t="s">
        <v>81</v>
      </c>
    </row>
    <row r="450" spans="2:9" x14ac:dyDescent="0.25">
      <c r="B450" t="s">
        <v>546</v>
      </c>
      <c r="C450" t="s">
        <v>1006</v>
      </c>
      <c r="D450" t="s">
        <v>14</v>
      </c>
      <c r="E450" s="7">
        <v>45781</v>
      </c>
      <c r="F450" t="s">
        <v>58</v>
      </c>
      <c r="G450">
        <v>6</v>
      </c>
      <c r="H450">
        <v>3039</v>
      </c>
      <c r="I450" t="s">
        <v>84</v>
      </c>
    </row>
    <row r="451" spans="2:9" x14ac:dyDescent="0.25">
      <c r="B451" t="s">
        <v>547</v>
      </c>
      <c r="C451" t="s">
        <v>1011</v>
      </c>
      <c r="D451" t="s">
        <v>27</v>
      </c>
      <c r="E451" s="7">
        <v>45966</v>
      </c>
      <c r="F451" t="s">
        <v>58</v>
      </c>
      <c r="G451">
        <v>1</v>
      </c>
      <c r="H451">
        <v>794</v>
      </c>
      <c r="I451" t="s">
        <v>81</v>
      </c>
    </row>
    <row r="452" spans="2:9" x14ac:dyDescent="0.25">
      <c r="B452" t="s">
        <v>548</v>
      </c>
      <c r="C452" t="s">
        <v>1020</v>
      </c>
      <c r="D452" t="s">
        <v>23</v>
      </c>
      <c r="E452" s="7">
        <v>45981</v>
      </c>
      <c r="F452" t="s">
        <v>57</v>
      </c>
      <c r="G452">
        <v>5</v>
      </c>
      <c r="H452">
        <v>3576</v>
      </c>
      <c r="I452" t="s">
        <v>84</v>
      </c>
    </row>
    <row r="453" spans="2:9" x14ac:dyDescent="0.25">
      <c r="B453" t="s">
        <v>549</v>
      </c>
      <c r="C453" t="s">
        <v>1007</v>
      </c>
      <c r="D453" t="s">
        <v>19</v>
      </c>
      <c r="E453" s="7">
        <v>45795</v>
      </c>
      <c r="F453" t="s">
        <v>57</v>
      </c>
      <c r="G453">
        <v>2</v>
      </c>
      <c r="H453">
        <v>3344</v>
      </c>
      <c r="I453" t="s">
        <v>76</v>
      </c>
    </row>
    <row r="454" spans="2:9" x14ac:dyDescent="0.25">
      <c r="B454" t="s">
        <v>550</v>
      </c>
      <c r="C454" t="s">
        <v>1019</v>
      </c>
      <c r="D454" t="s">
        <v>27</v>
      </c>
      <c r="E454" s="7">
        <v>45925</v>
      </c>
      <c r="F454" t="s">
        <v>58</v>
      </c>
      <c r="G454">
        <v>1</v>
      </c>
      <c r="H454">
        <v>3338</v>
      </c>
      <c r="I454" t="s">
        <v>84</v>
      </c>
    </row>
    <row r="455" spans="2:9" x14ac:dyDescent="0.25">
      <c r="B455" t="s">
        <v>551</v>
      </c>
      <c r="C455" t="s">
        <v>1016</v>
      </c>
      <c r="D455" t="s">
        <v>14</v>
      </c>
      <c r="E455" s="7">
        <v>45860</v>
      </c>
      <c r="F455" t="s">
        <v>58</v>
      </c>
      <c r="G455">
        <v>2</v>
      </c>
      <c r="H455">
        <v>653</v>
      </c>
      <c r="I455" t="s">
        <v>76</v>
      </c>
    </row>
    <row r="456" spans="2:9" x14ac:dyDescent="0.25">
      <c r="B456" t="s">
        <v>552</v>
      </c>
      <c r="C456" t="s">
        <v>1010</v>
      </c>
      <c r="D456" t="s">
        <v>21</v>
      </c>
      <c r="E456" s="7">
        <v>45854</v>
      </c>
      <c r="F456" t="s">
        <v>58</v>
      </c>
      <c r="G456">
        <v>2</v>
      </c>
      <c r="H456">
        <v>3666</v>
      </c>
      <c r="I456" t="s">
        <v>81</v>
      </c>
    </row>
    <row r="457" spans="2:9" x14ac:dyDescent="0.25">
      <c r="B457" t="s">
        <v>553</v>
      </c>
      <c r="C457" t="s">
        <v>1007</v>
      </c>
      <c r="D457" t="s">
        <v>11</v>
      </c>
      <c r="E457" s="7">
        <v>45689</v>
      </c>
      <c r="F457" t="s">
        <v>58</v>
      </c>
      <c r="G457">
        <v>7</v>
      </c>
      <c r="H457">
        <v>4648</v>
      </c>
      <c r="I457" t="s">
        <v>84</v>
      </c>
    </row>
    <row r="458" spans="2:9" x14ac:dyDescent="0.25">
      <c r="B458" t="s">
        <v>554</v>
      </c>
      <c r="C458" t="s">
        <v>1021</v>
      </c>
      <c r="D458" t="s">
        <v>14</v>
      </c>
      <c r="E458" s="7">
        <v>45833</v>
      </c>
      <c r="F458" t="s">
        <v>57</v>
      </c>
      <c r="G458">
        <v>1</v>
      </c>
      <c r="H458">
        <v>2169</v>
      </c>
      <c r="I458" t="s">
        <v>81</v>
      </c>
    </row>
    <row r="459" spans="2:9" x14ac:dyDescent="0.25">
      <c r="B459" t="s">
        <v>555</v>
      </c>
      <c r="C459" t="s">
        <v>1016</v>
      </c>
      <c r="D459" t="s">
        <v>11</v>
      </c>
      <c r="E459" s="7">
        <v>45753</v>
      </c>
      <c r="F459" t="s">
        <v>57</v>
      </c>
      <c r="G459">
        <v>5</v>
      </c>
      <c r="H459">
        <v>3596</v>
      </c>
      <c r="I459" t="s">
        <v>84</v>
      </c>
    </row>
    <row r="460" spans="2:9" x14ac:dyDescent="0.25">
      <c r="B460" t="s">
        <v>556</v>
      </c>
      <c r="C460" t="s">
        <v>1020</v>
      </c>
      <c r="D460" t="s">
        <v>17</v>
      </c>
      <c r="E460" s="7">
        <v>45813</v>
      </c>
      <c r="F460" t="s">
        <v>57</v>
      </c>
      <c r="G460">
        <v>1</v>
      </c>
      <c r="H460">
        <v>2678</v>
      </c>
      <c r="I460" t="s">
        <v>76</v>
      </c>
    </row>
    <row r="461" spans="2:9" x14ac:dyDescent="0.25">
      <c r="B461" t="s">
        <v>557</v>
      </c>
      <c r="C461" t="s">
        <v>1014</v>
      </c>
      <c r="D461" t="s">
        <v>19</v>
      </c>
      <c r="E461" s="7">
        <v>45756</v>
      </c>
      <c r="F461" t="s">
        <v>57</v>
      </c>
      <c r="G461">
        <v>7</v>
      </c>
      <c r="H461">
        <v>1954</v>
      </c>
      <c r="I461" t="s">
        <v>84</v>
      </c>
    </row>
    <row r="462" spans="2:9" x14ac:dyDescent="0.25">
      <c r="B462" t="s">
        <v>558</v>
      </c>
      <c r="C462" t="s">
        <v>1015</v>
      </c>
      <c r="D462" t="s">
        <v>27</v>
      </c>
      <c r="E462" s="7">
        <v>45691</v>
      </c>
      <c r="F462" t="s">
        <v>57</v>
      </c>
      <c r="G462">
        <v>9</v>
      </c>
      <c r="H462">
        <v>310</v>
      </c>
      <c r="I462" t="s">
        <v>81</v>
      </c>
    </row>
    <row r="463" spans="2:9" x14ac:dyDescent="0.25">
      <c r="B463" t="s">
        <v>559</v>
      </c>
      <c r="C463" t="s">
        <v>1013</v>
      </c>
      <c r="D463" t="s">
        <v>19</v>
      </c>
      <c r="E463" s="7">
        <v>45946</v>
      </c>
      <c r="F463" t="s">
        <v>57</v>
      </c>
      <c r="G463">
        <v>4</v>
      </c>
      <c r="H463">
        <v>441</v>
      </c>
      <c r="I463" t="s">
        <v>81</v>
      </c>
    </row>
    <row r="464" spans="2:9" x14ac:dyDescent="0.25">
      <c r="B464" t="s">
        <v>560</v>
      </c>
      <c r="C464" t="s">
        <v>1017</v>
      </c>
      <c r="D464" t="s">
        <v>27</v>
      </c>
      <c r="E464" s="7">
        <v>45704</v>
      </c>
      <c r="F464" t="s">
        <v>58</v>
      </c>
      <c r="G464">
        <v>4</v>
      </c>
      <c r="H464">
        <v>1389</v>
      </c>
      <c r="I464" t="s">
        <v>76</v>
      </c>
    </row>
    <row r="465" spans="2:9" x14ac:dyDescent="0.25">
      <c r="B465" t="s">
        <v>561</v>
      </c>
      <c r="C465" t="s">
        <v>1005</v>
      </c>
      <c r="D465" t="s">
        <v>11</v>
      </c>
      <c r="E465" s="7">
        <v>45883</v>
      </c>
      <c r="F465" t="s">
        <v>58</v>
      </c>
      <c r="G465">
        <v>2</v>
      </c>
      <c r="H465">
        <v>1023</v>
      </c>
      <c r="I465" t="s">
        <v>84</v>
      </c>
    </row>
    <row r="466" spans="2:9" x14ac:dyDescent="0.25">
      <c r="B466" t="s">
        <v>562</v>
      </c>
      <c r="C466" t="s">
        <v>1011</v>
      </c>
      <c r="D466" t="s">
        <v>23</v>
      </c>
      <c r="E466" s="7">
        <v>45826</v>
      </c>
      <c r="F466" t="s">
        <v>57</v>
      </c>
      <c r="G466">
        <v>7</v>
      </c>
      <c r="H466">
        <v>3521</v>
      </c>
      <c r="I466" t="s">
        <v>76</v>
      </c>
    </row>
    <row r="467" spans="2:9" x14ac:dyDescent="0.25">
      <c r="B467" t="s">
        <v>563</v>
      </c>
      <c r="C467" t="s">
        <v>1019</v>
      </c>
      <c r="D467" t="s">
        <v>14</v>
      </c>
      <c r="E467" s="7">
        <v>45953</v>
      </c>
      <c r="F467" t="s">
        <v>57</v>
      </c>
      <c r="G467">
        <v>10</v>
      </c>
      <c r="H467">
        <v>1928</v>
      </c>
      <c r="I467" t="s">
        <v>84</v>
      </c>
    </row>
    <row r="468" spans="2:9" x14ac:dyDescent="0.25">
      <c r="B468" t="s">
        <v>564</v>
      </c>
      <c r="C468" t="s">
        <v>1010</v>
      </c>
      <c r="D468" t="s">
        <v>14</v>
      </c>
      <c r="E468" s="7">
        <v>45798</v>
      </c>
      <c r="F468" t="s">
        <v>58</v>
      </c>
      <c r="G468">
        <v>4</v>
      </c>
      <c r="H468">
        <v>577</v>
      </c>
      <c r="I468" t="s">
        <v>81</v>
      </c>
    </row>
    <row r="469" spans="2:9" x14ac:dyDescent="0.25">
      <c r="B469" t="s">
        <v>565</v>
      </c>
      <c r="C469" t="s">
        <v>1007</v>
      </c>
      <c r="D469" t="s">
        <v>27</v>
      </c>
      <c r="E469" s="7">
        <v>45886</v>
      </c>
      <c r="F469" t="s">
        <v>57</v>
      </c>
      <c r="G469">
        <v>7</v>
      </c>
      <c r="H469">
        <v>2632</v>
      </c>
      <c r="I469" t="s">
        <v>84</v>
      </c>
    </row>
    <row r="470" spans="2:9" x14ac:dyDescent="0.25">
      <c r="B470" t="s">
        <v>566</v>
      </c>
      <c r="C470" t="s">
        <v>1020</v>
      </c>
      <c r="D470" t="s">
        <v>21</v>
      </c>
      <c r="E470" s="7">
        <v>45702</v>
      </c>
      <c r="F470" t="s">
        <v>58</v>
      </c>
      <c r="G470">
        <v>10</v>
      </c>
      <c r="H470">
        <v>2618</v>
      </c>
      <c r="I470" t="s">
        <v>76</v>
      </c>
    </row>
    <row r="471" spans="2:9" x14ac:dyDescent="0.25">
      <c r="B471" t="s">
        <v>567</v>
      </c>
      <c r="C471" t="s">
        <v>1019</v>
      </c>
      <c r="D471" t="s">
        <v>23</v>
      </c>
      <c r="E471" s="7">
        <v>45962</v>
      </c>
      <c r="F471" t="s">
        <v>57</v>
      </c>
      <c r="G471">
        <v>6</v>
      </c>
      <c r="H471">
        <v>3854</v>
      </c>
      <c r="I471" t="s">
        <v>84</v>
      </c>
    </row>
    <row r="472" spans="2:9" x14ac:dyDescent="0.25">
      <c r="B472" t="s">
        <v>568</v>
      </c>
      <c r="C472" t="s">
        <v>1022</v>
      </c>
      <c r="D472" t="s">
        <v>21</v>
      </c>
      <c r="E472" s="7">
        <v>45921</v>
      </c>
      <c r="F472" t="s">
        <v>58</v>
      </c>
      <c r="G472">
        <v>4</v>
      </c>
      <c r="H472">
        <v>1023</v>
      </c>
      <c r="I472" t="s">
        <v>76</v>
      </c>
    </row>
    <row r="473" spans="2:9" x14ac:dyDescent="0.25">
      <c r="B473" t="s">
        <v>569</v>
      </c>
      <c r="C473" t="s">
        <v>1021</v>
      </c>
      <c r="D473" t="s">
        <v>21</v>
      </c>
      <c r="E473" s="7">
        <v>45707</v>
      </c>
      <c r="F473" t="s">
        <v>58</v>
      </c>
      <c r="G473">
        <v>3</v>
      </c>
      <c r="H473">
        <v>2579</v>
      </c>
      <c r="I473" t="s">
        <v>84</v>
      </c>
    </row>
    <row r="474" spans="2:9" x14ac:dyDescent="0.25">
      <c r="B474" t="s">
        <v>570</v>
      </c>
      <c r="C474" t="s">
        <v>1019</v>
      </c>
      <c r="D474" t="s">
        <v>19</v>
      </c>
      <c r="E474" s="7">
        <v>45949</v>
      </c>
      <c r="F474" t="s">
        <v>58</v>
      </c>
      <c r="G474">
        <v>9</v>
      </c>
      <c r="H474">
        <v>3360</v>
      </c>
      <c r="I474" t="s">
        <v>76</v>
      </c>
    </row>
    <row r="475" spans="2:9" x14ac:dyDescent="0.25">
      <c r="B475" t="s">
        <v>571</v>
      </c>
      <c r="C475" t="s">
        <v>1009</v>
      </c>
      <c r="D475" t="s">
        <v>17</v>
      </c>
      <c r="E475" s="7">
        <v>45906</v>
      </c>
      <c r="F475" t="s">
        <v>57</v>
      </c>
      <c r="G475">
        <v>6</v>
      </c>
      <c r="H475">
        <v>2017</v>
      </c>
      <c r="I475" t="s">
        <v>81</v>
      </c>
    </row>
    <row r="476" spans="2:9" x14ac:dyDescent="0.25">
      <c r="B476" t="s">
        <v>572</v>
      </c>
      <c r="C476" t="s">
        <v>1008</v>
      </c>
      <c r="D476" t="s">
        <v>19</v>
      </c>
      <c r="E476" s="7">
        <v>45948</v>
      </c>
      <c r="F476" t="s">
        <v>57</v>
      </c>
      <c r="G476">
        <v>7</v>
      </c>
      <c r="H476">
        <v>3502</v>
      </c>
      <c r="I476" t="s">
        <v>84</v>
      </c>
    </row>
    <row r="477" spans="2:9" x14ac:dyDescent="0.25">
      <c r="B477" t="s">
        <v>573</v>
      </c>
      <c r="C477" t="s">
        <v>1008</v>
      </c>
      <c r="D477" t="s">
        <v>14</v>
      </c>
      <c r="E477" s="7">
        <v>45920</v>
      </c>
      <c r="F477" t="s">
        <v>58</v>
      </c>
      <c r="G477">
        <v>5</v>
      </c>
      <c r="H477">
        <v>1642</v>
      </c>
      <c r="I477" t="s">
        <v>84</v>
      </c>
    </row>
    <row r="478" spans="2:9" x14ac:dyDescent="0.25">
      <c r="B478" t="s">
        <v>574</v>
      </c>
      <c r="C478" t="s">
        <v>1022</v>
      </c>
      <c r="D478" t="s">
        <v>21</v>
      </c>
      <c r="E478" s="7">
        <v>45664</v>
      </c>
      <c r="F478" t="s">
        <v>57</v>
      </c>
      <c r="G478">
        <v>7</v>
      </c>
      <c r="H478">
        <v>1545</v>
      </c>
      <c r="I478" t="s">
        <v>76</v>
      </c>
    </row>
    <row r="479" spans="2:9" x14ac:dyDescent="0.25">
      <c r="B479" t="s">
        <v>575</v>
      </c>
      <c r="C479" t="s">
        <v>1011</v>
      </c>
      <c r="D479" t="s">
        <v>21</v>
      </c>
      <c r="E479" s="7">
        <v>45973</v>
      </c>
      <c r="F479" t="s">
        <v>57</v>
      </c>
      <c r="G479">
        <v>2</v>
      </c>
      <c r="H479">
        <v>2174</v>
      </c>
      <c r="I479" t="s">
        <v>76</v>
      </c>
    </row>
    <row r="480" spans="2:9" x14ac:dyDescent="0.25">
      <c r="B480" t="s">
        <v>576</v>
      </c>
      <c r="C480" t="s">
        <v>1017</v>
      </c>
      <c r="D480" t="s">
        <v>11</v>
      </c>
      <c r="E480" s="7">
        <v>45789</v>
      </c>
      <c r="F480" t="s">
        <v>58</v>
      </c>
      <c r="G480">
        <v>6</v>
      </c>
      <c r="H480">
        <v>3813</v>
      </c>
      <c r="I480" t="s">
        <v>76</v>
      </c>
    </row>
    <row r="481" spans="2:9" x14ac:dyDescent="0.25">
      <c r="B481" t="s">
        <v>577</v>
      </c>
      <c r="C481" t="s">
        <v>1013</v>
      </c>
      <c r="D481" t="s">
        <v>14</v>
      </c>
      <c r="E481" s="7">
        <v>45680</v>
      </c>
      <c r="F481" t="s">
        <v>57</v>
      </c>
      <c r="G481">
        <v>4</v>
      </c>
      <c r="H481">
        <v>599</v>
      </c>
      <c r="I481" t="s">
        <v>84</v>
      </c>
    </row>
    <row r="482" spans="2:9" x14ac:dyDescent="0.25">
      <c r="B482" t="s">
        <v>578</v>
      </c>
      <c r="C482" t="s">
        <v>1016</v>
      </c>
      <c r="D482" t="s">
        <v>14</v>
      </c>
      <c r="E482" s="7">
        <v>45876</v>
      </c>
      <c r="F482" t="s">
        <v>57</v>
      </c>
      <c r="G482">
        <v>7</v>
      </c>
      <c r="H482">
        <v>2932</v>
      </c>
      <c r="I482" t="s">
        <v>84</v>
      </c>
    </row>
    <row r="483" spans="2:9" x14ac:dyDescent="0.25">
      <c r="B483" t="s">
        <v>579</v>
      </c>
      <c r="C483" t="s">
        <v>1004</v>
      </c>
      <c r="D483" t="s">
        <v>11</v>
      </c>
      <c r="E483" s="7">
        <v>45735</v>
      </c>
      <c r="F483" t="s">
        <v>58</v>
      </c>
      <c r="G483">
        <v>7</v>
      </c>
      <c r="H483">
        <v>125</v>
      </c>
      <c r="I483" t="s">
        <v>76</v>
      </c>
    </row>
    <row r="484" spans="2:9" x14ac:dyDescent="0.25">
      <c r="B484" t="s">
        <v>580</v>
      </c>
      <c r="C484" t="s">
        <v>1007</v>
      </c>
      <c r="D484" t="s">
        <v>19</v>
      </c>
      <c r="E484" s="7">
        <v>45660</v>
      </c>
      <c r="F484" t="s">
        <v>57</v>
      </c>
      <c r="G484">
        <v>3</v>
      </c>
      <c r="H484">
        <v>2735</v>
      </c>
      <c r="I484" t="s">
        <v>76</v>
      </c>
    </row>
    <row r="485" spans="2:9" x14ac:dyDescent="0.25">
      <c r="B485" t="s">
        <v>581</v>
      </c>
      <c r="C485" t="s">
        <v>1012</v>
      </c>
      <c r="D485" t="s">
        <v>19</v>
      </c>
      <c r="E485" s="7">
        <v>45958</v>
      </c>
      <c r="F485" t="s">
        <v>57</v>
      </c>
      <c r="G485">
        <v>3</v>
      </c>
      <c r="H485">
        <v>228</v>
      </c>
      <c r="I485" t="s">
        <v>81</v>
      </c>
    </row>
    <row r="486" spans="2:9" x14ac:dyDescent="0.25">
      <c r="B486" t="s">
        <v>582</v>
      </c>
      <c r="C486" t="s">
        <v>1017</v>
      </c>
      <c r="D486" t="s">
        <v>23</v>
      </c>
      <c r="E486" s="7">
        <v>45707</v>
      </c>
      <c r="F486" t="s">
        <v>57</v>
      </c>
      <c r="G486">
        <v>1</v>
      </c>
      <c r="H486">
        <v>3318</v>
      </c>
      <c r="I486" t="s">
        <v>81</v>
      </c>
    </row>
    <row r="487" spans="2:9" x14ac:dyDescent="0.25">
      <c r="B487" t="s">
        <v>583</v>
      </c>
      <c r="C487" t="s">
        <v>1020</v>
      </c>
      <c r="D487" t="s">
        <v>23</v>
      </c>
      <c r="E487" s="7">
        <v>45775</v>
      </c>
      <c r="F487" t="s">
        <v>57</v>
      </c>
      <c r="G487">
        <v>4</v>
      </c>
      <c r="H487">
        <v>1628</v>
      </c>
      <c r="I487" t="s">
        <v>76</v>
      </c>
    </row>
    <row r="488" spans="2:9" x14ac:dyDescent="0.25">
      <c r="B488" t="s">
        <v>584</v>
      </c>
      <c r="C488" t="s">
        <v>1013</v>
      </c>
      <c r="D488" t="s">
        <v>17</v>
      </c>
      <c r="E488" s="7">
        <v>45830</v>
      </c>
      <c r="F488" t="s">
        <v>57</v>
      </c>
      <c r="G488">
        <v>1</v>
      </c>
      <c r="H488">
        <v>1044</v>
      </c>
      <c r="I488" t="s">
        <v>81</v>
      </c>
    </row>
    <row r="489" spans="2:9" x14ac:dyDescent="0.25">
      <c r="B489" t="s">
        <v>585</v>
      </c>
      <c r="C489" t="s">
        <v>1022</v>
      </c>
      <c r="D489" t="s">
        <v>23</v>
      </c>
      <c r="E489" s="7">
        <v>45845</v>
      </c>
      <c r="F489" t="s">
        <v>58</v>
      </c>
      <c r="G489">
        <v>5</v>
      </c>
      <c r="H489">
        <v>1308</v>
      </c>
      <c r="I489" t="s">
        <v>76</v>
      </c>
    </row>
    <row r="490" spans="2:9" x14ac:dyDescent="0.25">
      <c r="B490" t="s">
        <v>586</v>
      </c>
      <c r="C490" t="s">
        <v>1010</v>
      </c>
      <c r="D490" t="s">
        <v>17</v>
      </c>
      <c r="E490" s="7">
        <v>45732</v>
      </c>
      <c r="F490" t="s">
        <v>57</v>
      </c>
      <c r="G490">
        <v>4</v>
      </c>
      <c r="H490">
        <v>3482</v>
      </c>
      <c r="I490" t="s">
        <v>84</v>
      </c>
    </row>
    <row r="491" spans="2:9" x14ac:dyDescent="0.25">
      <c r="B491" t="s">
        <v>587</v>
      </c>
      <c r="C491" t="s">
        <v>1006</v>
      </c>
      <c r="D491" t="s">
        <v>19</v>
      </c>
      <c r="E491" s="7">
        <v>45912</v>
      </c>
      <c r="F491" t="s">
        <v>57</v>
      </c>
      <c r="G491">
        <v>5</v>
      </c>
      <c r="H491">
        <v>2480</v>
      </c>
      <c r="I491" t="s">
        <v>81</v>
      </c>
    </row>
    <row r="492" spans="2:9" x14ac:dyDescent="0.25">
      <c r="B492" t="s">
        <v>588</v>
      </c>
      <c r="C492" t="s">
        <v>1004</v>
      </c>
      <c r="D492" t="s">
        <v>19</v>
      </c>
      <c r="E492" s="7">
        <v>45789</v>
      </c>
      <c r="F492" t="s">
        <v>58</v>
      </c>
      <c r="G492">
        <v>4</v>
      </c>
      <c r="H492">
        <v>4502</v>
      </c>
      <c r="I492" t="s">
        <v>84</v>
      </c>
    </row>
    <row r="493" spans="2:9" x14ac:dyDescent="0.25">
      <c r="B493" t="s">
        <v>589</v>
      </c>
      <c r="C493" t="s">
        <v>1021</v>
      </c>
      <c r="D493" t="s">
        <v>27</v>
      </c>
      <c r="E493" s="7">
        <v>45674</v>
      </c>
      <c r="F493" t="s">
        <v>57</v>
      </c>
      <c r="G493">
        <v>4</v>
      </c>
      <c r="H493">
        <v>4617</v>
      </c>
      <c r="I493" t="s">
        <v>84</v>
      </c>
    </row>
    <row r="494" spans="2:9" x14ac:dyDescent="0.25">
      <c r="B494" t="s">
        <v>590</v>
      </c>
      <c r="C494" t="s">
        <v>1010</v>
      </c>
      <c r="D494" t="s">
        <v>19</v>
      </c>
      <c r="E494" s="7">
        <v>45835</v>
      </c>
      <c r="F494" t="s">
        <v>57</v>
      </c>
      <c r="G494">
        <v>7</v>
      </c>
      <c r="H494">
        <v>4201</v>
      </c>
      <c r="I494" t="s">
        <v>81</v>
      </c>
    </row>
    <row r="495" spans="2:9" x14ac:dyDescent="0.25">
      <c r="B495" t="s">
        <v>591</v>
      </c>
      <c r="C495" t="s">
        <v>1015</v>
      </c>
      <c r="D495" t="s">
        <v>23</v>
      </c>
      <c r="E495" s="7">
        <v>45716</v>
      </c>
      <c r="F495" t="s">
        <v>58</v>
      </c>
      <c r="G495">
        <v>4</v>
      </c>
      <c r="H495">
        <v>3460</v>
      </c>
      <c r="I495" t="s">
        <v>81</v>
      </c>
    </row>
    <row r="496" spans="2:9" x14ac:dyDescent="0.25">
      <c r="B496" t="s">
        <v>592</v>
      </c>
      <c r="C496" t="s">
        <v>1004</v>
      </c>
      <c r="D496" t="s">
        <v>21</v>
      </c>
      <c r="E496" s="7">
        <v>45750</v>
      </c>
      <c r="F496" t="s">
        <v>57</v>
      </c>
      <c r="G496">
        <v>3</v>
      </c>
      <c r="H496">
        <v>3923</v>
      </c>
      <c r="I496" t="s">
        <v>81</v>
      </c>
    </row>
    <row r="497" spans="2:9" x14ac:dyDescent="0.25">
      <c r="B497" t="s">
        <v>593</v>
      </c>
      <c r="C497" t="s">
        <v>1008</v>
      </c>
      <c r="D497" t="s">
        <v>23</v>
      </c>
      <c r="E497" s="7">
        <v>45965</v>
      </c>
      <c r="F497" t="s">
        <v>57</v>
      </c>
      <c r="G497">
        <v>1</v>
      </c>
      <c r="H497">
        <v>972</v>
      </c>
      <c r="I497" t="s">
        <v>76</v>
      </c>
    </row>
    <row r="498" spans="2:9" x14ac:dyDescent="0.25">
      <c r="B498" t="s">
        <v>594</v>
      </c>
      <c r="C498" t="s">
        <v>1009</v>
      </c>
      <c r="D498" t="s">
        <v>11</v>
      </c>
      <c r="E498" s="7">
        <v>45926</v>
      </c>
      <c r="F498" t="s">
        <v>57</v>
      </c>
      <c r="G498">
        <v>3</v>
      </c>
      <c r="H498">
        <v>1273</v>
      </c>
      <c r="I498" t="s">
        <v>81</v>
      </c>
    </row>
    <row r="499" spans="2:9" x14ac:dyDescent="0.25">
      <c r="B499" t="s">
        <v>595</v>
      </c>
      <c r="C499" t="s">
        <v>1011</v>
      </c>
      <c r="D499" t="s">
        <v>23</v>
      </c>
      <c r="E499" s="7">
        <v>45768</v>
      </c>
      <c r="F499" t="s">
        <v>58</v>
      </c>
      <c r="G499">
        <v>3</v>
      </c>
      <c r="H499">
        <v>364</v>
      </c>
      <c r="I499" t="s">
        <v>76</v>
      </c>
    </row>
    <row r="500" spans="2:9" x14ac:dyDescent="0.25">
      <c r="B500" t="s">
        <v>596</v>
      </c>
      <c r="C500" t="s">
        <v>1018</v>
      </c>
      <c r="D500" t="s">
        <v>21</v>
      </c>
      <c r="E500" s="7">
        <v>46014</v>
      </c>
      <c r="F500" t="s">
        <v>58</v>
      </c>
      <c r="G500">
        <v>2</v>
      </c>
      <c r="H500">
        <v>86</v>
      </c>
      <c r="I500" t="s">
        <v>84</v>
      </c>
    </row>
    <row r="501" spans="2:9" x14ac:dyDescent="0.25">
      <c r="B501" t="s">
        <v>597</v>
      </c>
      <c r="C501" t="s">
        <v>1013</v>
      </c>
      <c r="D501" t="s">
        <v>11</v>
      </c>
      <c r="E501" s="7">
        <v>45923</v>
      </c>
      <c r="F501" t="s">
        <v>57</v>
      </c>
      <c r="G501">
        <v>10</v>
      </c>
      <c r="H501">
        <v>1112</v>
      </c>
      <c r="I501" t="s">
        <v>76</v>
      </c>
    </row>
    <row r="502" spans="2:9" x14ac:dyDescent="0.25">
      <c r="B502" t="s">
        <v>598</v>
      </c>
      <c r="C502" t="s">
        <v>1008</v>
      </c>
      <c r="D502" t="s">
        <v>27</v>
      </c>
      <c r="E502" s="7">
        <v>45850</v>
      </c>
      <c r="F502" t="s">
        <v>57</v>
      </c>
      <c r="G502">
        <v>6</v>
      </c>
      <c r="H502">
        <v>458</v>
      </c>
      <c r="I502" t="s">
        <v>84</v>
      </c>
    </row>
    <row r="503" spans="2:9" x14ac:dyDescent="0.25">
      <c r="B503" t="s">
        <v>599</v>
      </c>
      <c r="C503" t="s">
        <v>1021</v>
      </c>
      <c r="D503" t="s">
        <v>11</v>
      </c>
      <c r="E503" s="7">
        <v>45949</v>
      </c>
      <c r="F503" t="s">
        <v>58</v>
      </c>
      <c r="G503">
        <v>5</v>
      </c>
      <c r="H503">
        <v>3934</v>
      </c>
      <c r="I503" t="s">
        <v>76</v>
      </c>
    </row>
    <row r="504" spans="2:9" x14ac:dyDescent="0.25">
      <c r="B504" t="s">
        <v>600</v>
      </c>
      <c r="C504" t="s">
        <v>1007</v>
      </c>
      <c r="D504" t="s">
        <v>17</v>
      </c>
      <c r="E504" s="7">
        <v>45674</v>
      </c>
      <c r="F504" t="s">
        <v>57</v>
      </c>
      <c r="G504">
        <v>3</v>
      </c>
      <c r="H504">
        <v>3732</v>
      </c>
      <c r="I504" t="s">
        <v>81</v>
      </c>
    </row>
    <row r="505" spans="2:9" x14ac:dyDescent="0.25">
      <c r="B505" t="s">
        <v>601</v>
      </c>
      <c r="C505" t="s">
        <v>1018</v>
      </c>
      <c r="D505" t="s">
        <v>19</v>
      </c>
      <c r="E505" s="7">
        <v>45768</v>
      </c>
      <c r="F505" t="s">
        <v>58</v>
      </c>
      <c r="G505">
        <v>4</v>
      </c>
      <c r="H505">
        <v>835</v>
      </c>
      <c r="I505" t="s">
        <v>76</v>
      </c>
    </row>
    <row r="506" spans="2:9" x14ac:dyDescent="0.25">
      <c r="B506" t="s">
        <v>602</v>
      </c>
      <c r="C506" t="s">
        <v>1020</v>
      </c>
      <c r="D506" t="s">
        <v>23</v>
      </c>
      <c r="E506" s="7">
        <v>45853</v>
      </c>
      <c r="F506" t="s">
        <v>58</v>
      </c>
      <c r="G506">
        <v>7</v>
      </c>
      <c r="H506">
        <v>2533</v>
      </c>
      <c r="I506" t="s">
        <v>76</v>
      </c>
    </row>
    <row r="507" spans="2:9" x14ac:dyDescent="0.25">
      <c r="B507" t="s">
        <v>603</v>
      </c>
      <c r="C507" t="s">
        <v>1011</v>
      </c>
      <c r="D507" t="s">
        <v>17</v>
      </c>
      <c r="E507" s="7">
        <v>45771</v>
      </c>
      <c r="F507" t="s">
        <v>57</v>
      </c>
      <c r="G507">
        <v>3</v>
      </c>
      <c r="H507">
        <v>4986</v>
      </c>
      <c r="I507" t="s">
        <v>81</v>
      </c>
    </row>
    <row r="508" spans="2:9" x14ac:dyDescent="0.25">
      <c r="B508" t="s">
        <v>604</v>
      </c>
      <c r="C508" t="s">
        <v>1014</v>
      </c>
      <c r="D508" t="s">
        <v>17</v>
      </c>
      <c r="E508" s="7">
        <v>45703</v>
      </c>
      <c r="F508" t="s">
        <v>58</v>
      </c>
      <c r="G508">
        <v>10</v>
      </c>
      <c r="H508">
        <v>695</v>
      </c>
      <c r="I508" t="s">
        <v>76</v>
      </c>
    </row>
    <row r="509" spans="2:9" x14ac:dyDescent="0.25">
      <c r="B509" t="s">
        <v>605</v>
      </c>
      <c r="C509" t="s">
        <v>1004</v>
      </c>
      <c r="D509" t="s">
        <v>23</v>
      </c>
      <c r="E509" s="7">
        <v>45714</v>
      </c>
      <c r="F509" t="s">
        <v>58</v>
      </c>
      <c r="G509">
        <v>4</v>
      </c>
      <c r="H509">
        <v>919</v>
      </c>
      <c r="I509" t="s">
        <v>84</v>
      </c>
    </row>
    <row r="510" spans="2:9" x14ac:dyDescent="0.25">
      <c r="B510" t="s">
        <v>606</v>
      </c>
      <c r="C510" t="s">
        <v>1011</v>
      </c>
      <c r="D510" t="s">
        <v>19</v>
      </c>
      <c r="E510" s="7">
        <v>45785</v>
      </c>
      <c r="F510" t="s">
        <v>57</v>
      </c>
      <c r="G510">
        <v>10</v>
      </c>
      <c r="H510">
        <v>3296</v>
      </c>
      <c r="I510" t="s">
        <v>84</v>
      </c>
    </row>
    <row r="511" spans="2:9" x14ac:dyDescent="0.25">
      <c r="B511" t="s">
        <v>607</v>
      </c>
      <c r="C511" t="s">
        <v>1008</v>
      </c>
      <c r="D511" t="s">
        <v>21</v>
      </c>
      <c r="E511" s="7">
        <v>45816</v>
      </c>
      <c r="F511" t="s">
        <v>57</v>
      </c>
      <c r="G511">
        <v>10</v>
      </c>
      <c r="H511">
        <v>4297</v>
      </c>
      <c r="I511" t="s">
        <v>84</v>
      </c>
    </row>
    <row r="512" spans="2:9" x14ac:dyDescent="0.25">
      <c r="B512" t="s">
        <v>608</v>
      </c>
      <c r="C512" t="s">
        <v>1014</v>
      </c>
      <c r="D512" t="s">
        <v>21</v>
      </c>
      <c r="E512" s="7">
        <v>46008</v>
      </c>
      <c r="F512" t="s">
        <v>57</v>
      </c>
      <c r="G512">
        <v>5</v>
      </c>
      <c r="H512">
        <v>1717</v>
      </c>
      <c r="I512" t="s">
        <v>81</v>
      </c>
    </row>
    <row r="513" spans="2:9" x14ac:dyDescent="0.25">
      <c r="B513" t="s">
        <v>609</v>
      </c>
      <c r="C513" t="s">
        <v>1006</v>
      </c>
      <c r="D513" t="s">
        <v>11</v>
      </c>
      <c r="E513" s="7">
        <v>45668</v>
      </c>
      <c r="F513" t="s">
        <v>57</v>
      </c>
      <c r="G513">
        <v>5</v>
      </c>
      <c r="H513">
        <v>2143</v>
      </c>
      <c r="I513" t="s">
        <v>84</v>
      </c>
    </row>
    <row r="514" spans="2:9" x14ac:dyDescent="0.25">
      <c r="B514" t="s">
        <v>610</v>
      </c>
      <c r="C514" t="s">
        <v>1009</v>
      </c>
      <c r="D514" t="s">
        <v>21</v>
      </c>
      <c r="E514" s="7">
        <v>45949</v>
      </c>
      <c r="F514" t="s">
        <v>57</v>
      </c>
      <c r="G514">
        <v>7</v>
      </c>
      <c r="H514">
        <v>3525</v>
      </c>
      <c r="I514" t="s">
        <v>84</v>
      </c>
    </row>
    <row r="515" spans="2:9" x14ac:dyDescent="0.25">
      <c r="B515" t="s">
        <v>611</v>
      </c>
      <c r="C515" t="s">
        <v>1007</v>
      </c>
      <c r="D515" t="s">
        <v>17</v>
      </c>
      <c r="E515" s="7">
        <v>46019</v>
      </c>
      <c r="F515" t="s">
        <v>57</v>
      </c>
      <c r="G515">
        <v>8</v>
      </c>
      <c r="H515">
        <v>2647</v>
      </c>
      <c r="I515" t="s">
        <v>76</v>
      </c>
    </row>
    <row r="516" spans="2:9" x14ac:dyDescent="0.25">
      <c r="B516" t="s">
        <v>612</v>
      </c>
      <c r="C516" t="s">
        <v>1018</v>
      </c>
      <c r="D516" t="s">
        <v>21</v>
      </c>
      <c r="E516" s="7">
        <v>45712</v>
      </c>
      <c r="F516" t="s">
        <v>57</v>
      </c>
      <c r="G516">
        <v>1</v>
      </c>
      <c r="H516">
        <v>2593</v>
      </c>
      <c r="I516" t="s">
        <v>84</v>
      </c>
    </row>
    <row r="517" spans="2:9" x14ac:dyDescent="0.25">
      <c r="B517" t="s">
        <v>613</v>
      </c>
      <c r="C517" t="s">
        <v>1019</v>
      </c>
      <c r="D517" t="s">
        <v>21</v>
      </c>
      <c r="E517" s="7">
        <v>45842</v>
      </c>
      <c r="F517" t="s">
        <v>57</v>
      </c>
      <c r="G517">
        <v>9</v>
      </c>
      <c r="H517">
        <v>303</v>
      </c>
      <c r="I517" t="s">
        <v>84</v>
      </c>
    </row>
    <row r="518" spans="2:9" x14ac:dyDescent="0.25">
      <c r="B518" t="s">
        <v>614</v>
      </c>
      <c r="C518" t="s">
        <v>1013</v>
      </c>
      <c r="D518" t="s">
        <v>17</v>
      </c>
      <c r="E518" s="7">
        <v>45798</v>
      </c>
      <c r="F518" t="s">
        <v>57</v>
      </c>
      <c r="G518">
        <v>2</v>
      </c>
      <c r="H518">
        <v>3999</v>
      </c>
      <c r="I518" t="s">
        <v>84</v>
      </c>
    </row>
    <row r="519" spans="2:9" x14ac:dyDescent="0.25">
      <c r="B519" t="s">
        <v>615</v>
      </c>
      <c r="C519" t="s">
        <v>1020</v>
      </c>
      <c r="D519" t="s">
        <v>21</v>
      </c>
      <c r="E519" s="7">
        <v>45779</v>
      </c>
      <c r="F519" t="s">
        <v>58</v>
      </c>
      <c r="G519">
        <v>10</v>
      </c>
      <c r="H519">
        <v>813</v>
      </c>
      <c r="I519" t="s">
        <v>76</v>
      </c>
    </row>
    <row r="520" spans="2:9" x14ac:dyDescent="0.25">
      <c r="B520" t="s">
        <v>616</v>
      </c>
      <c r="C520" t="s">
        <v>1009</v>
      </c>
      <c r="D520" t="s">
        <v>21</v>
      </c>
      <c r="E520" s="7">
        <v>45755</v>
      </c>
      <c r="F520" t="s">
        <v>58</v>
      </c>
      <c r="G520">
        <v>10</v>
      </c>
      <c r="H520">
        <v>4104</v>
      </c>
      <c r="I520" t="s">
        <v>76</v>
      </c>
    </row>
    <row r="521" spans="2:9" x14ac:dyDescent="0.25">
      <c r="B521" t="s">
        <v>617</v>
      </c>
      <c r="C521" t="s">
        <v>1010</v>
      </c>
      <c r="D521" t="s">
        <v>21</v>
      </c>
      <c r="E521" s="7">
        <v>45784</v>
      </c>
      <c r="F521" t="s">
        <v>57</v>
      </c>
      <c r="G521">
        <v>8</v>
      </c>
      <c r="H521">
        <v>1159</v>
      </c>
      <c r="I521" t="s">
        <v>81</v>
      </c>
    </row>
    <row r="522" spans="2:9" x14ac:dyDescent="0.25">
      <c r="B522" t="s">
        <v>618</v>
      </c>
      <c r="C522" t="s">
        <v>1013</v>
      </c>
      <c r="D522" t="s">
        <v>11</v>
      </c>
      <c r="E522" s="7">
        <v>45946</v>
      </c>
      <c r="F522" t="s">
        <v>57</v>
      </c>
      <c r="G522">
        <v>7</v>
      </c>
      <c r="H522">
        <v>514</v>
      </c>
      <c r="I522" t="s">
        <v>76</v>
      </c>
    </row>
    <row r="523" spans="2:9" x14ac:dyDescent="0.25">
      <c r="B523" t="s">
        <v>619</v>
      </c>
      <c r="C523" t="s">
        <v>1012</v>
      </c>
      <c r="D523" t="s">
        <v>11</v>
      </c>
      <c r="E523" s="7">
        <v>45821</v>
      </c>
      <c r="F523" t="s">
        <v>58</v>
      </c>
      <c r="G523">
        <v>10</v>
      </c>
      <c r="H523">
        <v>4554</v>
      </c>
      <c r="I523" t="s">
        <v>76</v>
      </c>
    </row>
    <row r="524" spans="2:9" x14ac:dyDescent="0.25">
      <c r="B524" t="s">
        <v>620</v>
      </c>
      <c r="C524" t="s">
        <v>1015</v>
      </c>
      <c r="D524" t="s">
        <v>14</v>
      </c>
      <c r="E524" s="7">
        <v>45716</v>
      </c>
      <c r="F524" t="s">
        <v>57</v>
      </c>
      <c r="G524">
        <v>6</v>
      </c>
      <c r="H524">
        <v>2045</v>
      </c>
      <c r="I524" t="s">
        <v>76</v>
      </c>
    </row>
    <row r="525" spans="2:9" x14ac:dyDescent="0.25">
      <c r="B525" t="s">
        <v>621</v>
      </c>
      <c r="C525" t="s">
        <v>1007</v>
      </c>
      <c r="D525" t="s">
        <v>23</v>
      </c>
      <c r="E525" s="7">
        <v>45708</v>
      </c>
      <c r="F525" t="s">
        <v>57</v>
      </c>
      <c r="G525">
        <v>6</v>
      </c>
      <c r="H525">
        <v>509</v>
      </c>
      <c r="I525" t="s">
        <v>84</v>
      </c>
    </row>
    <row r="526" spans="2:9" x14ac:dyDescent="0.25">
      <c r="B526" t="s">
        <v>622</v>
      </c>
      <c r="C526" t="s">
        <v>1016</v>
      </c>
      <c r="D526" t="s">
        <v>21</v>
      </c>
      <c r="E526" s="7">
        <v>45934</v>
      </c>
      <c r="F526" t="s">
        <v>58</v>
      </c>
      <c r="G526">
        <v>5</v>
      </c>
      <c r="H526">
        <v>3812</v>
      </c>
      <c r="I526" t="s">
        <v>76</v>
      </c>
    </row>
    <row r="527" spans="2:9" x14ac:dyDescent="0.25">
      <c r="B527" t="s">
        <v>623</v>
      </c>
      <c r="C527" t="s">
        <v>1019</v>
      </c>
      <c r="D527" t="s">
        <v>19</v>
      </c>
      <c r="E527" s="7">
        <v>45968</v>
      </c>
      <c r="F527" t="s">
        <v>58</v>
      </c>
      <c r="G527">
        <v>9</v>
      </c>
      <c r="H527">
        <v>4688</v>
      </c>
      <c r="I527" t="s">
        <v>84</v>
      </c>
    </row>
    <row r="528" spans="2:9" x14ac:dyDescent="0.25">
      <c r="B528" t="s">
        <v>624</v>
      </c>
      <c r="C528" t="s">
        <v>1004</v>
      </c>
      <c r="D528" t="s">
        <v>27</v>
      </c>
      <c r="E528" s="7">
        <v>45774</v>
      </c>
      <c r="F528" t="s">
        <v>58</v>
      </c>
      <c r="G528">
        <v>2</v>
      </c>
      <c r="H528">
        <v>2176</v>
      </c>
      <c r="I528" t="s">
        <v>76</v>
      </c>
    </row>
    <row r="529" spans="2:9" x14ac:dyDescent="0.25">
      <c r="B529" t="s">
        <v>625</v>
      </c>
      <c r="C529" t="s">
        <v>1005</v>
      </c>
      <c r="D529" t="s">
        <v>23</v>
      </c>
      <c r="E529" s="7">
        <v>45855</v>
      </c>
      <c r="F529" t="s">
        <v>58</v>
      </c>
      <c r="G529">
        <v>5</v>
      </c>
      <c r="H529">
        <v>4111</v>
      </c>
      <c r="I529" t="s">
        <v>76</v>
      </c>
    </row>
    <row r="530" spans="2:9" x14ac:dyDescent="0.25">
      <c r="B530" t="s">
        <v>626</v>
      </c>
      <c r="C530" t="s">
        <v>1016</v>
      </c>
      <c r="D530" t="s">
        <v>11</v>
      </c>
      <c r="E530" s="7">
        <v>45975</v>
      </c>
      <c r="F530" t="s">
        <v>58</v>
      </c>
      <c r="G530">
        <v>8</v>
      </c>
      <c r="H530">
        <v>4707</v>
      </c>
      <c r="I530" t="s">
        <v>81</v>
      </c>
    </row>
    <row r="531" spans="2:9" x14ac:dyDescent="0.25">
      <c r="B531" t="s">
        <v>627</v>
      </c>
      <c r="C531" t="s">
        <v>1011</v>
      </c>
      <c r="D531" t="s">
        <v>21</v>
      </c>
      <c r="E531" s="7">
        <v>45729</v>
      </c>
      <c r="F531" t="s">
        <v>57</v>
      </c>
      <c r="G531">
        <v>1</v>
      </c>
      <c r="H531">
        <v>1991</v>
      </c>
      <c r="I531" t="s">
        <v>81</v>
      </c>
    </row>
    <row r="532" spans="2:9" x14ac:dyDescent="0.25">
      <c r="B532" t="s">
        <v>628</v>
      </c>
      <c r="C532" t="s">
        <v>1007</v>
      </c>
      <c r="D532" t="s">
        <v>23</v>
      </c>
      <c r="E532" s="7">
        <v>45814</v>
      </c>
      <c r="F532" t="s">
        <v>58</v>
      </c>
      <c r="G532">
        <v>9</v>
      </c>
      <c r="H532">
        <v>295</v>
      </c>
      <c r="I532" t="s">
        <v>84</v>
      </c>
    </row>
    <row r="533" spans="2:9" x14ac:dyDescent="0.25">
      <c r="B533" t="s">
        <v>629</v>
      </c>
      <c r="C533" t="s">
        <v>1022</v>
      </c>
      <c r="D533" t="s">
        <v>19</v>
      </c>
      <c r="E533" s="7">
        <v>45741</v>
      </c>
      <c r="F533" t="s">
        <v>58</v>
      </c>
      <c r="G533">
        <v>8</v>
      </c>
      <c r="H533">
        <v>2783</v>
      </c>
      <c r="I533" t="s">
        <v>81</v>
      </c>
    </row>
    <row r="534" spans="2:9" x14ac:dyDescent="0.25">
      <c r="B534" t="s">
        <v>630</v>
      </c>
      <c r="C534" t="s">
        <v>1012</v>
      </c>
      <c r="D534" t="s">
        <v>27</v>
      </c>
      <c r="E534" s="7">
        <v>45919</v>
      </c>
      <c r="F534" t="s">
        <v>58</v>
      </c>
      <c r="G534">
        <v>1</v>
      </c>
      <c r="H534">
        <v>3979</v>
      </c>
      <c r="I534" t="s">
        <v>81</v>
      </c>
    </row>
    <row r="535" spans="2:9" x14ac:dyDescent="0.25">
      <c r="B535" t="s">
        <v>631</v>
      </c>
      <c r="C535" t="s">
        <v>1019</v>
      </c>
      <c r="D535" t="s">
        <v>19</v>
      </c>
      <c r="E535" s="7">
        <v>45692</v>
      </c>
      <c r="F535" t="s">
        <v>57</v>
      </c>
      <c r="G535">
        <v>9</v>
      </c>
      <c r="H535">
        <v>2224</v>
      </c>
      <c r="I535" t="s">
        <v>81</v>
      </c>
    </row>
    <row r="536" spans="2:9" x14ac:dyDescent="0.25">
      <c r="B536" t="s">
        <v>632</v>
      </c>
      <c r="C536" t="s">
        <v>1016</v>
      </c>
      <c r="D536" t="s">
        <v>21</v>
      </c>
      <c r="E536" s="7">
        <v>45770</v>
      </c>
      <c r="F536" t="s">
        <v>58</v>
      </c>
      <c r="G536">
        <v>2</v>
      </c>
      <c r="H536">
        <v>2160</v>
      </c>
      <c r="I536" t="s">
        <v>81</v>
      </c>
    </row>
    <row r="537" spans="2:9" x14ac:dyDescent="0.25">
      <c r="B537" t="s">
        <v>633</v>
      </c>
      <c r="C537" t="s">
        <v>1012</v>
      </c>
      <c r="D537" t="s">
        <v>19</v>
      </c>
      <c r="E537" s="7">
        <v>45949</v>
      </c>
      <c r="F537" t="s">
        <v>58</v>
      </c>
      <c r="G537">
        <v>9</v>
      </c>
      <c r="H537">
        <v>2282</v>
      </c>
      <c r="I537" t="s">
        <v>76</v>
      </c>
    </row>
    <row r="538" spans="2:9" x14ac:dyDescent="0.25">
      <c r="B538" t="s">
        <v>634</v>
      </c>
      <c r="C538" t="s">
        <v>1006</v>
      </c>
      <c r="D538" t="s">
        <v>27</v>
      </c>
      <c r="E538" s="7">
        <v>45708</v>
      </c>
      <c r="F538" t="s">
        <v>57</v>
      </c>
      <c r="G538">
        <v>4</v>
      </c>
      <c r="H538">
        <v>2406</v>
      </c>
      <c r="I538" t="s">
        <v>76</v>
      </c>
    </row>
    <row r="539" spans="2:9" x14ac:dyDescent="0.25">
      <c r="B539" t="s">
        <v>635</v>
      </c>
      <c r="C539" t="s">
        <v>1022</v>
      </c>
      <c r="D539" t="s">
        <v>21</v>
      </c>
      <c r="E539" s="7">
        <v>45755</v>
      </c>
      <c r="F539" t="s">
        <v>58</v>
      </c>
      <c r="G539">
        <v>5</v>
      </c>
      <c r="H539">
        <v>1184</v>
      </c>
      <c r="I539" t="s">
        <v>84</v>
      </c>
    </row>
    <row r="540" spans="2:9" x14ac:dyDescent="0.25">
      <c r="B540" t="s">
        <v>636</v>
      </c>
      <c r="C540" t="s">
        <v>1011</v>
      </c>
      <c r="D540" t="s">
        <v>27</v>
      </c>
      <c r="E540" s="7">
        <v>45799</v>
      </c>
      <c r="F540" t="s">
        <v>57</v>
      </c>
      <c r="G540">
        <v>2</v>
      </c>
      <c r="H540">
        <v>3570</v>
      </c>
      <c r="I540" t="s">
        <v>81</v>
      </c>
    </row>
    <row r="541" spans="2:9" x14ac:dyDescent="0.25">
      <c r="B541" t="s">
        <v>637</v>
      </c>
      <c r="C541" t="s">
        <v>1004</v>
      </c>
      <c r="D541" t="s">
        <v>23</v>
      </c>
      <c r="E541" s="7">
        <v>46018</v>
      </c>
      <c r="F541" t="s">
        <v>57</v>
      </c>
      <c r="G541">
        <v>9</v>
      </c>
      <c r="H541">
        <v>3387</v>
      </c>
      <c r="I541" t="s">
        <v>81</v>
      </c>
    </row>
    <row r="542" spans="2:9" x14ac:dyDescent="0.25">
      <c r="B542" t="s">
        <v>638</v>
      </c>
      <c r="C542" t="s">
        <v>1019</v>
      </c>
      <c r="D542" t="s">
        <v>11</v>
      </c>
      <c r="E542" s="7">
        <v>45886</v>
      </c>
      <c r="F542" t="s">
        <v>57</v>
      </c>
      <c r="G542">
        <v>2</v>
      </c>
      <c r="H542">
        <v>766</v>
      </c>
      <c r="I542" t="s">
        <v>76</v>
      </c>
    </row>
    <row r="543" spans="2:9" x14ac:dyDescent="0.25">
      <c r="B543" t="s">
        <v>639</v>
      </c>
      <c r="C543" t="s">
        <v>1016</v>
      </c>
      <c r="D543" t="s">
        <v>21</v>
      </c>
      <c r="E543" s="7">
        <v>45804</v>
      </c>
      <c r="F543" t="s">
        <v>58</v>
      </c>
      <c r="G543">
        <v>2</v>
      </c>
      <c r="H543">
        <v>4630</v>
      </c>
      <c r="I543" t="s">
        <v>76</v>
      </c>
    </row>
    <row r="544" spans="2:9" x14ac:dyDescent="0.25">
      <c r="B544" t="s">
        <v>640</v>
      </c>
      <c r="C544" t="s">
        <v>1017</v>
      </c>
      <c r="D544" t="s">
        <v>21</v>
      </c>
      <c r="E544" s="7">
        <v>45812</v>
      </c>
      <c r="F544" t="s">
        <v>58</v>
      </c>
      <c r="G544">
        <v>3</v>
      </c>
      <c r="H544">
        <v>320</v>
      </c>
      <c r="I544" t="s">
        <v>81</v>
      </c>
    </row>
    <row r="545" spans="2:9" x14ac:dyDescent="0.25">
      <c r="B545" t="s">
        <v>641</v>
      </c>
      <c r="C545" t="s">
        <v>1005</v>
      </c>
      <c r="D545" t="s">
        <v>11</v>
      </c>
      <c r="E545" s="7">
        <v>45798</v>
      </c>
      <c r="F545" t="s">
        <v>58</v>
      </c>
      <c r="G545">
        <v>1</v>
      </c>
      <c r="H545">
        <v>1897</v>
      </c>
      <c r="I545" t="s">
        <v>76</v>
      </c>
    </row>
    <row r="546" spans="2:9" x14ac:dyDescent="0.25">
      <c r="B546" t="s">
        <v>642</v>
      </c>
      <c r="C546" t="s">
        <v>1014</v>
      </c>
      <c r="D546" t="s">
        <v>11</v>
      </c>
      <c r="E546" s="7">
        <v>45973</v>
      </c>
      <c r="F546" t="s">
        <v>57</v>
      </c>
      <c r="G546">
        <v>7</v>
      </c>
      <c r="H546">
        <v>4819</v>
      </c>
      <c r="I546" t="s">
        <v>81</v>
      </c>
    </row>
    <row r="547" spans="2:9" x14ac:dyDescent="0.25">
      <c r="B547" t="s">
        <v>643</v>
      </c>
      <c r="C547" t="s">
        <v>1005</v>
      </c>
      <c r="D547" t="s">
        <v>23</v>
      </c>
      <c r="E547" s="7">
        <v>45661</v>
      </c>
      <c r="F547" t="s">
        <v>58</v>
      </c>
      <c r="G547">
        <v>3</v>
      </c>
      <c r="H547">
        <v>3379</v>
      </c>
      <c r="I547" t="s">
        <v>84</v>
      </c>
    </row>
    <row r="548" spans="2:9" x14ac:dyDescent="0.25">
      <c r="B548" t="s">
        <v>644</v>
      </c>
      <c r="C548" t="s">
        <v>1020</v>
      </c>
      <c r="D548" t="s">
        <v>21</v>
      </c>
      <c r="E548" s="7">
        <v>45683</v>
      </c>
      <c r="F548" t="s">
        <v>57</v>
      </c>
      <c r="G548">
        <v>8</v>
      </c>
      <c r="H548">
        <v>3153</v>
      </c>
      <c r="I548" t="s">
        <v>76</v>
      </c>
    </row>
    <row r="549" spans="2:9" x14ac:dyDescent="0.25">
      <c r="B549" t="s">
        <v>645</v>
      </c>
      <c r="C549" t="s">
        <v>1014</v>
      </c>
      <c r="D549" t="s">
        <v>14</v>
      </c>
      <c r="E549" s="7">
        <v>45904</v>
      </c>
      <c r="F549" t="s">
        <v>58</v>
      </c>
      <c r="G549">
        <v>9</v>
      </c>
      <c r="H549">
        <v>3569</v>
      </c>
      <c r="I549" t="s">
        <v>76</v>
      </c>
    </row>
    <row r="550" spans="2:9" x14ac:dyDescent="0.25">
      <c r="B550" t="s">
        <v>646</v>
      </c>
      <c r="C550" t="s">
        <v>1014</v>
      </c>
      <c r="D550" t="s">
        <v>21</v>
      </c>
      <c r="E550" s="7">
        <v>45843</v>
      </c>
      <c r="F550" t="s">
        <v>57</v>
      </c>
      <c r="G550">
        <v>2</v>
      </c>
      <c r="H550">
        <v>399</v>
      </c>
      <c r="I550" t="s">
        <v>81</v>
      </c>
    </row>
    <row r="551" spans="2:9" x14ac:dyDescent="0.25">
      <c r="B551" t="s">
        <v>647</v>
      </c>
      <c r="C551" t="s">
        <v>1015</v>
      </c>
      <c r="D551" t="s">
        <v>21</v>
      </c>
      <c r="E551" s="7">
        <v>46017</v>
      </c>
      <c r="F551" t="s">
        <v>58</v>
      </c>
      <c r="G551">
        <v>1</v>
      </c>
      <c r="H551">
        <v>3189</v>
      </c>
      <c r="I551" t="s">
        <v>84</v>
      </c>
    </row>
    <row r="552" spans="2:9" x14ac:dyDescent="0.25">
      <c r="B552" t="s">
        <v>648</v>
      </c>
      <c r="C552" t="s">
        <v>1018</v>
      </c>
      <c r="D552" t="s">
        <v>23</v>
      </c>
      <c r="E552" s="7">
        <v>45995</v>
      </c>
      <c r="F552" t="s">
        <v>57</v>
      </c>
      <c r="G552">
        <v>9</v>
      </c>
      <c r="H552">
        <v>2883</v>
      </c>
      <c r="I552" t="s">
        <v>81</v>
      </c>
    </row>
    <row r="553" spans="2:9" x14ac:dyDescent="0.25">
      <c r="B553" t="s">
        <v>649</v>
      </c>
      <c r="C553" t="s">
        <v>1017</v>
      </c>
      <c r="D553" t="s">
        <v>23</v>
      </c>
      <c r="E553" s="7">
        <v>45840</v>
      </c>
      <c r="F553" t="s">
        <v>57</v>
      </c>
      <c r="G553">
        <v>5</v>
      </c>
      <c r="H553">
        <v>4202</v>
      </c>
      <c r="I553" t="s">
        <v>81</v>
      </c>
    </row>
    <row r="554" spans="2:9" x14ac:dyDescent="0.25">
      <c r="B554" t="s">
        <v>650</v>
      </c>
      <c r="C554" t="s">
        <v>1004</v>
      </c>
      <c r="D554" t="s">
        <v>21</v>
      </c>
      <c r="E554" s="7">
        <v>45803</v>
      </c>
      <c r="F554" t="s">
        <v>58</v>
      </c>
      <c r="G554">
        <v>9</v>
      </c>
      <c r="H554">
        <v>3228</v>
      </c>
      <c r="I554" t="s">
        <v>81</v>
      </c>
    </row>
    <row r="555" spans="2:9" x14ac:dyDescent="0.25">
      <c r="B555" t="s">
        <v>651</v>
      </c>
      <c r="C555" t="s">
        <v>1017</v>
      </c>
      <c r="D555" t="s">
        <v>23</v>
      </c>
      <c r="E555" s="7">
        <v>45909</v>
      </c>
      <c r="F555" t="s">
        <v>58</v>
      </c>
      <c r="G555">
        <v>9</v>
      </c>
      <c r="H555">
        <v>4838</v>
      </c>
      <c r="I555" t="s">
        <v>81</v>
      </c>
    </row>
    <row r="556" spans="2:9" x14ac:dyDescent="0.25">
      <c r="B556" t="s">
        <v>652</v>
      </c>
      <c r="C556" t="s">
        <v>1007</v>
      </c>
      <c r="D556" t="s">
        <v>21</v>
      </c>
      <c r="E556" s="7">
        <v>45986</v>
      </c>
      <c r="F556" t="s">
        <v>58</v>
      </c>
      <c r="G556">
        <v>8</v>
      </c>
      <c r="H556">
        <v>289</v>
      </c>
      <c r="I556" t="s">
        <v>76</v>
      </c>
    </row>
    <row r="557" spans="2:9" x14ac:dyDescent="0.25">
      <c r="B557" t="s">
        <v>653</v>
      </c>
      <c r="C557" t="s">
        <v>1021</v>
      </c>
      <c r="D557" t="s">
        <v>23</v>
      </c>
      <c r="E557" s="7">
        <v>45888</v>
      </c>
      <c r="F557" t="s">
        <v>57</v>
      </c>
      <c r="G557">
        <v>2</v>
      </c>
      <c r="H557">
        <v>4573</v>
      </c>
      <c r="I557" t="s">
        <v>81</v>
      </c>
    </row>
    <row r="558" spans="2:9" x14ac:dyDescent="0.25">
      <c r="B558" t="s">
        <v>654</v>
      </c>
      <c r="C558" t="s">
        <v>1006</v>
      </c>
      <c r="D558" t="s">
        <v>21</v>
      </c>
      <c r="E558" s="7">
        <v>45980</v>
      </c>
      <c r="F558" t="s">
        <v>57</v>
      </c>
      <c r="G558">
        <v>2</v>
      </c>
      <c r="H558">
        <v>4123</v>
      </c>
      <c r="I558" t="s">
        <v>76</v>
      </c>
    </row>
    <row r="559" spans="2:9" x14ac:dyDescent="0.25">
      <c r="B559" t="s">
        <v>655</v>
      </c>
      <c r="C559" t="s">
        <v>1004</v>
      </c>
      <c r="D559" t="s">
        <v>17</v>
      </c>
      <c r="E559" s="7">
        <v>46001</v>
      </c>
      <c r="F559" t="s">
        <v>58</v>
      </c>
      <c r="G559">
        <v>9</v>
      </c>
      <c r="H559">
        <v>4125</v>
      </c>
      <c r="I559" t="s">
        <v>81</v>
      </c>
    </row>
    <row r="560" spans="2:9" x14ac:dyDescent="0.25">
      <c r="B560" t="s">
        <v>656</v>
      </c>
      <c r="C560" t="s">
        <v>1017</v>
      </c>
      <c r="D560" t="s">
        <v>27</v>
      </c>
      <c r="E560" s="7">
        <v>45751</v>
      </c>
      <c r="F560" t="s">
        <v>57</v>
      </c>
      <c r="G560">
        <v>10</v>
      </c>
      <c r="H560">
        <v>1130</v>
      </c>
      <c r="I560" t="s">
        <v>81</v>
      </c>
    </row>
    <row r="561" spans="2:9" x14ac:dyDescent="0.25">
      <c r="B561" t="s">
        <v>657</v>
      </c>
      <c r="C561" t="s">
        <v>1007</v>
      </c>
      <c r="D561" t="s">
        <v>27</v>
      </c>
      <c r="E561" s="7">
        <v>45863</v>
      </c>
      <c r="F561" t="s">
        <v>57</v>
      </c>
      <c r="G561">
        <v>3</v>
      </c>
      <c r="H561">
        <v>480</v>
      </c>
      <c r="I561" t="s">
        <v>81</v>
      </c>
    </row>
    <row r="562" spans="2:9" x14ac:dyDescent="0.25">
      <c r="B562" t="s">
        <v>658</v>
      </c>
      <c r="C562" t="s">
        <v>1013</v>
      </c>
      <c r="D562" t="s">
        <v>21</v>
      </c>
      <c r="E562" s="7">
        <v>45973</v>
      </c>
      <c r="F562" t="s">
        <v>57</v>
      </c>
      <c r="G562">
        <v>3</v>
      </c>
      <c r="H562">
        <v>3861</v>
      </c>
      <c r="I562" t="s">
        <v>84</v>
      </c>
    </row>
    <row r="563" spans="2:9" x14ac:dyDescent="0.25">
      <c r="B563" t="s">
        <v>659</v>
      </c>
      <c r="C563" t="s">
        <v>1019</v>
      </c>
      <c r="D563" t="s">
        <v>21</v>
      </c>
      <c r="E563" s="7">
        <v>45809</v>
      </c>
      <c r="F563" t="s">
        <v>57</v>
      </c>
      <c r="G563">
        <v>4</v>
      </c>
      <c r="H563">
        <v>1828</v>
      </c>
      <c r="I563" t="s">
        <v>81</v>
      </c>
    </row>
    <row r="564" spans="2:9" x14ac:dyDescent="0.25">
      <c r="B564" t="s">
        <v>660</v>
      </c>
      <c r="C564" t="s">
        <v>1011</v>
      </c>
      <c r="D564" t="s">
        <v>21</v>
      </c>
      <c r="E564" s="7">
        <v>45987</v>
      </c>
      <c r="F564" t="s">
        <v>58</v>
      </c>
      <c r="G564">
        <v>6</v>
      </c>
      <c r="H564">
        <v>1204</v>
      </c>
      <c r="I564" t="s">
        <v>76</v>
      </c>
    </row>
    <row r="565" spans="2:9" x14ac:dyDescent="0.25">
      <c r="B565" t="s">
        <v>661</v>
      </c>
      <c r="C565" t="s">
        <v>1008</v>
      </c>
      <c r="D565" t="s">
        <v>27</v>
      </c>
      <c r="E565" s="7">
        <v>45680</v>
      </c>
      <c r="F565" t="s">
        <v>58</v>
      </c>
      <c r="G565">
        <v>1</v>
      </c>
      <c r="H565">
        <v>2663</v>
      </c>
      <c r="I565" t="s">
        <v>84</v>
      </c>
    </row>
    <row r="566" spans="2:9" x14ac:dyDescent="0.25">
      <c r="B566" t="s">
        <v>662</v>
      </c>
      <c r="C566" t="s">
        <v>1006</v>
      </c>
      <c r="D566" t="s">
        <v>21</v>
      </c>
      <c r="E566" s="7">
        <v>45969</v>
      </c>
      <c r="F566" t="s">
        <v>58</v>
      </c>
      <c r="G566">
        <v>5</v>
      </c>
      <c r="H566">
        <v>3220</v>
      </c>
      <c r="I566" t="s">
        <v>84</v>
      </c>
    </row>
    <row r="567" spans="2:9" x14ac:dyDescent="0.25">
      <c r="B567" t="s">
        <v>663</v>
      </c>
      <c r="C567" t="s">
        <v>1009</v>
      </c>
      <c r="D567" t="s">
        <v>11</v>
      </c>
      <c r="E567" s="7">
        <v>45942</v>
      </c>
      <c r="F567" t="s">
        <v>58</v>
      </c>
      <c r="G567">
        <v>7</v>
      </c>
      <c r="H567">
        <v>3705</v>
      </c>
      <c r="I567" t="s">
        <v>84</v>
      </c>
    </row>
    <row r="568" spans="2:9" x14ac:dyDescent="0.25">
      <c r="B568" t="s">
        <v>664</v>
      </c>
      <c r="C568" t="s">
        <v>1005</v>
      </c>
      <c r="D568" t="s">
        <v>19</v>
      </c>
      <c r="E568" s="7">
        <v>45817</v>
      </c>
      <c r="F568" t="s">
        <v>57</v>
      </c>
      <c r="G568">
        <v>10</v>
      </c>
      <c r="H568">
        <v>1289</v>
      </c>
      <c r="I568" t="s">
        <v>84</v>
      </c>
    </row>
    <row r="569" spans="2:9" x14ac:dyDescent="0.25">
      <c r="B569" t="s">
        <v>665</v>
      </c>
      <c r="C569" t="s">
        <v>1008</v>
      </c>
      <c r="D569" t="s">
        <v>21</v>
      </c>
      <c r="E569" s="7">
        <v>45912</v>
      </c>
      <c r="F569" t="s">
        <v>57</v>
      </c>
      <c r="G569">
        <v>8</v>
      </c>
      <c r="H569">
        <v>1939</v>
      </c>
      <c r="I569" t="s">
        <v>76</v>
      </c>
    </row>
    <row r="570" spans="2:9" x14ac:dyDescent="0.25">
      <c r="B570" t="s">
        <v>666</v>
      </c>
      <c r="C570" t="s">
        <v>1007</v>
      </c>
      <c r="D570" t="s">
        <v>23</v>
      </c>
      <c r="E570" s="7">
        <v>45844</v>
      </c>
      <c r="F570" t="s">
        <v>58</v>
      </c>
      <c r="G570">
        <v>2</v>
      </c>
      <c r="H570">
        <v>2980</v>
      </c>
      <c r="I570" t="s">
        <v>76</v>
      </c>
    </row>
    <row r="571" spans="2:9" x14ac:dyDescent="0.25">
      <c r="B571" t="s">
        <v>667</v>
      </c>
      <c r="C571" t="s">
        <v>1013</v>
      </c>
      <c r="D571" t="s">
        <v>27</v>
      </c>
      <c r="E571" s="7">
        <v>45916</v>
      </c>
      <c r="F571" t="s">
        <v>57</v>
      </c>
      <c r="G571">
        <v>1</v>
      </c>
      <c r="H571">
        <v>574</v>
      </c>
      <c r="I571" t="s">
        <v>81</v>
      </c>
    </row>
    <row r="572" spans="2:9" x14ac:dyDescent="0.25">
      <c r="B572" t="s">
        <v>668</v>
      </c>
      <c r="C572" t="s">
        <v>1009</v>
      </c>
      <c r="D572" t="s">
        <v>14</v>
      </c>
      <c r="E572" s="7">
        <v>45847</v>
      </c>
      <c r="F572" t="s">
        <v>58</v>
      </c>
      <c r="G572">
        <v>4</v>
      </c>
      <c r="H572">
        <v>2164</v>
      </c>
      <c r="I572" t="s">
        <v>81</v>
      </c>
    </row>
    <row r="573" spans="2:9" x14ac:dyDescent="0.25">
      <c r="B573" t="s">
        <v>669</v>
      </c>
      <c r="C573" t="s">
        <v>1010</v>
      </c>
      <c r="D573" t="s">
        <v>23</v>
      </c>
      <c r="E573" s="7">
        <v>45711</v>
      </c>
      <c r="F573" t="s">
        <v>58</v>
      </c>
      <c r="G573">
        <v>7</v>
      </c>
      <c r="H573">
        <v>4066</v>
      </c>
      <c r="I573" t="s">
        <v>76</v>
      </c>
    </row>
    <row r="574" spans="2:9" x14ac:dyDescent="0.25">
      <c r="B574" t="s">
        <v>670</v>
      </c>
      <c r="C574" t="s">
        <v>1019</v>
      </c>
      <c r="D574" t="s">
        <v>19</v>
      </c>
      <c r="E574" s="7">
        <v>45908</v>
      </c>
      <c r="F574" t="s">
        <v>57</v>
      </c>
      <c r="G574">
        <v>4</v>
      </c>
      <c r="H574">
        <v>3918</v>
      </c>
      <c r="I574" t="s">
        <v>84</v>
      </c>
    </row>
    <row r="575" spans="2:9" x14ac:dyDescent="0.25">
      <c r="B575" t="s">
        <v>671</v>
      </c>
      <c r="C575" t="s">
        <v>1004</v>
      </c>
      <c r="D575" t="s">
        <v>11</v>
      </c>
      <c r="E575" s="7">
        <v>45913</v>
      </c>
      <c r="F575" t="s">
        <v>58</v>
      </c>
      <c r="G575">
        <v>9</v>
      </c>
      <c r="H575">
        <v>3173</v>
      </c>
      <c r="I575" t="s">
        <v>84</v>
      </c>
    </row>
    <row r="576" spans="2:9" x14ac:dyDescent="0.25">
      <c r="B576" t="s">
        <v>672</v>
      </c>
      <c r="C576" t="s">
        <v>1005</v>
      </c>
      <c r="D576" t="s">
        <v>21</v>
      </c>
      <c r="E576" s="7">
        <v>45957</v>
      </c>
      <c r="F576" t="s">
        <v>57</v>
      </c>
      <c r="G576">
        <v>1</v>
      </c>
      <c r="H576">
        <v>4606</v>
      </c>
      <c r="I576" t="s">
        <v>84</v>
      </c>
    </row>
    <row r="577" spans="2:9" x14ac:dyDescent="0.25">
      <c r="B577" t="s">
        <v>673</v>
      </c>
      <c r="C577" t="s">
        <v>1021</v>
      </c>
      <c r="D577" t="s">
        <v>17</v>
      </c>
      <c r="E577" s="7">
        <v>45715</v>
      </c>
      <c r="F577" t="s">
        <v>58</v>
      </c>
      <c r="G577">
        <v>2</v>
      </c>
      <c r="H577">
        <v>4842</v>
      </c>
      <c r="I577" t="s">
        <v>76</v>
      </c>
    </row>
    <row r="578" spans="2:9" x14ac:dyDescent="0.25">
      <c r="B578" t="s">
        <v>674</v>
      </c>
      <c r="C578" t="s">
        <v>1016</v>
      </c>
      <c r="D578" t="s">
        <v>11</v>
      </c>
      <c r="E578" s="7">
        <v>45945</v>
      </c>
      <c r="F578" t="s">
        <v>58</v>
      </c>
      <c r="G578">
        <v>7</v>
      </c>
      <c r="H578">
        <v>1832</v>
      </c>
      <c r="I578" t="s">
        <v>81</v>
      </c>
    </row>
    <row r="579" spans="2:9" x14ac:dyDescent="0.25">
      <c r="B579" t="s">
        <v>675</v>
      </c>
      <c r="C579" t="s">
        <v>1008</v>
      </c>
      <c r="D579" t="s">
        <v>19</v>
      </c>
      <c r="E579" s="7">
        <v>45842</v>
      </c>
      <c r="F579" t="s">
        <v>57</v>
      </c>
      <c r="G579">
        <v>3</v>
      </c>
      <c r="H579">
        <v>2320</v>
      </c>
      <c r="I579" t="s">
        <v>81</v>
      </c>
    </row>
    <row r="580" spans="2:9" x14ac:dyDescent="0.25">
      <c r="B580" t="s">
        <v>676</v>
      </c>
      <c r="C580" t="s">
        <v>1018</v>
      </c>
      <c r="D580" t="s">
        <v>19</v>
      </c>
      <c r="E580" s="7">
        <v>45999</v>
      </c>
      <c r="F580" t="s">
        <v>57</v>
      </c>
      <c r="G580">
        <v>5</v>
      </c>
      <c r="H580">
        <v>4412</v>
      </c>
      <c r="I580" t="s">
        <v>81</v>
      </c>
    </row>
    <row r="581" spans="2:9" x14ac:dyDescent="0.25">
      <c r="B581" t="s">
        <v>677</v>
      </c>
      <c r="C581" t="s">
        <v>1021</v>
      </c>
      <c r="D581" t="s">
        <v>23</v>
      </c>
      <c r="E581" s="7">
        <v>45742</v>
      </c>
      <c r="F581" t="s">
        <v>57</v>
      </c>
      <c r="G581">
        <v>4</v>
      </c>
      <c r="H581">
        <v>64</v>
      </c>
      <c r="I581" t="s">
        <v>81</v>
      </c>
    </row>
    <row r="582" spans="2:9" x14ac:dyDescent="0.25">
      <c r="B582" t="s">
        <v>678</v>
      </c>
      <c r="C582" t="s">
        <v>1007</v>
      </c>
      <c r="D582" t="s">
        <v>21</v>
      </c>
      <c r="E582" s="7">
        <v>45896</v>
      </c>
      <c r="F582" t="s">
        <v>57</v>
      </c>
      <c r="G582">
        <v>1</v>
      </c>
      <c r="H582">
        <v>2481</v>
      </c>
      <c r="I582" t="s">
        <v>81</v>
      </c>
    </row>
    <row r="583" spans="2:9" x14ac:dyDescent="0.25">
      <c r="B583" t="s">
        <v>679</v>
      </c>
      <c r="C583" t="s">
        <v>1012</v>
      </c>
      <c r="D583" t="s">
        <v>23</v>
      </c>
      <c r="E583" s="7">
        <v>45948</v>
      </c>
      <c r="F583" t="s">
        <v>57</v>
      </c>
      <c r="G583">
        <v>7</v>
      </c>
      <c r="H583">
        <v>3774</v>
      </c>
      <c r="I583" t="s">
        <v>81</v>
      </c>
    </row>
    <row r="584" spans="2:9" x14ac:dyDescent="0.25">
      <c r="B584" t="s">
        <v>680</v>
      </c>
      <c r="C584" t="s">
        <v>1004</v>
      </c>
      <c r="D584" t="s">
        <v>21</v>
      </c>
      <c r="E584" s="7">
        <v>45878</v>
      </c>
      <c r="F584" t="s">
        <v>57</v>
      </c>
      <c r="G584">
        <v>6</v>
      </c>
      <c r="H584">
        <v>2362</v>
      </c>
      <c r="I584" t="s">
        <v>84</v>
      </c>
    </row>
    <row r="585" spans="2:9" x14ac:dyDescent="0.25">
      <c r="B585" t="s">
        <v>681</v>
      </c>
      <c r="C585" t="s">
        <v>1019</v>
      </c>
      <c r="D585" t="s">
        <v>11</v>
      </c>
      <c r="E585" s="7">
        <v>45709</v>
      </c>
      <c r="F585" t="s">
        <v>58</v>
      </c>
      <c r="G585">
        <v>7</v>
      </c>
      <c r="H585">
        <v>473</v>
      </c>
      <c r="I585" t="s">
        <v>81</v>
      </c>
    </row>
    <row r="586" spans="2:9" x14ac:dyDescent="0.25">
      <c r="B586" t="s">
        <v>682</v>
      </c>
      <c r="C586" t="s">
        <v>1009</v>
      </c>
      <c r="D586" t="s">
        <v>23</v>
      </c>
      <c r="E586" s="7">
        <v>45947</v>
      </c>
      <c r="F586" t="s">
        <v>58</v>
      </c>
      <c r="G586">
        <v>1</v>
      </c>
      <c r="H586">
        <v>1662</v>
      </c>
      <c r="I586" t="s">
        <v>76</v>
      </c>
    </row>
    <row r="587" spans="2:9" x14ac:dyDescent="0.25">
      <c r="B587" t="s">
        <v>683</v>
      </c>
      <c r="C587" t="s">
        <v>1013</v>
      </c>
      <c r="D587" t="s">
        <v>23</v>
      </c>
      <c r="E587" s="7">
        <v>45775</v>
      </c>
      <c r="F587" t="s">
        <v>57</v>
      </c>
      <c r="G587">
        <v>2</v>
      </c>
      <c r="H587">
        <v>3333</v>
      </c>
      <c r="I587" t="s">
        <v>84</v>
      </c>
    </row>
    <row r="588" spans="2:9" x14ac:dyDescent="0.25">
      <c r="B588" t="s">
        <v>684</v>
      </c>
      <c r="C588" t="s">
        <v>1022</v>
      </c>
      <c r="D588" t="s">
        <v>21</v>
      </c>
      <c r="E588" s="7">
        <v>45780</v>
      </c>
      <c r="F588" t="s">
        <v>58</v>
      </c>
      <c r="G588">
        <v>10</v>
      </c>
      <c r="H588">
        <v>4214</v>
      </c>
      <c r="I588" t="s">
        <v>76</v>
      </c>
    </row>
    <row r="589" spans="2:9" x14ac:dyDescent="0.25">
      <c r="B589" t="s">
        <v>685</v>
      </c>
      <c r="C589" t="s">
        <v>1008</v>
      </c>
      <c r="D589" t="s">
        <v>27</v>
      </c>
      <c r="E589" s="7">
        <v>45850</v>
      </c>
      <c r="F589" t="s">
        <v>58</v>
      </c>
      <c r="G589">
        <v>3</v>
      </c>
      <c r="H589">
        <v>1866</v>
      </c>
      <c r="I589" t="s">
        <v>76</v>
      </c>
    </row>
    <row r="590" spans="2:9" x14ac:dyDescent="0.25">
      <c r="B590" t="s">
        <v>686</v>
      </c>
      <c r="C590" t="s">
        <v>1015</v>
      </c>
      <c r="D590" t="s">
        <v>17</v>
      </c>
      <c r="E590" s="7">
        <v>46005</v>
      </c>
      <c r="F590" t="s">
        <v>58</v>
      </c>
      <c r="G590">
        <v>9</v>
      </c>
      <c r="H590">
        <v>153</v>
      </c>
      <c r="I590" t="s">
        <v>81</v>
      </c>
    </row>
    <row r="591" spans="2:9" x14ac:dyDescent="0.25">
      <c r="B591" t="s">
        <v>687</v>
      </c>
      <c r="C591" t="s">
        <v>1015</v>
      </c>
      <c r="D591" t="s">
        <v>17</v>
      </c>
      <c r="E591" s="7">
        <v>45815</v>
      </c>
      <c r="F591" t="s">
        <v>58</v>
      </c>
      <c r="G591">
        <v>3</v>
      </c>
      <c r="H591">
        <v>1773</v>
      </c>
      <c r="I591" t="s">
        <v>81</v>
      </c>
    </row>
    <row r="592" spans="2:9" x14ac:dyDescent="0.25">
      <c r="B592" t="s">
        <v>688</v>
      </c>
      <c r="C592" t="s">
        <v>1008</v>
      </c>
      <c r="D592" t="s">
        <v>21</v>
      </c>
      <c r="E592" s="7">
        <v>45675</v>
      </c>
      <c r="F592" t="s">
        <v>58</v>
      </c>
      <c r="G592">
        <v>8</v>
      </c>
      <c r="H592">
        <v>785</v>
      </c>
      <c r="I592" t="s">
        <v>76</v>
      </c>
    </row>
    <row r="593" spans="2:9" x14ac:dyDescent="0.25">
      <c r="B593" t="s">
        <v>689</v>
      </c>
      <c r="C593" t="s">
        <v>1005</v>
      </c>
      <c r="D593" t="s">
        <v>17</v>
      </c>
      <c r="E593" s="7">
        <v>45658</v>
      </c>
      <c r="F593" t="s">
        <v>58</v>
      </c>
      <c r="G593">
        <v>6</v>
      </c>
      <c r="H593">
        <v>40</v>
      </c>
      <c r="I593" t="s">
        <v>81</v>
      </c>
    </row>
    <row r="594" spans="2:9" x14ac:dyDescent="0.25">
      <c r="B594" t="s">
        <v>690</v>
      </c>
      <c r="C594" t="s">
        <v>1013</v>
      </c>
      <c r="D594" t="s">
        <v>11</v>
      </c>
      <c r="E594" s="7">
        <v>45919</v>
      </c>
      <c r="F594" t="s">
        <v>57</v>
      </c>
      <c r="G594">
        <v>8</v>
      </c>
      <c r="H594">
        <v>3714</v>
      </c>
      <c r="I594" t="s">
        <v>81</v>
      </c>
    </row>
    <row r="595" spans="2:9" x14ac:dyDescent="0.25">
      <c r="B595" t="s">
        <v>691</v>
      </c>
      <c r="C595" t="s">
        <v>1012</v>
      </c>
      <c r="D595" t="s">
        <v>11</v>
      </c>
      <c r="E595" s="7">
        <v>45728</v>
      </c>
      <c r="F595" t="s">
        <v>58</v>
      </c>
      <c r="G595">
        <v>1</v>
      </c>
      <c r="H595">
        <v>4856</v>
      </c>
      <c r="I595" t="s">
        <v>81</v>
      </c>
    </row>
    <row r="596" spans="2:9" x14ac:dyDescent="0.25">
      <c r="B596" t="s">
        <v>692</v>
      </c>
      <c r="C596" t="s">
        <v>1019</v>
      </c>
      <c r="D596" t="s">
        <v>14</v>
      </c>
      <c r="E596" s="7">
        <v>45744</v>
      </c>
      <c r="F596" t="s">
        <v>58</v>
      </c>
      <c r="G596">
        <v>3</v>
      </c>
      <c r="H596">
        <v>2814</v>
      </c>
      <c r="I596" t="s">
        <v>76</v>
      </c>
    </row>
    <row r="597" spans="2:9" x14ac:dyDescent="0.25">
      <c r="B597" t="s">
        <v>693</v>
      </c>
      <c r="C597" t="s">
        <v>1004</v>
      </c>
      <c r="D597" t="s">
        <v>21</v>
      </c>
      <c r="E597" s="7">
        <v>45762</v>
      </c>
      <c r="F597" t="s">
        <v>57</v>
      </c>
      <c r="G597">
        <v>8</v>
      </c>
      <c r="H597">
        <v>754</v>
      </c>
      <c r="I597" t="s">
        <v>84</v>
      </c>
    </row>
    <row r="598" spans="2:9" x14ac:dyDescent="0.25">
      <c r="B598" t="s">
        <v>694</v>
      </c>
      <c r="C598" t="s">
        <v>1004</v>
      </c>
      <c r="D598" t="s">
        <v>23</v>
      </c>
      <c r="E598" s="7">
        <v>45967</v>
      </c>
      <c r="F598" t="s">
        <v>57</v>
      </c>
      <c r="G598">
        <v>10</v>
      </c>
      <c r="H598">
        <v>3162</v>
      </c>
      <c r="I598" t="s">
        <v>84</v>
      </c>
    </row>
    <row r="599" spans="2:9" x14ac:dyDescent="0.25">
      <c r="B599" t="s">
        <v>695</v>
      </c>
      <c r="C599" t="s">
        <v>1013</v>
      </c>
      <c r="D599" t="s">
        <v>23</v>
      </c>
      <c r="E599" s="7">
        <v>46007</v>
      </c>
      <c r="F599" t="s">
        <v>57</v>
      </c>
      <c r="G599">
        <v>10</v>
      </c>
      <c r="H599">
        <v>3396</v>
      </c>
      <c r="I599" t="s">
        <v>84</v>
      </c>
    </row>
    <row r="600" spans="2:9" x14ac:dyDescent="0.25">
      <c r="B600" t="s">
        <v>696</v>
      </c>
      <c r="C600" t="s">
        <v>1010</v>
      </c>
      <c r="D600" t="s">
        <v>11</v>
      </c>
      <c r="E600" s="7">
        <v>45813</v>
      </c>
      <c r="F600" t="s">
        <v>57</v>
      </c>
      <c r="G600">
        <v>8</v>
      </c>
      <c r="H600">
        <v>1119</v>
      </c>
      <c r="I600" t="s">
        <v>81</v>
      </c>
    </row>
    <row r="601" spans="2:9" x14ac:dyDescent="0.25">
      <c r="B601" t="s">
        <v>697</v>
      </c>
      <c r="C601" t="s">
        <v>1017</v>
      </c>
      <c r="D601" t="s">
        <v>11</v>
      </c>
      <c r="E601" s="7">
        <v>45992</v>
      </c>
      <c r="F601" t="s">
        <v>58</v>
      </c>
      <c r="G601">
        <v>2</v>
      </c>
      <c r="H601">
        <v>4786</v>
      </c>
      <c r="I601" t="s">
        <v>76</v>
      </c>
    </row>
    <row r="602" spans="2:9" x14ac:dyDescent="0.25">
      <c r="B602" t="s">
        <v>698</v>
      </c>
      <c r="C602" t="s">
        <v>1013</v>
      </c>
      <c r="D602" t="s">
        <v>17</v>
      </c>
      <c r="E602" s="7">
        <v>45993</v>
      </c>
      <c r="F602" t="s">
        <v>57</v>
      </c>
      <c r="G602">
        <v>8</v>
      </c>
      <c r="H602">
        <v>4254</v>
      </c>
      <c r="I602" t="s">
        <v>84</v>
      </c>
    </row>
    <row r="603" spans="2:9" x14ac:dyDescent="0.25">
      <c r="B603" t="s">
        <v>699</v>
      </c>
      <c r="C603" t="s">
        <v>1017</v>
      </c>
      <c r="D603" t="s">
        <v>19</v>
      </c>
      <c r="E603" s="7">
        <v>45827</v>
      </c>
      <c r="F603" t="s">
        <v>58</v>
      </c>
      <c r="G603">
        <v>2</v>
      </c>
      <c r="H603">
        <v>3154</v>
      </c>
      <c r="I603" t="s">
        <v>81</v>
      </c>
    </row>
    <row r="604" spans="2:9" x14ac:dyDescent="0.25">
      <c r="B604" t="s">
        <v>700</v>
      </c>
      <c r="C604" t="s">
        <v>1021</v>
      </c>
      <c r="D604" t="s">
        <v>14</v>
      </c>
      <c r="E604" s="7">
        <v>45844</v>
      </c>
      <c r="F604" t="s">
        <v>57</v>
      </c>
      <c r="G604">
        <v>5</v>
      </c>
      <c r="H604">
        <v>1458</v>
      </c>
      <c r="I604" t="s">
        <v>84</v>
      </c>
    </row>
    <row r="605" spans="2:9" x14ac:dyDescent="0.25">
      <c r="B605" t="s">
        <v>701</v>
      </c>
      <c r="C605" t="s">
        <v>1013</v>
      </c>
      <c r="D605" t="s">
        <v>14</v>
      </c>
      <c r="E605" s="7">
        <v>45914</v>
      </c>
      <c r="F605" t="s">
        <v>57</v>
      </c>
      <c r="G605">
        <v>1</v>
      </c>
      <c r="H605">
        <v>2954</v>
      </c>
      <c r="I605" t="s">
        <v>84</v>
      </c>
    </row>
    <row r="606" spans="2:9" x14ac:dyDescent="0.25">
      <c r="B606" t="s">
        <v>702</v>
      </c>
      <c r="C606" t="s">
        <v>1014</v>
      </c>
      <c r="D606" t="s">
        <v>19</v>
      </c>
      <c r="E606" s="7">
        <v>45908</v>
      </c>
      <c r="F606" t="s">
        <v>58</v>
      </c>
      <c r="G606">
        <v>6</v>
      </c>
      <c r="H606">
        <v>2790</v>
      </c>
      <c r="I606" t="s">
        <v>84</v>
      </c>
    </row>
    <row r="607" spans="2:9" x14ac:dyDescent="0.25">
      <c r="B607" t="s">
        <v>703</v>
      </c>
      <c r="C607" t="s">
        <v>1013</v>
      </c>
      <c r="D607" t="s">
        <v>21</v>
      </c>
      <c r="E607" s="7">
        <v>45799</v>
      </c>
      <c r="F607" t="s">
        <v>58</v>
      </c>
      <c r="G607">
        <v>10</v>
      </c>
      <c r="H607">
        <v>4907</v>
      </c>
      <c r="I607" t="s">
        <v>76</v>
      </c>
    </row>
    <row r="608" spans="2:9" x14ac:dyDescent="0.25">
      <c r="B608" t="s">
        <v>704</v>
      </c>
      <c r="C608" t="s">
        <v>1007</v>
      </c>
      <c r="D608" t="s">
        <v>14</v>
      </c>
      <c r="E608" s="7">
        <v>45661</v>
      </c>
      <c r="F608" t="s">
        <v>58</v>
      </c>
      <c r="G608">
        <v>9</v>
      </c>
      <c r="H608">
        <v>4610</v>
      </c>
      <c r="I608" t="s">
        <v>84</v>
      </c>
    </row>
    <row r="609" spans="2:9" x14ac:dyDescent="0.25">
      <c r="B609" t="s">
        <v>705</v>
      </c>
      <c r="C609" t="s">
        <v>1020</v>
      </c>
      <c r="D609" t="s">
        <v>23</v>
      </c>
      <c r="E609" s="7">
        <v>45775</v>
      </c>
      <c r="F609" t="s">
        <v>57</v>
      </c>
      <c r="G609">
        <v>7</v>
      </c>
      <c r="H609">
        <v>1016</v>
      </c>
      <c r="I609" t="s">
        <v>76</v>
      </c>
    </row>
    <row r="610" spans="2:9" x14ac:dyDescent="0.25">
      <c r="B610" t="s">
        <v>706</v>
      </c>
      <c r="C610" t="s">
        <v>1011</v>
      </c>
      <c r="D610" t="s">
        <v>23</v>
      </c>
      <c r="E610" s="7">
        <v>45895</v>
      </c>
      <c r="F610" t="s">
        <v>58</v>
      </c>
      <c r="G610">
        <v>6</v>
      </c>
      <c r="H610">
        <v>4527</v>
      </c>
      <c r="I610" t="s">
        <v>84</v>
      </c>
    </row>
    <row r="611" spans="2:9" x14ac:dyDescent="0.25">
      <c r="B611" t="s">
        <v>707</v>
      </c>
      <c r="C611" t="s">
        <v>1004</v>
      </c>
      <c r="D611" t="s">
        <v>17</v>
      </c>
      <c r="E611" s="7">
        <v>45804</v>
      </c>
      <c r="F611" t="s">
        <v>58</v>
      </c>
      <c r="G611">
        <v>8</v>
      </c>
      <c r="H611">
        <v>4453</v>
      </c>
      <c r="I611" t="s">
        <v>76</v>
      </c>
    </row>
    <row r="612" spans="2:9" x14ac:dyDescent="0.25">
      <c r="B612" t="s">
        <v>708</v>
      </c>
      <c r="C612" t="s">
        <v>1017</v>
      </c>
      <c r="D612" t="s">
        <v>27</v>
      </c>
      <c r="E612" s="7">
        <v>45901</v>
      </c>
      <c r="F612" t="s">
        <v>57</v>
      </c>
      <c r="G612">
        <v>1</v>
      </c>
      <c r="H612">
        <v>1391</v>
      </c>
      <c r="I612" t="s">
        <v>81</v>
      </c>
    </row>
    <row r="613" spans="2:9" x14ac:dyDescent="0.25">
      <c r="B613" t="s">
        <v>709</v>
      </c>
      <c r="C613" t="s">
        <v>1017</v>
      </c>
      <c r="D613" t="s">
        <v>21</v>
      </c>
      <c r="E613" s="7">
        <v>45732</v>
      </c>
      <c r="F613" t="s">
        <v>58</v>
      </c>
      <c r="G613">
        <v>3</v>
      </c>
      <c r="H613">
        <v>4731</v>
      </c>
      <c r="I613" t="s">
        <v>81</v>
      </c>
    </row>
    <row r="614" spans="2:9" x14ac:dyDescent="0.25">
      <c r="B614" t="s">
        <v>710</v>
      </c>
      <c r="C614" t="s">
        <v>1009</v>
      </c>
      <c r="D614" t="s">
        <v>17</v>
      </c>
      <c r="E614" s="7">
        <v>45839</v>
      </c>
      <c r="F614" t="s">
        <v>58</v>
      </c>
      <c r="G614">
        <v>10</v>
      </c>
      <c r="H614">
        <v>282</v>
      </c>
      <c r="I614" t="s">
        <v>84</v>
      </c>
    </row>
    <row r="615" spans="2:9" x14ac:dyDescent="0.25">
      <c r="B615" t="s">
        <v>711</v>
      </c>
      <c r="C615" t="s">
        <v>1022</v>
      </c>
      <c r="D615" t="s">
        <v>14</v>
      </c>
      <c r="E615" s="7">
        <v>45693</v>
      </c>
      <c r="F615" t="s">
        <v>58</v>
      </c>
      <c r="G615">
        <v>7</v>
      </c>
      <c r="H615">
        <v>2570</v>
      </c>
      <c r="I615" t="s">
        <v>84</v>
      </c>
    </row>
    <row r="616" spans="2:9" x14ac:dyDescent="0.25">
      <c r="B616" t="s">
        <v>712</v>
      </c>
      <c r="C616" t="s">
        <v>1015</v>
      </c>
      <c r="D616" t="s">
        <v>11</v>
      </c>
      <c r="E616" s="7">
        <v>45681</v>
      </c>
      <c r="F616" t="s">
        <v>58</v>
      </c>
      <c r="G616">
        <v>4</v>
      </c>
      <c r="H616">
        <v>2542</v>
      </c>
      <c r="I616" t="s">
        <v>84</v>
      </c>
    </row>
    <row r="617" spans="2:9" x14ac:dyDescent="0.25">
      <c r="B617" t="s">
        <v>713</v>
      </c>
      <c r="C617" t="s">
        <v>1013</v>
      </c>
      <c r="D617" t="s">
        <v>21</v>
      </c>
      <c r="E617" s="7">
        <v>45695</v>
      </c>
      <c r="F617" t="s">
        <v>57</v>
      </c>
      <c r="G617">
        <v>3</v>
      </c>
      <c r="H617">
        <v>4916</v>
      </c>
      <c r="I617" t="s">
        <v>81</v>
      </c>
    </row>
    <row r="618" spans="2:9" x14ac:dyDescent="0.25">
      <c r="B618" t="s">
        <v>714</v>
      </c>
      <c r="C618" t="s">
        <v>1022</v>
      </c>
      <c r="D618" t="s">
        <v>21</v>
      </c>
      <c r="E618" s="7">
        <v>45705</v>
      </c>
      <c r="F618" t="s">
        <v>58</v>
      </c>
      <c r="G618">
        <v>3</v>
      </c>
      <c r="H618">
        <v>796</v>
      </c>
      <c r="I618" t="s">
        <v>81</v>
      </c>
    </row>
    <row r="619" spans="2:9" x14ac:dyDescent="0.25">
      <c r="B619" t="s">
        <v>715</v>
      </c>
      <c r="C619" t="s">
        <v>1005</v>
      </c>
      <c r="D619" t="s">
        <v>27</v>
      </c>
      <c r="E619" s="7">
        <v>45731</v>
      </c>
      <c r="F619" t="s">
        <v>57</v>
      </c>
      <c r="G619">
        <v>1</v>
      </c>
      <c r="H619">
        <v>37</v>
      </c>
      <c r="I619" t="s">
        <v>76</v>
      </c>
    </row>
    <row r="620" spans="2:9" x14ac:dyDescent="0.25">
      <c r="B620" t="s">
        <v>716</v>
      </c>
      <c r="C620" t="s">
        <v>1013</v>
      </c>
      <c r="D620" t="s">
        <v>21</v>
      </c>
      <c r="E620" s="7">
        <v>45979</v>
      </c>
      <c r="F620" t="s">
        <v>57</v>
      </c>
      <c r="G620">
        <v>1</v>
      </c>
      <c r="H620">
        <v>3859</v>
      </c>
      <c r="I620" t="s">
        <v>84</v>
      </c>
    </row>
    <row r="621" spans="2:9" x14ac:dyDescent="0.25">
      <c r="B621" t="s">
        <v>717</v>
      </c>
      <c r="C621" t="s">
        <v>1021</v>
      </c>
      <c r="D621" t="s">
        <v>19</v>
      </c>
      <c r="E621" s="7">
        <v>45931</v>
      </c>
      <c r="F621" t="s">
        <v>57</v>
      </c>
      <c r="G621">
        <v>9</v>
      </c>
      <c r="H621">
        <v>2350</v>
      </c>
      <c r="I621" t="s">
        <v>81</v>
      </c>
    </row>
    <row r="622" spans="2:9" x14ac:dyDescent="0.25">
      <c r="B622" t="s">
        <v>718</v>
      </c>
      <c r="C622" t="s">
        <v>1010</v>
      </c>
      <c r="D622" t="s">
        <v>21</v>
      </c>
      <c r="E622" s="7">
        <v>45980</v>
      </c>
      <c r="F622" t="s">
        <v>58</v>
      </c>
      <c r="G622">
        <v>5</v>
      </c>
      <c r="H622">
        <v>1865</v>
      </c>
      <c r="I622" t="s">
        <v>76</v>
      </c>
    </row>
    <row r="623" spans="2:9" x14ac:dyDescent="0.25">
      <c r="B623" t="s">
        <v>719</v>
      </c>
      <c r="C623" t="s">
        <v>1021</v>
      </c>
      <c r="D623" t="s">
        <v>19</v>
      </c>
      <c r="E623" s="7">
        <v>45805</v>
      </c>
      <c r="F623" t="s">
        <v>57</v>
      </c>
      <c r="G623">
        <v>2</v>
      </c>
      <c r="H623">
        <v>2612</v>
      </c>
      <c r="I623" t="s">
        <v>76</v>
      </c>
    </row>
    <row r="624" spans="2:9" x14ac:dyDescent="0.25">
      <c r="B624" t="s">
        <v>720</v>
      </c>
      <c r="C624" t="s">
        <v>1019</v>
      </c>
      <c r="D624" t="s">
        <v>11</v>
      </c>
      <c r="E624" s="7">
        <v>45944</v>
      </c>
      <c r="F624" t="s">
        <v>57</v>
      </c>
      <c r="G624">
        <v>5</v>
      </c>
      <c r="H624">
        <v>1139</v>
      </c>
      <c r="I624" t="s">
        <v>76</v>
      </c>
    </row>
    <row r="625" spans="2:9" x14ac:dyDescent="0.25">
      <c r="B625" t="s">
        <v>721</v>
      </c>
      <c r="C625" t="s">
        <v>1014</v>
      </c>
      <c r="D625" t="s">
        <v>23</v>
      </c>
      <c r="E625" s="7">
        <v>45988</v>
      </c>
      <c r="F625" t="s">
        <v>57</v>
      </c>
      <c r="G625">
        <v>4</v>
      </c>
      <c r="H625">
        <v>2790</v>
      </c>
      <c r="I625" t="s">
        <v>81</v>
      </c>
    </row>
    <row r="626" spans="2:9" x14ac:dyDescent="0.25">
      <c r="B626" t="s">
        <v>722</v>
      </c>
      <c r="C626" t="s">
        <v>1021</v>
      </c>
      <c r="D626" t="s">
        <v>14</v>
      </c>
      <c r="E626" s="7">
        <v>45846</v>
      </c>
      <c r="F626" t="s">
        <v>58</v>
      </c>
      <c r="G626">
        <v>1</v>
      </c>
      <c r="H626">
        <v>4269</v>
      </c>
      <c r="I626" t="s">
        <v>81</v>
      </c>
    </row>
    <row r="627" spans="2:9" x14ac:dyDescent="0.25">
      <c r="B627" t="s">
        <v>723</v>
      </c>
      <c r="C627" t="s">
        <v>1022</v>
      </c>
      <c r="D627" t="s">
        <v>19</v>
      </c>
      <c r="E627" s="7">
        <v>45735</v>
      </c>
      <c r="F627" t="s">
        <v>58</v>
      </c>
      <c r="G627">
        <v>3</v>
      </c>
      <c r="H627">
        <v>1113</v>
      </c>
      <c r="I627" t="s">
        <v>84</v>
      </c>
    </row>
    <row r="628" spans="2:9" x14ac:dyDescent="0.25">
      <c r="B628" t="s">
        <v>724</v>
      </c>
      <c r="C628" t="s">
        <v>1019</v>
      </c>
      <c r="D628" t="s">
        <v>19</v>
      </c>
      <c r="E628" s="7">
        <v>45788</v>
      </c>
      <c r="F628" t="s">
        <v>58</v>
      </c>
      <c r="G628">
        <v>9</v>
      </c>
      <c r="H628">
        <v>143</v>
      </c>
      <c r="I628" t="s">
        <v>76</v>
      </c>
    </row>
    <row r="629" spans="2:9" x14ac:dyDescent="0.25">
      <c r="B629" t="s">
        <v>725</v>
      </c>
      <c r="C629" t="s">
        <v>1005</v>
      </c>
      <c r="D629" t="s">
        <v>21</v>
      </c>
      <c r="E629" s="7">
        <v>45964</v>
      </c>
      <c r="F629" t="s">
        <v>57</v>
      </c>
      <c r="G629">
        <v>10</v>
      </c>
      <c r="H629">
        <v>2035</v>
      </c>
      <c r="I629" t="s">
        <v>76</v>
      </c>
    </row>
    <row r="630" spans="2:9" x14ac:dyDescent="0.25">
      <c r="B630" t="s">
        <v>726</v>
      </c>
      <c r="C630" t="s">
        <v>1012</v>
      </c>
      <c r="D630" t="s">
        <v>27</v>
      </c>
      <c r="E630" s="7">
        <v>45942</v>
      </c>
      <c r="F630" t="s">
        <v>58</v>
      </c>
      <c r="G630">
        <v>3</v>
      </c>
      <c r="H630">
        <v>3804</v>
      </c>
      <c r="I630" t="s">
        <v>84</v>
      </c>
    </row>
    <row r="631" spans="2:9" x14ac:dyDescent="0.25">
      <c r="B631" t="s">
        <v>727</v>
      </c>
      <c r="C631" t="s">
        <v>1006</v>
      </c>
      <c r="D631" t="s">
        <v>23</v>
      </c>
      <c r="E631" s="7">
        <v>45822</v>
      </c>
      <c r="F631" t="s">
        <v>58</v>
      </c>
      <c r="G631">
        <v>7</v>
      </c>
      <c r="H631">
        <v>1297</v>
      </c>
      <c r="I631" t="s">
        <v>84</v>
      </c>
    </row>
    <row r="632" spans="2:9" x14ac:dyDescent="0.25">
      <c r="B632" t="s">
        <v>728</v>
      </c>
      <c r="C632" t="s">
        <v>1018</v>
      </c>
      <c r="D632" t="s">
        <v>19</v>
      </c>
      <c r="E632" s="7">
        <v>45787</v>
      </c>
      <c r="F632" t="s">
        <v>58</v>
      </c>
      <c r="G632">
        <v>5</v>
      </c>
      <c r="H632">
        <v>1649</v>
      </c>
      <c r="I632" t="s">
        <v>81</v>
      </c>
    </row>
    <row r="633" spans="2:9" x14ac:dyDescent="0.25">
      <c r="B633" t="s">
        <v>729</v>
      </c>
      <c r="C633" t="s">
        <v>1016</v>
      </c>
      <c r="D633" t="s">
        <v>21</v>
      </c>
      <c r="E633" s="7">
        <v>45881</v>
      </c>
      <c r="F633" t="s">
        <v>57</v>
      </c>
      <c r="G633">
        <v>1</v>
      </c>
      <c r="H633">
        <v>863</v>
      </c>
      <c r="I633" t="s">
        <v>76</v>
      </c>
    </row>
    <row r="634" spans="2:9" x14ac:dyDescent="0.25">
      <c r="B634" t="s">
        <v>730</v>
      </c>
      <c r="C634" t="s">
        <v>1014</v>
      </c>
      <c r="D634" t="s">
        <v>21</v>
      </c>
      <c r="E634" s="7">
        <v>45722</v>
      </c>
      <c r="F634" t="s">
        <v>57</v>
      </c>
      <c r="G634">
        <v>4</v>
      </c>
      <c r="H634">
        <v>1248</v>
      </c>
      <c r="I634" t="s">
        <v>84</v>
      </c>
    </row>
    <row r="635" spans="2:9" x14ac:dyDescent="0.25">
      <c r="B635" t="s">
        <v>731</v>
      </c>
      <c r="C635" t="s">
        <v>1018</v>
      </c>
      <c r="D635" t="s">
        <v>14</v>
      </c>
      <c r="E635" s="7">
        <v>45886</v>
      </c>
      <c r="F635" t="s">
        <v>58</v>
      </c>
      <c r="G635">
        <v>8</v>
      </c>
      <c r="H635">
        <v>3944</v>
      </c>
      <c r="I635" t="s">
        <v>76</v>
      </c>
    </row>
    <row r="636" spans="2:9" x14ac:dyDescent="0.25">
      <c r="B636" t="s">
        <v>732</v>
      </c>
      <c r="C636" t="s">
        <v>1006</v>
      </c>
      <c r="D636" t="s">
        <v>27</v>
      </c>
      <c r="E636" s="7">
        <v>45820</v>
      </c>
      <c r="F636" t="s">
        <v>58</v>
      </c>
      <c r="G636">
        <v>6</v>
      </c>
      <c r="H636">
        <v>1453</v>
      </c>
      <c r="I636" t="s">
        <v>84</v>
      </c>
    </row>
    <row r="637" spans="2:9" x14ac:dyDescent="0.25">
      <c r="B637" t="s">
        <v>733</v>
      </c>
      <c r="C637" t="s">
        <v>1016</v>
      </c>
      <c r="D637" t="s">
        <v>21</v>
      </c>
      <c r="E637" s="7">
        <v>45901</v>
      </c>
      <c r="F637" t="s">
        <v>57</v>
      </c>
      <c r="G637">
        <v>9</v>
      </c>
      <c r="H637">
        <v>52</v>
      </c>
      <c r="I637" t="s">
        <v>81</v>
      </c>
    </row>
    <row r="638" spans="2:9" x14ac:dyDescent="0.25">
      <c r="B638" t="s">
        <v>734</v>
      </c>
      <c r="C638" t="s">
        <v>1005</v>
      </c>
      <c r="D638" t="s">
        <v>14</v>
      </c>
      <c r="E638" s="7">
        <v>45855</v>
      </c>
      <c r="F638" t="s">
        <v>58</v>
      </c>
      <c r="G638">
        <v>7</v>
      </c>
      <c r="H638">
        <v>2361</v>
      </c>
      <c r="I638" t="s">
        <v>81</v>
      </c>
    </row>
    <row r="639" spans="2:9" x14ac:dyDescent="0.25">
      <c r="B639" t="s">
        <v>735</v>
      </c>
      <c r="C639" t="s">
        <v>1013</v>
      </c>
      <c r="D639" t="s">
        <v>21</v>
      </c>
      <c r="E639" s="7">
        <v>45834</v>
      </c>
      <c r="F639" t="s">
        <v>58</v>
      </c>
      <c r="G639">
        <v>6</v>
      </c>
      <c r="H639">
        <v>4851</v>
      </c>
      <c r="I639" t="s">
        <v>76</v>
      </c>
    </row>
    <row r="640" spans="2:9" x14ac:dyDescent="0.25">
      <c r="B640" t="s">
        <v>736</v>
      </c>
      <c r="C640" t="s">
        <v>1016</v>
      </c>
      <c r="D640" t="s">
        <v>19</v>
      </c>
      <c r="E640" s="7">
        <v>45735</v>
      </c>
      <c r="F640" t="s">
        <v>58</v>
      </c>
      <c r="G640">
        <v>6</v>
      </c>
      <c r="H640">
        <v>334</v>
      </c>
      <c r="I640" t="s">
        <v>84</v>
      </c>
    </row>
    <row r="641" spans="2:9" x14ac:dyDescent="0.25">
      <c r="B641" t="s">
        <v>737</v>
      </c>
      <c r="C641" t="s">
        <v>1008</v>
      </c>
      <c r="D641" t="s">
        <v>19</v>
      </c>
      <c r="E641" s="7">
        <v>45955</v>
      </c>
      <c r="F641" t="s">
        <v>57</v>
      </c>
      <c r="G641">
        <v>7</v>
      </c>
      <c r="H641">
        <v>381</v>
      </c>
      <c r="I641" t="s">
        <v>76</v>
      </c>
    </row>
    <row r="642" spans="2:9" x14ac:dyDescent="0.25">
      <c r="B642" t="s">
        <v>738</v>
      </c>
      <c r="C642" t="s">
        <v>1004</v>
      </c>
      <c r="D642" t="s">
        <v>14</v>
      </c>
      <c r="E642" s="7">
        <v>45796</v>
      </c>
      <c r="F642" t="s">
        <v>58</v>
      </c>
      <c r="G642">
        <v>4</v>
      </c>
      <c r="H642">
        <v>2941</v>
      </c>
      <c r="I642" t="s">
        <v>84</v>
      </c>
    </row>
    <row r="643" spans="2:9" x14ac:dyDescent="0.25">
      <c r="B643" t="s">
        <v>739</v>
      </c>
      <c r="C643" t="s">
        <v>1022</v>
      </c>
      <c r="D643" t="s">
        <v>19</v>
      </c>
      <c r="E643" s="7">
        <v>45916</v>
      </c>
      <c r="F643" t="s">
        <v>57</v>
      </c>
      <c r="G643">
        <v>7</v>
      </c>
      <c r="H643">
        <v>4796</v>
      </c>
      <c r="I643" t="s">
        <v>81</v>
      </c>
    </row>
    <row r="644" spans="2:9" x14ac:dyDescent="0.25">
      <c r="B644" t="s">
        <v>740</v>
      </c>
      <c r="C644" t="s">
        <v>1018</v>
      </c>
      <c r="D644" t="s">
        <v>11</v>
      </c>
      <c r="E644" s="7">
        <v>45749</v>
      </c>
      <c r="F644" t="s">
        <v>57</v>
      </c>
      <c r="G644">
        <v>7</v>
      </c>
      <c r="H644">
        <v>4052</v>
      </c>
      <c r="I644" t="s">
        <v>84</v>
      </c>
    </row>
    <row r="645" spans="2:9" x14ac:dyDescent="0.25">
      <c r="B645" t="s">
        <v>741</v>
      </c>
      <c r="C645" t="s">
        <v>1014</v>
      </c>
      <c r="D645" t="s">
        <v>21</v>
      </c>
      <c r="E645" s="7">
        <v>45810</v>
      </c>
      <c r="F645" t="s">
        <v>57</v>
      </c>
      <c r="G645">
        <v>7</v>
      </c>
      <c r="H645">
        <v>2627</v>
      </c>
      <c r="I645" t="s">
        <v>81</v>
      </c>
    </row>
    <row r="646" spans="2:9" x14ac:dyDescent="0.25">
      <c r="B646" t="s">
        <v>742</v>
      </c>
      <c r="C646" t="s">
        <v>1009</v>
      </c>
      <c r="D646" t="s">
        <v>21</v>
      </c>
      <c r="E646" s="7">
        <v>45820</v>
      </c>
      <c r="F646" t="s">
        <v>58</v>
      </c>
      <c r="G646">
        <v>9</v>
      </c>
      <c r="H646">
        <v>3765</v>
      </c>
      <c r="I646" t="s">
        <v>84</v>
      </c>
    </row>
    <row r="647" spans="2:9" x14ac:dyDescent="0.25">
      <c r="B647" t="s">
        <v>743</v>
      </c>
      <c r="C647" t="s">
        <v>1004</v>
      </c>
      <c r="D647" t="s">
        <v>23</v>
      </c>
      <c r="E647" s="7">
        <v>45945</v>
      </c>
      <c r="F647" t="s">
        <v>57</v>
      </c>
      <c r="G647">
        <v>1</v>
      </c>
      <c r="H647">
        <v>4557</v>
      </c>
      <c r="I647" t="s">
        <v>81</v>
      </c>
    </row>
    <row r="648" spans="2:9" x14ac:dyDescent="0.25">
      <c r="B648" t="s">
        <v>744</v>
      </c>
      <c r="C648" t="s">
        <v>1005</v>
      </c>
      <c r="D648" t="s">
        <v>17</v>
      </c>
      <c r="E648" s="7">
        <v>45827</v>
      </c>
      <c r="F648" t="s">
        <v>57</v>
      </c>
      <c r="G648">
        <v>1</v>
      </c>
      <c r="H648">
        <v>3422</v>
      </c>
      <c r="I648" t="s">
        <v>76</v>
      </c>
    </row>
    <row r="649" spans="2:9" x14ac:dyDescent="0.25">
      <c r="B649" t="s">
        <v>745</v>
      </c>
      <c r="C649" t="s">
        <v>1012</v>
      </c>
      <c r="D649" t="s">
        <v>17</v>
      </c>
      <c r="E649" s="7">
        <v>45854</v>
      </c>
      <c r="F649" t="s">
        <v>58</v>
      </c>
      <c r="G649">
        <v>4</v>
      </c>
      <c r="H649">
        <v>2589</v>
      </c>
      <c r="I649" t="s">
        <v>81</v>
      </c>
    </row>
    <row r="650" spans="2:9" x14ac:dyDescent="0.25">
      <c r="B650" t="s">
        <v>746</v>
      </c>
      <c r="C650" t="s">
        <v>1021</v>
      </c>
      <c r="D650" t="s">
        <v>17</v>
      </c>
      <c r="E650" s="7">
        <v>45773</v>
      </c>
      <c r="F650" t="s">
        <v>57</v>
      </c>
      <c r="G650">
        <v>4</v>
      </c>
      <c r="H650">
        <v>630</v>
      </c>
      <c r="I650" t="s">
        <v>76</v>
      </c>
    </row>
    <row r="651" spans="2:9" x14ac:dyDescent="0.25">
      <c r="B651" t="s">
        <v>747</v>
      </c>
      <c r="C651" t="s">
        <v>1014</v>
      </c>
      <c r="D651" t="s">
        <v>17</v>
      </c>
      <c r="E651" s="7">
        <v>45894</v>
      </c>
      <c r="F651" t="s">
        <v>57</v>
      </c>
      <c r="G651">
        <v>3</v>
      </c>
      <c r="H651">
        <v>4913</v>
      </c>
      <c r="I651" t="s">
        <v>81</v>
      </c>
    </row>
    <row r="652" spans="2:9" x14ac:dyDescent="0.25">
      <c r="B652" t="s">
        <v>748</v>
      </c>
      <c r="C652" t="s">
        <v>1008</v>
      </c>
      <c r="D652" t="s">
        <v>11</v>
      </c>
      <c r="E652" s="7">
        <v>45731</v>
      </c>
      <c r="F652" t="s">
        <v>58</v>
      </c>
      <c r="G652">
        <v>2</v>
      </c>
      <c r="H652">
        <v>4204</v>
      </c>
      <c r="I652" t="s">
        <v>84</v>
      </c>
    </row>
    <row r="653" spans="2:9" x14ac:dyDescent="0.25">
      <c r="B653" t="s">
        <v>749</v>
      </c>
      <c r="C653" t="s">
        <v>1007</v>
      </c>
      <c r="D653" t="s">
        <v>11</v>
      </c>
      <c r="E653" s="7">
        <v>45821</v>
      </c>
      <c r="F653" t="s">
        <v>58</v>
      </c>
      <c r="G653">
        <v>9</v>
      </c>
      <c r="H653">
        <v>1043</v>
      </c>
      <c r="I653" t="s">
        <v>76</v>
      </c>
    </row>
    <row r="654" spans="2:9" x14ac:dyDescent="0.25">
      <c r="B654" t="s">
        <v>750</v>
      </c>
      <c r="C654" t="s">
        <v>1019</v>
      </c>
      <c r="D654" t="s">
        <v>23</v>
      </c>
      <c r="E654" s="7">
        <v>45904</v>
      </c>
      <c r="F654" t="s">
        <v>57</v>
      </c>
      <c r="G654">
        <v>1</v>
      </c>
      <c r="H654">
        <v>4278</v>
      </c>
      <c r="I654" t="s">
        <v>81</v>
      </c>
    </row>
    <row r="655" spans="2:9" x14ac:dyDescent="0.25">
      <c r="B655" t="s">
        <v>751</v>
      </c>
      <c r="C655" t="s">
        <v>1019</v>
      </c>
      <c r="D655" t="s">
        <v>23</v>
      </c>
      <c r="E655" s="7">
        <v>45916</v>
      </c>
      <c r="F655" t="s">
        <v>57</v>
      </c>
      <c r="G655">
        <v>5</v>
      </c>
      <c r="H655">
        <v>1661</v>
      </c>
      <c r="I655" t="s">
        <v>76</v>
      </c>
    </row>
    <row r="656" spans="2:9" x14ac:dyDescent="0.25">
      <c r="B656" t="s">
        <v>752</v>
      </c>
      <c r="C656" t="s">
        <v>1006</v>
      </c>
      <c r="D656" t="s">
        <v>14</v>
      </c>
      <c r="E656" s="7">
        <v>45796</v>
      </c>
      <c r="F656" t="s">
        <v>57</v>
      </c>
      <c r="G656">
        <v>2</v>
      </c>
      <c r="H656">
        <v>2195</v>
      </c>
      <c r="I656" t="s">
        <v>81</v>
      </c>
    </row>
    <row r="657" spans="2:9" x14ac:dyDescent="0.25">
      <c r="B657" t="s">
        <v>753</v>
      </c>
      <c r="C657" t="s">
        <v>1012</v>
      </c>
      <c r="D657" t="s">
        <v>21</v>
      </c>
      <c r="E657" s="7">
        <v>45678</v>
      </c>
      <c r="F657" t="s">
        <v>58</v>
      </c>
      <c r="G657">
        <v>6</v>
      </c>
      <c r="H657">
        <v>3751</v>
      </c>
      <c r="I657" t="s">
        <v>76</v>
      </c>
    </row>
    <row r="658" spans="2:9" x14ac:dyDescent="0.25">
      <c r="B658" t="s">
        <v>754</v>
      </c>
      <c r="C658" t="s">
        <v>1004</v>
      </c>
      <c r="D658" t="s">
        <v>27</v>
      </c>
      <c r="E658" s="7">
        <v>45721</v>
      </c>
      <c r="F658" t="s">
        <v>57</v>
      </c>
      <c r="G658">
        <v>5</v>
      </c>
      <c r="H658">
        <v>543</v>
      </c>
      <c r="I658" t="s">
        <v>76</v>
      </c>
    </row>
    <row r="659" spans="2:9" x14ac:dyDescent="0.25">
      <c r="B659" t="s">
        <v>755</v>
      </c>
      <c r="C659" t="s">
        <v>1005</v>
      </c>
      <c r="D659" t="s">
        <v>14</v>
      </c>
      <c r="E659" s="7">
        <v>45920</v>
      </c>
      <c r="F659" t="s">
        <v>57</v>
      </c>
      <c r="G659">
        <v>9</v>
      </c>
      <c r="H659">
        <v>560</v>
      </c>
      <c r="I659" t="s">
        <v>81</v>
      </c>
    </row>
    <row r="660" spans="2:9" x14ac:dyDescent="0.25">
      <c r="B660" t="s">
        <v>756</v>
      </c>
      <c r="C660" t="s">
        <v>1014</v>
      </c>
      <c r="D660" t="s">
        <v>19</v>
      </c>
      <c r="E660" s="7">
        <v>45811</v>
      </c>
      <c r="F660" t="s">
        <v>58</v>
      </c>
      <c r="G660">
        <v>4</v>
      </c>
      <c r="H660">
        <v>3154</v>
      </c>
      <c r="I660" t="s">
        <v>84</v>
      </c>
    </row>
    <row r="661" spans="2:9" x14ac:dyDescent="0.25">
      <c r="B661" t="s">
        <v>757</v>
      </c>
      <c r="C661" t="s">
        <v>1018</v>
      </c>
      <c r="D661" t="s">
        <v>23</v>
      </c>
      <c r="E661" s="7">
        <v>46004</v>
      </c>
      <c r="F661" t="s">
        <v>58</v>
      </c>
      <c r="G661">
        <v>6</v>
      </c>
      <c r="H661">
        <v>1527</v>
      </c>
      <c r="I661" t="s">
        <v>76</v>
      </c>
    </row>
    <row r="662" spans="2:9" x14ac:dyDescent="0.25">
      <c r="B662" t="s">
        <v>758</v>
      </c>
      <c r="C662" t="s">
        <v>1005</v>
      </c>
      <c r="D662" t="s">
        <v>21</v>
      </c>
      <c r="E662" s="7">
        <v>45839</v>
      </c>
      <c r="F662" t="s">
        <v>57</v>
      </c>
      <c r="G662">
        <v>7</v>
      </c>
      <c r="H662">
        <v>165</v>
      </c>
      <c r="I662" t="s">
        <v>81</v>
      </c>
    </row>
    <row r="663" spans="2:9" x14ac:dyDescent="0.25">
      <c r="B663" t="s">
        <v>759</v>
      </c>
      <c r="C663" t="s">
        <v>1022</v>
      </c>
      <c r="D663" t="s">
        <v>11</v>
      </c>
      <c r="E663" s="7">
        <v>45755</v>
      </c>
      <c r="F663" t="s">
        <v>57</v>
      </c>
      <c r="G663">
        <v>9</v>
      </c>
      <c r="H663">
        <v>2389</v>
      </c>
      <c r="I663" t="s">
        <v>84</v>
      </c>
    </row>
    <row r="664" spans="2:9" x14ac:dyDescent="0.25">
      <c r="B664" t="s">
        <v>760</v>
      </c>
      <c r="C664" t="s">
        <v>1005</v>
      </c>
      <c r="D664" t="s">
        <v>21</v>
      </c>
      <c r="E664" s="7">
        <v>45740</v>
      </c>
      <c r="F664" t="s">
        <v>57</v>
      </c>
      <c r="G664">
        <v>2</v>
      </c>
      <c r="H664">
        <v>2879</v>
      </c>
      <c r="I664" t="s">
        <v>76</v>
      </c>
    </row>
    <row r="665" spans="2:9" x14ac:dyDescent="0.25">
      <c r="B665" t="s">
        <v>761</v>
      </c>
      <c r="C665" t="s">
        <v>1016</v>
      </c>
      <c r="D665" t="s">
        <v>21</v>
      </c>
      <c r="E665" s="7">
        <v>45919</v>
      </c>
      <c r="F665" t="s">
        <v>57</v>
      </c>
      <c r="G665">
        <v>4</v>
      </c>
      <c r="H665">
        <v>131</v>
      </c>
      <c r="I665" t="s">
        <v>76</v>
      </c>
    </row>
    <row r="666" spans="2:9" x14ac:dyDescent="0.25">
      <c r="B666" t="s">
        <v>762</v>
      </c>
      <c r="C666" t="s">
        <v>1022</v>
      </c>
      <c r="D666" t="s">
        <v>21</v>
      </c>
      <c r="E666" s="7">
        <v>45797</v>
      </c>
      <c r="F666" t="s">
        <v>58</v>
      </c>
      <c r="G666">
        <v>10</v>
      </c>
      <c r="H666">
        <v>3923</v>
      </c>
      <c r="I666" t="s">
        <v>76</v>
      </c>
    </row>
    <row r="667" spans="2:9" x14ac:dyDescent="0.25">
      <c r="B667" t="s">
        <v>763</v>
      </c>
      <c r="C667" t="s">
        <v>1017</v>
      </c>
      <c r="D667" t="s">
        <v>14</v>
      </c>
      <c r="E667" s="7">
        <v>45726</v>
      </c>
      <c r="F667" t="s">
        <v>58</v>
      </c>
      <c r="G667">
        <v>7</v>
      </c>
      <c r="H667">
        <v>2944</v>
      </c>
      <c r="I667" t="s">
        <v>84</v>
      </c>
    </row>
    <row r="668" spans="2:9" x14ac:dyDescent="0.25">
      <c r="B668" t="s">
        <v>764</v>
      </c>
      <c r="C668" t="s">
        <v>1006</v>
      </c>
      <c r="D668" t="s">
        <v>17</v>
      </c>
      <c r="E668" s="7">
        <v>45774</v>
      </c>
      <c r="F668" t="s">
        <v>57</v>
      </c>
      <c r="G668">
        <v>7</v>
      </c>
      <c r="H668">
        <v>2148</v>
      </c>
      <c r="I668" t="s">
        <v>84</v>
      </c>
    </row>
    <row r="669" spans="2:9" x14ac:dyDescent="0.25">
      <c r="B669" t="s">
        <v>765</v>
      </c>
      <c r="C669" t="s">
        <v>1016</v>
      </c>
      <c r="D669" t="s">
        <v>19</v>
      </c>
      <c r="E669" s="7">
        <v>45698</v>
      </c>
      <c r="F669" t="s">
        <v>58</v>
      </c>
      <c r="G669">
        <v>1</v>
      </c>
      <c r="H669">
        <v>342</v>
      </c>
      <c r="I669" t="s">
        <v>84</v>
      </c>
    </row>
    <row r="670" spans="2:9" x14ac:dyDescent="0.25">
      <c r="B670" t="s">
        <v>766</v>
      </c>
      <c r="C670" t="s">
        <v>1020</v>
      </c>
      <c r="D670" t="s">
        <v>21</v>
      </c>
      <c r="E670" s="7">
        <v>45755</v>
      </c>
      <c r="F670" t="s">
        <v>58</v>
      </c>
      <c r="G670">
        <v>8</v>
      </c>
      <c r="H670">
        <v>2633</v>
      </c>
      <c r="I670" t="s">
        <v>81</v>
      </c>
    </row>
    <row r="671" spans="2:9" x14ac:dyDescent="0.25">
      <c r="B671" t="s">
        <v>767</v>
      </c>
      <c r="C671" t="s">
        <v>1009</v>
      </c>
      <c r="D671" t="s">
        <v>21</v>
      </c>
      <c r="E671" s="7">
        <v>46017</v>
      </c>
      <c r="F671" t="s">
        <v>57</v>
      </c>
      <c r="G671">
        <v>7</v>
      </c>
      <c r="H671">
        <v>3005</v>
      </c>
      <c r="I671" t="s">
        <v>81</v>
      </c>
    </row>
    <row r="672" spans="2:9" x14ac:dyDescent="0.25">
      <c r="B672" t="s">
        <v>768</v>
      </c>
      <c r="C672" t="s">
        <v>1004</v>
      </c>
      <c r="D672" t="s">
        <v>19</v>
      </c>
      <c r="E672" s="7">
        <v>45730</v>
      </c>
      <c r="F672" t="s">
        <v>57</v>
      </c>
      <c r="G672">
        <v>3</v>
      </c>
      <c r="H672">
        <v>1740</v>
      </c>
      <c r="I672" t="s">
        <v>81</v>
      </c>
    </row>
    <row r="673" spans="2:9" x14ac:dyDescent="0.25">
      <c r="B673" t="s">
        <v>769</v>
      </c>
      <c r="C673" t="s">
        <v>1019</v>
      </c>
      <c r="D673" t="s">
        <v>17</v>
      </c>
      <c r="E673" s="7">
        <v>45916</v>
      </c>
      <c r="F673" t="s">
        <v>57</v>
      </c>
      <c r="G673">
        <v>1</v>
      </c>
      <c r="H673">
        <v>2937</v>
      </c>
      <c r="I673" t="s">
        <v>84</v>
      </c>
    </row>
    <row r="674" spans="2:9" x14ac:dyDescent="0.25">
      <c r="B674" t="s">
        <v>770</v>
      </c>
      <c r="C674" t="s">
        <v>1014</v>
      </c>
      <c r="D674" t="s">
        <v>17</v>
      </c>
      <c r="E674" s="7">
        <v>45678</v>
      </c>
      <c r="F674" t="s">
        <v>58</v>
      </c>
      <c r="G674">
        <v>3</v>
      </c>
      <c r="H674">
        <v>2055</v>
      </c>
      <c r="I674" t="s">
        <v>84</v>
      </c>
    </row>
    <row r="675" spans="2:9" x14ac:dyDescent="0.25">
      <c r="B675" t="s">
        <v>771</v>
      </c>
      <c r="C675" t="s">
        <v>1012</v>
      </c>
      <c r="D675" t="s">
        <v>21</v>
      </c>
      <c r="E675" s="7">
        <v>45778</v>
      </c>
      <c r="F675" t="s">
        <v>57</v>
      </c>
      <c r="G675">
        <v>10</v>
      </c>
      <c r="H675">
        <v>3349</v>
      </c>
      <c r="I675" t="s">
        <v>84</v>
      </c>
    </row>
    <row r="676" spans="2:9" x14ac:dyDescent="0.25">
      <c r="B676" t="s">
        <v>772</v>
      </c>
      <c r="C676" t="s">
        <v>1008</v>
      </c>
      <c r="D676" t="s">
        <v>23</v>
      </c>
      <c r="E676" s="7">
        <v>45973</v>
      </c>
      <c r="F676" t="s">
        <v>57</v>
      </c>
      <c r="G676">
        <v>2</v>
      </c>
      <c r="H676">
        <v>2432</v>
      </c>
      <c r="I676" t="s">
        <v>84</v>
      </c>
    </row>
    <row r="677" spans="2:9" x14ac:dyDescent="0.25">
      <c r="B677" t="s">
        <v>773</v>
      </c>
      <c r="C677" t="s">
        <v>1020</v>
      </c>
      <c r="D677" t="s">
        <v>27</v>
      </c>
      <c r="E677" s="7">
        <v>45726</v>
      </c>
      <c r="F677" t="s">
        <v>58</v>
      </c>
      <c r="G677">
        <v>6</v>
      </c>
      <c r="H677">
        <v>3714</v>
      </c>
      <c r="I677" t="s">
        <v>81</v>
      </c>
    </row>
    <row r="678" spans="2:9" x14ac:dyDescent="0.25">
      <c r="B678" t="s">
        <v>774</v>
      </c>
      <c r="C678" t="s">
        <v>1017</v>
      </c>
      <c r="D678" t="s">
        <v>23</v>
      </c>
      <c r="E678" s="7">
        <v>45721</v>
      </c>
      <c r="F678" t="s">
        <v>58</v>
      </c>
      <c r="G678">
        <v>7</v>
      </c>
      <c r="H678">
        <v>2967</v>
      </c>
      <c r="I678" t="s">
        <v>76</v>
      </c>
    </row>
    <row r="679" spans="2:9" x14ac:dyDescent="0.25">
      <c r="B679" t="s">
        <v>775</v>
      </c>
      <c r="C679" t="s">
        <v>1008</v>
      </c>
      <c r="D679" t="s">
        <v>21</v>
      </c>
      <c r="E679" s="7">
        <v>46012</v>
      </c>
      <c r="F679" t="s">
        <v>57</v>
      </c>
      <c r="G679">
        <v>10</v>
      </c>
      <c r="H679">
        <v>4754</v>
      </c>
      <c r="I679" t="s">
        <v>84</v>
      </c>
    </row>
    <row r="680" spans="2:9" x14ac:dyDescent="0.25">
      <c r="B680" t="s">
        <v>776</v>
      </c>
      <c r="C680" t="s">
        <v>1012</v>
      </c>
      <c r="D680" t="s">
        <v>14</v>
      </c>
      <c r="E680" s="7">
        <v>45924</v>
      </c>
      <c r="F680" t="s">
        <v>58</v>
      </c>
      <c r="G680">
        <v>7</v>
      </c>
      <c r="H680">
        <v>21</v>
      </c>
      <c r="I680" t="s">
        <v>84</v>
      </c>
    </row>
    <row r="681" spans="2:9" x14ac:dyDescent="0.25">
      <c r="B681" t="s">
        <v>777</v>
      </c>
      <c r="C681" t="s">
        <v>1013</v>
      </c>
      <c r="D681" t="s">
        <v>14</v>
      </c>
      <c r="E681" s="7">
        <v>45767</v>
      </c>
      <c r="F681" t="s">
        <v>58</v>
      </c>
      <c r="G681">
        <v>9</v>
      </c>
      <c r="H681">
        <v>3452</v>
      </c>
      <c r="I681" t="s">
        <v>76</v>
      </c>
    </row>
    <row r="682" spans="2:9" x14ac:dyDescent="0.25">
      <c r="B682" t="s">
        <v>778</v>
      </c>
      <c r="C682" t="s">
        <v>1017</v>
      </c>
      <c r="D682" t="s">
        <v>21</v>
      </c>
      <c r="E682" s="7">
        <v>45793</v>
      </c>
      <c r="F682" t="s">
        <v>57</v>
      </c>
      <c r="G682">
        <v>4</v>
      </c>
      <c r="H682">
        <v>1165</v>
      </c>
      <c r="I682" t="s">
        <v>81</v>
      </c>
    </row>
    <row r="683" spans="2:9" x14ac:dyDescent="0.25">
      <c r="B683" t="s">
        <v>779</v>
      </c>
      <c r="C683" t="s">
        <v>1018</v>
      </c>
      <c r="D683" t="s">
        <v>27</v>
      </c>
      <c r="E683" s="7">
        <v>45778</v>
      </c>
      <c r="F683" t="s">
        <v>57</v>
      </c>
      <c r="G683">
        <v>10</v>
      </c>
      <c r="H683">
        <v>3018</v>
      </c>
      <c r="I683" t="s">
        <v>81</v>
      </c>
    </row>
    <row r="684" spans="2:9" x14ac:dyDescent="0.25">
      <c r="B684" t="s">
        <v>780</v>
      </c>
      <c r="C684" t="s">
        <v>1006</v>
      </c>
      <c r="D684" t="s">
        <v>19</v>
      </c>
      <c r="E684" s="7">
        <v>45829</v>
      </c>
      <c r="F684" t="s">
        <v>58</v>
      </c>
      <c r="G684">
        <v>2</v>
      </c>
      <c r="H684">
        <v>268</v>
      </c>
      <c r="I684" t="s">
        <v>76</v>
      </c>
    </row>
    <row r="685" spans="2:9" x14ac:dyDescent="0.25">
      <c r="B685" t="s">
        <v>781</v>
      </c>
      <c r="C685" t="s">
        <v>1016</v>
      </c>
      <c r="D685" t="s">
        <v>23</v>
      </c>
      <c r="E685" s="7">
        <v>45858</v>
      </c>
      <c r="F685" t="s">
        <v>58</v>
      </c>
      <c r="G685">
        <v>4</v>
      </c>
      <c r="H685">
        <v>2928</v>
      </c>
      <c r="I685" t="s">
        <v>81</v>
      </c>
    </row>
    <row r="686" spans="2:9" x14ac:dyDescent="0.25">
      <c r="B686" t="s">
        <v>782</v>
      </c>
      <c r="C686" t="s">
        <v>1007</v>
      </c>
      <c r="D686" t="s">
        <v>21</v>
      </c>
      <c r="E686" s="7">
        <v>45804</v>
      </c>
      <c r="F686" t="s">
        <v>58</v>
      </c>
      <c r="G686">
        <v>7</v>
      </c>
      <c r="H686">
        <v>2410</v>
      </c>
      <c r="I686" t="s">
        <v>76</v>
      </c>
    </row>
    <row r="687" spans="2:9" x14ac:dyDescent="0.25">
      <c r="B687" t="s">
        <v>783</v>
      </c>
      <c r="C687" t="s">
        <v>1004</v>
      </c>
      <c r="D687" t="s">
        <v>19</v>
      </c>
      <c r="E687" s="7">
        <v>45805</v>
      </c>
      <c r="F687" t="s">
        <v>58</v>
      </c>
      <c r="G687">
        <v>3</v>
      </c>
      <c r="H687">
        <v>3901</v>
      </c>
      <c r="I687" t="s">
        <v>84</v>
      </c>
    </row>
    <row r="688" spans="2:9" x14ac:dyDescent="0.25">
      <c r="B688" t="s">
        <v>784</v>
      </c>
      <c r="C688" t="s">
        <v>1016</v>
      </c>
      <c r="D688" t="s">
        <v>11</v>
      </c>
      <c r="E688" s="7">
        <v>45965</v>
      </c>
      <c r="F688" t="s">
        <v>58</v>
      </c>
      <c r="G688">
        <v>8</v>
      </c>
      <c r="H688">
        <v>3950</v>
      </c>
      <c r="I688" t="s">
        <v>81</v>
      </c>
    </row>
    <row r="689" spans="2:9" x14ac:dyDescent="0.25">
      <c r="B689" t="s">
        <v>785</v>
      </c>
      <c r="C689" t="s">
        <v>1009</v>
      </c>
      <c r="D689" t="s">
        <v>21</v>
      </c>
      <c r="E689" s="7">
        <v>45910</v>
      </c>
      <c r="F689" t="s">
        <v>57</v>
      </c>
      <c r="G689">
        <v>2</v>
      </c>
      <c r="H689">
        <v>2921</v>
      </c>
      <c r="I689" t="s">
        <v>76</v>
      </c>
    </row>
    <row r="690" spans="2:9" x14ac:dyDescent="0.25">
      <c r="B690" t="s">
        <v>786</v>
      </c>
      <c r="C690" t="s">
        <v>1020</v>
      </c>
      <c r="D690" t="s">
        <v>19</v>
      </c>
      <c r="E690" s="7">
        <v>45942</v>
      </c>
      <c r="F690" t="s">
        <v>58</v>
      </c>
      <c r="G690">
        <v>8</v>
      </c>
      <c r="H690">
        <v>2498</v>
      </c>
      <c r="I690" t="s">
        <v>76</v>
      </c>
    </row>
    <row r="691" spans="2:9" x14ac:dyDescent="0.25">
      <c r="B691" t="s">
        <v>787</v>
      </c>
      <c r="C691" t="s">
        <v>1020</v>
      </c>
      <c r="D691" t="s">
        <v>11</v>
      </c>
      <c r="E691" s="7">
        <v>45855</v>
      </c>
      <c r="F691" t="s">
        <v>57</v>
      </c>
      <c r="G691">
        <v>10</v>
      </c>
      <c r="H691">
        <v>3199</v>
      </c>
      <c r="I691" t="s">
        <v>81</v>
      </c>
    </row>
    <row r="692" spans="2:9" x14ac:dyDescent="0.25">
      <c r="B692" t="s">
        <v>788</v>
      </c>
      <c r="C692" t="s">
        <v>1005</v>
      </c>
      <c r="D692" t="s">
        <v>14</v>
      </c>
      <c r="E692" s="7">
        <v>45812</v>
      </c>
      <c r="F692" t="s">
        <v>58</v>
      </c>
      <c r="G692">
        <v>9</v>
      </c>
      <c r="H692">
        <v>1884</v>
      </c>
      <c r="I692" t="s">
        <v>84</v>
      </c>
    </row>
    <row r="693" spans="2:9" x14ac:dyDescent="0.25">
      <c r="B693" t="s">
        <v>789</v>
      </c>
      <c r="C693" t="s">
        <v>1019</v>
      </c>
      <c r="D693" t="s">
        <v>14</v>
      </c>
      <c r="E693" s="7">
        <v>45796</v>
      </c>
      <c r="F693" t="s">
        <v>58</v>
      </c>
      <c r="G693">
        <v>7</v>
      </c>
      <c r="H693">
        <v>4209</v>
      </c>
      <c r="I693" t="s">
        <v>84</v>
      </c>
    </row>
    <row r="694" spans="2:9" x14ac:dyDescent="0.25">
      <c r="B694" t="s">
        <v>790</v>
      </c>
      <c r="C694" t="s">
        <v>1015</v>
      </c>
      <c r="D694" t="s">
        <v>11</v>
      </c>
      <c r="E694" s="7">
        <v>45742</v>
      </c>
      <c r="F694" t="s">
        <v>58</v>
      </c>
      <c r="G694">
        <v>10</v>
      </c>
      <c r="H694">
        <v>2208</v>
      </c>
      <c r="I694" t="s">
        <v>81</v>
      </c>
    </row>
    <row r="695" spans="2:9" x14ac:dyDescent="0.25">
      <c r="B695" t="s">
        <v>791</v>
      </c>
      <c r="C695" t="s">
        <v>1011</v>
      </c>
      <c r="D695" t="s">
        <v>19</v>
      </c>
      <c r="E695" s="7">
        <v>45894</v>
      </c>
      <c r="F695" t="s">
        <v>58</v>
      </c>
      <c r="G695">
        <v>5</v>
      </c>
      <c r="H695">
        <v>1691</v>
      </c>
      <c r="I695" t="s">
        <v>84</v>
      </c>
    </row>
    <row r="696" spans="2:9" x14ac:dyDescent="0.25">
      <c r="B696" t="s">
        <v>792</v>
      </c>
      <c r="C696" t="s">
        <v>1021</v>
      </c>
      <c r="D696" t="s">
        <v>17</v>
      </c>
      <c r="E696" s="7">
        <v>46010</v>
      </c>
      <c r="F696" t="s">
        <v>58</v>
      </c>
      <c r="G696">
        <v>8</v>
      </c>
      <c r="H696">
        <v>4810</v>
      </c>
      <c r="I696" t="s">
        <v>76</v>
      </c>
    </row>
    <row r="697" spans="2:9" x14ac:dyDescent="0.25">
      <c r="B697" t="s">
        <v>793</v>
      </c>
      <c r="C697" t="s">
        <v>1017</v>
      </c>
      <c r="D697" t="s">
        <v>21</v>
      </c>
      <c r="E697" s="7">
        <v>45737</v>
      </c>
      <c r="F697" t="s">
        <v>58</v>
      </c>
      <c r="G697">
        <v>1</v>
      </c>
      <c r="H697">
        <v>2590</v>
      </c>
      <c r="I697" t="s">
        <v>84</v>
      </c>
    </row>
    <row r="698" spans="2:9" x14ac:dyDescent="0.25">
      <c r="B698" t="s">
        <v>794</v>
      </c>
      <c r="C698" t="s">
        <v>1012</v>
      </c>
      <c r="D698" t="s">
        <v>14</v>
      </c>
      <c r="E698" s="7">
        <v>45823</v>
      </c>
      <c r="F698" t="s">
        <v>57</v>
      </c>
      <c r="G698">
        <v>6</v>
      </c>
      <c r="H698">
        <v>2318</v>
      </c>
      <c r="I698" t="s">
        <v>84</v>
      </c>
    </row>
    <row r="699" spans="2:9" x14ac:dyDescent="0.25">
      <c r="B699" t="s">
        <v>795</v>
      </c>
      <c r="C699" t="s">
        <v>1019</v>
      </c>
      <c r="D699" t="s">
        <v>19</v>
      </c>
      <c r="E699" s="7">
        <v>45714</v>
      </c>
      <c r="F699" t="s">
        <v>58</v>
      </c>
      <c r="G699">
        <v>2</v>
      </c>
      <c r="H699">
        <v>154</v>
      </c>
      <c r="I699" t="s">
        <v>81</v>
      </c>
    </row>
    <row r="700" spans="2:9" x14ac:dyDescent="0.25">
      <c r="B700" t="s">
        <v>796</v>
      </c>
      <c r="C700" t="s">
        <v>1014</v>
      </c>
      <c r="D700" t="s">
        <v>19</v>
      </c>
      <c r="E700" s="7">
        <v>46015</v>
      </c>
      <c r="F700" t="s">
        <v>58</v>
      </c>
      <c r="G700">
        <v>7</v>
      </c>
      <c r="H700">
        <v>3544</v>
      </c>
      <c r="I700" t="s">
        <v>81</v>
      </c>
    </row>
    <row r="701" spans="2:9" x14ac:dyDescent="0.25">
      <c r="B701" t="s">
        <v>797</v>
      </c>
      <c r="C701" t="s">
        <v>1007</v>
      </c>
      <c r="D701" t="s">
        <v>17</v>
      </c>
      <c r="E701" s="7">
        <v>45976</v>
      </c>
      <c r="F701" t="s">
        <v>58</v>
      </c>
      <c r="G701">
        <v>8</v>
      </c>
      <c r="H701">
        <v>3822</v>
      </c>
      <c r="I701" t="s">
        <v>76</v>
      </c>
    </row>
    <row r="702" spans="2:9" x14ac:dyDescent="0.25">
      <c r="B702" t="s">
        <v>798</v>
      </c>
      <c r="C702" t="s">
        <v>1008</v>
      </c>
      <c r="D702" t="s">
        <v>21</v>
      </c>
      <c r="E702" s="7">
        <v>45998</v>
      </c>
      <c r="F702" t="s">
        <v>57</v>
      </c>
      <c r="G702">
        <v>8</v>
      </c>
      <c r="H702">
        <v>3606</v>
      </c>
      <c r="I702" t="s">
        <v>84</v>
      </c>
    </row>
    <row r="703" spans="2:9" x14ac:dyDescent="0.25">
      <c r="B703" t="s">
        <v>799</v>
      </c>
      <c r="C703" t="s">
        <v>1015</v>
      </c>
      <c r="D703" t="s">
        <v>21</v>
      </c>
      <c r="E703" s="7">
        <v>45982</v>
      </c>
      <c r="F703" t="s">
        <v>58</v>
      </c>
      <c r="G703">
        <v>2</v>
      </c>
      <c r="H703">
        <v>4349</v>
      </c>
      <c r="I703" t="s">
        <v>81</v>
      </c>
    </row>
    <row r="704" spans="2:9" x14ac:dyDescent="0.25">
      <c r="B704" t="s">
        <v>800</v>
      </c>
      <c r="C704" t="s">
        <v>1010</v>
      </c>
      <c r="D704" t="s">
        <v>14</v>
      </c>
      <c r="E704" s="7">
        <v>45734</v>
      </c>
      <c r="F704" t="s">
        <v>58</v>
      </c>
      <c r="G704">
        <v>9</v>
      </c>
      <c r="H704">
        <v>3846</v>
      </c>
      <c r="I704" t="s">
        <v>84</v>
      </c>
    </row>
    <row r="705" spans="2:9" x14ac:dyDescent="0.25">
      <c r="B705" t="s">
        <v>801</v>
      </c>
      <c r="C705" t="s">
        <v>1020</v>
      </c>
      <c r="D705" t="s">
        <v>19</v>
      </c>
      <c r="E705" s="7">
        <v>45660</v>
      </c>
      <c r="F705" t="s">
        <v>57</v>
      </c>
      <c r="G705">
        <v>9</v>
      </c>
      <c r="H705">
        <v>3703</v>
      </c>
      <c r="I705" t="s">
        <v>81</v>
      </c>
    </row>
    <row r="706" spans="2:9" x14ac:dyDescent="0.25">
      <c r="B706" t="s">
        <v>802</v>
      </c>
      <c r="C706" t="s">
        <v>1015</v>
      </c>
      <c r="D706" t="s">
        <v>14</v>
      </c>
      <c r="E706" s="7">
        <v>45842</v>
      </c>
      <c r="F706" t="s">
        <v>58</v>
      </c>
      <c r="G706">
        <v>10</v>
      </c>
      <c r="H706">
        <v>1870</v>
      </c>
      <c r="I706" t="s">
        <v>81</v>
      </c>
    </row>
    <row r="707" spans="2:9" x14ac:dyDescent="0.25">
      <c r="B707" t="s">
        <v>803</v>
      </c>
      <c r="C707" t="s">
        <v>1016</v>
      </c>
      <c r="D707" t="s">
        <v>14</v>
      </c>
      <c r="E707" s="7">
        <v>45787</v>
      </c>
      <c r="F707" t="s">
        <v>57</v>
      </c>
      <c r="G707">
        <v>8</v>
      </c>
      <c r="H707">
        <v>111</v>
      </c>
      <c r="I707" t="s">
        <v>81</v>
      </c>
    </row>
    <row r="708" spans="2:9" x14ac:dyDescent="0.25">
      <c r="B708" t="s">
        <v>804</v>
      </c>
      <c r="C708" t="s">
        <v>1020</v>
      </c>
      <c r="D708" t="s">
        <v>19</v>
      </c>
      <c r="E708" s="7">
        <v>45751</v>
      </c>
      <c r="F708" t="s">
        <v>57</v>
      </c>
      <c r="G708">
        <v>7</v>
      </c>
      <c r="H708">
        <v>1512</v>
      </c>
      <c r="I708" t="s">
        <v>76</v>
      </c>
    </row>
    <row r="709" spans="2:9" x14ac:dyDescent="0.25">
      <c r="B709" t="s">
        <v>805</v>
      </c>
      <c r="C709" t="s">
        <v>1011</v>
      </c>
      <c r="D709" t="s">
        <v>19</v>
      </c>
      <c r="E709" s="7">
        <v>45761</v>
      </c>
      <c r="F709" t="s">
        <v>57</v>
      </c>
      <c r="G709">
        <v>9</v>
      </c>
      <c r="H709">
        <v>3011</v>
      </c>
      <c r="I709" t="s">
        <v>81</v>
      </c>
    </row>
    <row r="710" spans="2:9" x14ac:dyDescent="0.25">
      <c r="B710" t="s">
        <v>806</v>
      </c>
      <c r="C710" t="s">
        <v>1008</v>
      </c>
      <c r="D710" t="s">
        <v>21</v>
      </c>
      <c r="E710" s="7">
        <v>45937</v>
      </c>
      <c r="F710" t="s">
        <v>58</v>
      </c>
      <c r="G710">
        <v>5</v>
      </c>
      <c r="H710">
        <v>2869</v>
      </c>
      <c r="I710" t="s">
        <v>84</v>
      </c>
    </row>
    <row r="711" spans="2:9" x14ac:dyDescent="0.25">
      <c r="B711" t="s">
        <v>807</v>
      </c>
      <c r="C711" t="s">
        <v>1005</v>
      </c>
      <c r="D711" t="s">
        <v>21</v>
      </c>
      <c r="E711" s="7">
        <v>45799</v>
      </c>
      <c r="F711" t="s">
        <v>58</v>
      </c>
      <c r="G711">
        <v>4</v>
      </c>
      <c r="H711">
        <v>3161</v>
      </c>
      <c r="I711" t="s">
        <v>76</v>
      </c>
    </row>
    <row r="712" spans="2:9" x14ac:dyDescent="0.25">
      <c r="B712" t="s">
        <v>808</v>
      </c>
      <c r="C712" t="s">
        <v>1004</v>
      </c>
      <c r="D712" t="s">
        <v>23</v>
      </c>
      <c r="E712" s="7">
        <v>45971</v>
      </c>
      <c r="F712" t="s">
        <v>58</v>
      </c>
      <c r="G712">
        <v>3</v>
      </c>
      <c r="H712">
        <v>2303</v>
      </c>
      <c r="I712" t="s">
        <v>84</v>
      </c>
    </row>
    <row r="713" spans="2:9" x14ac:dyDescent="0.25">
      <c r="B713" t="s">
        <v>809</v>
      </c>
      <c r="C713" t="s">
        <v>1019</v>
      </c>
      <c r="D713" t="s">
        <v>17</v>
      </c>
      <c r="E713" s="7">
        <v>45828</v>
      </c>
      <c r="F713" t="s">
        <v>58</v>
      </c>
      <c r="G713">
        <v>9</v>
      </c>
      <c r="H713">
        <v>2525</v>
      </c>
      <c r="I713" t="s">
        <v>76</v>
      </c>
    </row>
    <row r="714" spans="2:9" x14ac:dyDescent="0.25">
      <c r="B714" t="s">
        <v>810</v>
      </c>
      <c r="C714" t="s">
        <v>1022</v>
      </c>
      <c r="D714" t="s">
        <v>21</v>
      </c>
      <c r="E714" s="7">
        <v>45793</v>
      </c>
      <c r="F714" t="s">
        <v>57</v>
      </c>
      <c r="G714">
        <v>4</v>
      </c>
      <c r="H714">
        <v>2400</v>
      </c>
      <c r="I714" t="s">
        <v>84</v>
      </c>
    </row>
    <row r="715" spans="2:9" x14ac:dyDescent="0.25">
      <c r="B715" t="s">
        <v>811</v>
      </c>
      <c r="C715" t="s">
        <v>1018</v>
      </c>
      <c r="D715" t="s">
        <v>21</v>
      </c>
      <c r="E715" s="7">
        <v>45839</v>
      </c>
      <c r="F715" t="s">
        <v>58</v>
      </c>
      <c r="G715">
        <v>2</v>
      </c>
      <c r="H715">
        <v>4314</v>
      </c>
      <c r="I715" t="s">
        <v>84</v>
      </c>
    </row>
    <row r="716" spans="2:9" x14ac:dyDescent="0.25">
      <c r="B716" t="s">
        <v>812</v>
      </c>
      <c r="C716" t="s">
        <v>1017</v>
      </c>
      <c r="D716" t="s">
        <v>17</v>
      </c>
      <c r="E716" s="7">
        <v>45877</v>
      </c>
      <c r="F716" t="s">
        <v>57</v>
      </c>
      <c r="G716">
        <v>2</v>
      </c>
      <c r="H716">
        <v>2014</v>
      </c>
      <c r="I716" t="s">
        <v>76</v>
      </c>
    </row>
    <row r="717" spans="2:9" x14ac:dyDescent="0.25">
      <c r="B717" t="s">
        <v>813</v>
      </c>
      <c r="C717" t="s">
        <v>1021</v>
      </c>
      <c r="D717" t="s">
        <v>23</v>
      </c>
      <c r="E717" s="7">
        <v>45679</v>
      </c>
      <c r="F717" t="s">
        <v>58</v>
      </c>
      <c r="G717">
        <v>3</v>
      </c>
      <c r="H717">
        <v>3023</v>
      </c>
      <c r="I717" t="s">
        <v>84</v>
      </c>
    </row>
    <row r="718" spans="2:9" x14ac:dyDescent="0.25">
      <c r="B718" t="s">
        <v>814</v>
      </c>
      <c r="C718" t="s">
        <v>1017</v>
      </c>
      <c r="D718" t="s">
        <v>27</v>
      </c>
      <c r="E718" s="7">
        <v>45995</v>
      </c>
      <c r="F718" t="s">
        <v>58</v>
      </c>
      <c r="G718">
        <v>2</v>
      </c>
      <c r="H718">
        <v>1242</v>
      </c>
      <c r="I718" t="s">
        <v>76</v>
      </c>
    </row>
    <row r="719" spans="2:9" x14ac:dyDescent="0.25">
      <c r="B719" t="s">
        <v>815</v>
      </c>
      <c r="C719" t="s">
        <v>1006</v>
      </c>
      <c r="D719" t="s">
        <v>17</v>
      </c>
      <c r="E719" s="7">
        <v>45814</v>
      </c>
      <c r="F719" t="s">
        <v>57</v>
      </c>
      <c r="G719">
        <v>5</v>
      </c>
      <c r="H719">
        <v>4351</v>
      </c>
      <c r="I719" t="s">
        <v>76</v>
      </c>
    </row>
    <row r="720" spans="2:9" x14ac:dyDescent="0.25">
      <c r="B720" t="s">
        <v>816</v>
      </c>
      <c r="C720" t="s">
        <v>1012</v>
      </c>
      <c r="D720" t="s">
        <v>21</v>
      </c>
      <c r="E720" s="7">
        <v>45744</v>
      </c>
      <c r="F720" t="s">
        <v>57</v>
      </c>
      <c r="G720">
        <v>4</v>
      </c>
      <c r="H720">
        <v>1426</v>
      </c>
      <c r="I720" t="s">
        <v>81</v>
      </c>
    </row>
    <row r="721" spans="2:9" x14ac:dyDescent="0.25">
      <c r="B721" t="s">
        <v>817</v>
      </c>
      <c r="C721" t="s">
        <v>1020</v>
      </c>
      <c r="D721" t="s">
        <v>21</v>
      </c>
      <c r="E721" s="7">
        <v>45922</v>
      </c>
      <c r="F721" t="s">
        <v>58</v>
      </c>
      <c r="G721">
        <v>3</v>
      </c>
      <c r="H721">
        <v>301</v>
      </c>
      <c r="I721" t="s">
        <v>84</v>
      </c>
    </row>
    <row r="722" spans="2:9" x14ac:dyDescent="0.25">
      <c r="B722" t="s">
        <v>818</v>
      </c>
      <c r="C722" t="s">
        <v>1008</v>
      </c>
      <c r="D722" t="s">
        <v>21</v>
      </c>
      <c r="E722" s="7">
        <v>45775</v>
      </c>
      <c r="F722" t="s">
        <v>57</v>
      </c>
      <c r="G722">
        <v>10</v>
      </c>
      <c r="H722">
        <v>172</v>
      </c>
      <c r="I722" t="s">
        <v>81</v>
      </c>
    </row>
    <row r="723" spans="2:9" x14ac:dyDescent="0.25">
      <c r="B723" t="s">
        <v>819</v>
      </c>
      <c r="C723" t="s">
        <v>1007</v>
      </c>
      <c r="D723" t="s">
        <v>14</v>
      </c>
      <c r="E723" s="7">
        <v>45939</v>
      </c>
      <c r="F723" t="s">
        <v>58</v>
      </c>
      <c r="G723">
        <v>5</v>
      </c>
      <c r="H723">
        <v>4047</v>
      </c>
      <c r="I723" t="s">
        <v>81</v>
      </c>
    </row>
    <row r="724" spans="2:9" x14ac:dyDescent="0.25">
      <c r="B724" t="s">
        <v>820</v>
      </c>
      <c r="C724" t="s">
        <v>1020</v>
      </c>
      <c r="D724" t="s">
        <v>21</v>
      </c>
      <c r="E724" s="7">
        <v>45761</v>
      </c>
      <c r="F724" t="s">
        <v>58</v>
      </c>
      <c r="G724">
        <v>4</v>
      </c>
      <c r="H724">
        <v>1315</v>
      </c>
      <c r="I724" t="s">
        <v>76</v>
      </c>
    </row>
    <row r="725" spans="2:9" x14ac:dyDescent="0.25">
      <c r="B725" t="s">
        <v>821</v>
      </c>
      <c r="C725" t="s">
        <v>1014</v>
      </c>
      <c r="D725" t="s">
        <v>23</v>
      </c>
      <c r="E725" s="7">
        <v>45709</v>
      </c>
      <c r="F725" t="s">
        <v>57</v>
      </c>
      <c r="G725">
        <v>2</v>
      </c>
      <c r="H725">
        <v>120</v>
      </c>
      <c r="I725" t="s">
        <v>84</v>
      </c>
    </row>
    <row r="726" spans="2:9" x14ac:dyDescent="0.25">
      <c r="B726" t="s">
        <v>822</v>
      </c>
      <c r="C726" t="s">
        <v>1005</v>
      </c>
      <c r="D726" t="s">
        <v>14</v>
      </c>
      <c r="E726" s="7">
        <v>45934</v>
      </c>
      <c r="F726" t="s">
        <v>57</v>
      </c>
      <c r="G726">
        <v>2</v>
      </c>
      <c r="H726">
        <v>4951</v>
      </c>
      <c r="I726" t="s">
        <v>76</v>
      </c>
    </row>
    <row r="727" spans="2:9" x14ac:dyDescent="0.25">
      <c r="B727" t="s">
        <v>823</v>
      </c>
      <c r="C727" t="s">
        <v>1012</v>
      </c>
      <c r="D727" t="s">
        <v>11</v>
      </c>
      <c r="E727" s="7">
        <v>45757</v>
      </c>
      <c r="F727" t="s">
        <v>57</v>
      </c>
      <c r="G727">
        <v>6</v>
      </c>
      <c r="H727">
        <v>4183</v>
      </c>
      <c r="I727" t="s">
        <v>81</v>
      </c>
    </row>
    <row r="728" spans="2:9" x14ac:dyDescent="0.25">
      <c r="B728" t="s">
        <v>824</v>
      </c>
      <c r="C728" t="s">
        <v>1013</v>
      </c>
      <c r="D728" t="s">
        <v>23</v>
      </c>
      <c r="E728" s="7">
        <v>45861</v>
      </c>
      <c r="F728" t="s">
        <v>58</v>
      </c>
      <c r="G728">
        <v>4</v>
      </c>
      <c r="H728">
        <v>2461</v>
      </c>
      <c r="I728" t="s">
        <v>81</v>
      </c>
    </row>
    <row r="729" spans="2:9" x14ac:dyDescent="0.25">
      <c r="B729" t="s">
        <v>825</v>
      </c>
      <c r="C729" t="s">
        <v>1008</v>
      </c>
      <c r="D729" t="s">
        <v>21</v>
      </c>
      <c r="E729" s="7">
        <v>45675</v>
      </c>
      <c r="F729" t="s">
        <v>58</v>
      </c>
      <c r="G729">
        <v>3</v>
      </c>
      <c r="H729">
        <v>3258</v>
      </c>
      <c r="I729" t="s">
        <v>81</v>
      </c>
    </row>
    <row r="730" spans="2:9" x14ac:dyDescent="0.25">
      <c r="B730" t="s">
        <v>826</v>
      </c>
      <c r="C730" t="s">
        <v>1012</v>
      </c>
      <c r="D730" t="s">
        <v>21</v>
      </c>
      <c r="E730" s="7">
        <v>45796</v>
      </c>
      <c r="F730" t="s">
        <v>57</v>
      </c>
      <c r="G730">
        <v>10</v>
      </c>
      <c r="H730">
        <v>1413</v>
      </c>
      <c r="I730" t="s">
        <v>76</v>
      </c>
    </row>
    <row r="731" spans="2:9" x14ac:dyDescent="0.25">
      <c r="B731" t="s">
        <v>827</v>
      </c>
      <c r="C731" t="s">
        <v>1017</v>
      </c>
      <c r="D731" t="s">
        <v>23</v>
      </c>
      <c r="E731" s="7">
        <v>45848</v>
      </c>
      <c r="F731" t="s">
        <v>57</v>
      </c>
      <c r="G731">
        <v>1</v>
      </c>
      <c r="H731">
        <v>555</v>
      </c>
      <c r="I731" t="s">
        <v>76</v>
      </c>
    </row>
    <row r="732" spans="2:9" x14ac:dyDescent="0.25">
      <c r="B732" t="s">
        <v>828</v>
      </c>
      <c r="C732" t="s">
        <v>1022</v>
      </c>
      <c r="D732" t="s">
        <v>14</v>
      </c>
      <c r="E732" s="7">
        <v>45839</v>
      </c>
      <c r="F732" t="s">
        <v>57</v>
      </c>
      <c r="G732">
        <v>6</v>
      </c>
      <c r="H732">
        <v>659</v>
      </c>
      <c r="I732" t="s">
        <v>81</v>
      </c>
    </row>
    <row r="733" spans="2:9" x14ac:dyDescent="0.25">
      <c r="B733" t="s">
        <v>829</v>
      </c>
      <c r="C733" t="s">
        <v>1014</v>
      </c>
      <c r="D733" t="s">
        <v>19</v>
      </c>
      <c r="E733" s="7">
        <v>45672</v>
      </c>
      <c r="F733" t="s">
        <v>58</v>
      </c>
      <c r="G733">
        <v>9</v>
      </c>
      <c r="H733">
        <v>531</v>
      </c>
      <c r="I733" t="s">
        <v>81</v>
      </c>
    </row>
    <row r="734" spans="2:9" x14ac:dyDescent="0.25">
      <c r="B734" t="s">
        <v>830</v>
      </c>
      <c r="C734" t="s">
        <v>1018</v>
      </c>
      <c r="D734" t="s">
        <v>19</v>
      </c>
      <c r="E734" s="7">
        <v>45854</v>
      </c>
      <c r="F734" t="s">
        <v>57</v>
      </c>
      <c r="G734">
        <v>8</v>
      </c>
      <c r="H734">
        <v>298</v>
      </c>
      <c r="I734" t="s">
        <v>81</v>
      </c>
    </row>
    <row r="735" spans="2:9" x14ac:dyDescent="0.25">
      <c r="B735" t="s">
        <v>831</v>
      </c>
      <c r="C735" t="s">
        <v>1011</v>
      </c>
      <c r="D735" t="s">
        <v>14</v>
      </c>
      <c r="E735" s="7">
        <v>45699</v>
      </c>
      <c r="F735" t="s">
        <v>57</v>
      </c>
      <c r="G735">
        <v>1</v>
      </c>
      <c r="H735">
        <v>3904</v>
      </c>
      <c r="I735" t="s">
        <v>81</v>
      </c>
    </row>
    <row r="736" spans="2:9" x14ac:dyDescent="0.25">
      <c r="B736" t="s">
        <v>832</v>
      </c>
      <c r="C736" t="s">
        <v>1018</v>
      </c>
      <c r="D736" t="s">
        <v>21</v>
      </c>
      <c r="E736" s="7">
        <v>45995</v>
      </c>
      <c r="F736" t="s">
        <v>58</v>
      </c>
      <c r="G736">
        <v>4</v>
      </c>
      <c r="H736">
        <v>1671</v>
      </c>
      <c r="I736" t="s">
        <v>76</v>
      </c>
    </row>
    <row r="737" spans="2:9" x14ac:dyDescent="0.25">
      <c r="B737" t="s">
        <v>833</v>
      </c>
      <c r="C737" t="s">
        <v>1012</v>
      </c>
      <c r="D737" t="s">
        <v>21</v>
      </c>
      <c r="E737" s="7">
        <v>45913</v>
      </c>
      <c r="F737" t="s">
        <v>58</v>
      </c>
      <c r="G737">
        <v>3</v>
      </c>
      <c r="H737">
        <v>2679</v>
      </c>
      <c r="I737" t="s">
        <v>76</v>
      </c>
    </row>
    <row r="738" spans="2:9" x14ac:dyDescent="0.25">
      <c r="B738" t="s">
        <v>834</v>
      </c>
      <c r="C738" t="s">
        <v>1016</v>
      </c>
      <c r="D738" t="s">
        <v>21</v>
      </c>
      <c r="E738" s="7">
        <v>46016</v>
      </c>
      <c r="F738" t="s">
        <v>58</v>
      </c>
      <c r="G738">
        <v>7</v>
      </c>
      <c r="H738">
        <v>2386</v>
      </c>
      <c r="I738" t="s">
        <v>84</v>
      </c>
    </row>
    <row r="739" spans="2:9" x14ac:dyDescent="0.25">
      <c r="B739" t="s">
        <v>835</v>
      </c>
      <c r="C739" t="s">
        <v>1020</v>
      </c>
      <c r="D739" t="s">
        <v>27</v>
      </c>
      <c r="E739" s="7">
        <v>45974</v>
      </c>
      <c r="F739" t="s">
        <v>58</v>
      </c>
      <c r="G739">
        <v>1</v>
      </c>
      <c r="H739">
        <v>65</v>
      </c>
      <c r="I739" t="s">
        <v>81</v>
      </c>
    </row>
    <row r="740" spans="2:9" x14ac:dyDescent="0.25">
      <c r="B740" t="s">
        <v>836</v>
      </c>
      <c r="C740" t="s">
        <v>1005</v>
      </c>
      <c r="D740" t="s">
        <v>21</v>
      </c>
      <c r="E740" s="7">
        <v>45843</v>
      </c>
      <c r="F740" t="s">
        <v>57</v>
      </c>
      <c r="G740">
        <v>1</v>
      </c>
      <c r="H740">
        <v>1293</v>
      </c>
      <c r="I740" t="s">
        <v>84</v>
      </c>
    </row>
    <row r="741" spans="2:9" x14ac:dyDescent="0.25">
      <c r="B741" t="s">
        <v>837</v>
      </c>
      <c r="C741" t="s">
        <v>1013</v>
      </c>
      <c r="D741" t="s">
        <v>14</v>
      </c>
      <c r="E741" s="7">
        <v>45942</v>
      </c>
      <c r="F741" t="s">
        <v>58</v>
      </c>
      <c r="G741">
        <v>6</v>
      </c>
      <c r="H741">
        <v>518</v>
      </c>
      <c r="I741" t="s">
        <v>76</v>
      </c>
    </row>
    <row r="742" spans="2:9" x14ac:dyDescent="0.25">
      <c r="B742" t="s">
        <v>838</v>
      </c>
      <c r="C742" t="s">
        <v>1015</v>
      </c>
      <c r="D742" t="s">
        <v>11</v>
      </c>
      <c r="E742" s="7">
        <v>45765</v>
      </c>
      <c r="F742" t="s">
        <v>58</v>
      </c>
      <c r="G742">
        <v>2</v>
      </c>
      <c r="H742">
        <v>3472</v>
      </c>
      <c r="I742" t="s">
        <v>76</v>
      </c>
    </row>
    <row r="743" spans="2:9" x14ac:dyDescent="0.25">
      <c r="B743" t="s">
        <v>839</v>
      </c>
      <c r="C743" t="s">
        <v>1017</v>
      </c>
      <c r="D743" t="s">
        <v>23</v>
      </c>
      <c r="E743" s="7">
        <v>45764</v>
      </c>
      <c r="F743" t="s">
        <v>58</v>
      </c>
      <c r="G743">
        <v>2</v>
      </c>
      <c r="H743">
        <v>4758</v>
      </c>
      <c r="I743" t="s">
        <v>81</v>
      </c>
    </row>
    <row r="744" spans="2:9" x14ac:dyDescent="0.25">
      <c r="B744" t="s">
        <v>840</v>
      </c>
      <c r="C744" t="s">
        <v>1006</v>
      </c>
      <c r="D744" t="s">
        <v>14</v>
      </c>
      <c r="E744" s="7">
        <v>45966</v>
      </c>
      <c r="F744" t="s">
        <v>57</v>
      </c>
      <c r="G744">
        <v>9</v>
      </c>
      <c r="H744">
        <v>303</v>
      </c>
      <c r="I744" t="s">
        <v>81</v>
      </c>
    </row>
    <row r="745" spans="2:9" x14ac:dyDescent="0.25">
      <c r="B745" t="s">
        <v>841</v>
      </c>
      <c r="C745" t="s">
        <v>1017</v>
      </c>
      <c r="D745" t="s">
        <v>21</v>
      </c>
      <c r="E745" s="7">
        <v>46005</v>
      </c>
      <c r="F745" t="s">
        <v>58</v>
      </c>
      <c r="G745">
        <v>4</v>
      </c>
      <c r="H745">
        <v>4789</v>
      </c>
      <c r="I745" t="s">
        <v>81</v>
      </c>
    </row>
    <row r="746" spans="2:9" x14ac:dyDescent="0.25">
      <c r="B746" t="s">
        <v>842</v>
      </c>
      <c r="C746" t="s">
        <v>1017</v>
      </c>
      <c r="D746" t="s">
        <v>17</v>
      </c>
      <c r="E746" s="7">
        <v>45771</v>
      </c>
      <c r="F746" t="s">
        <v>58</v>
      </c>
      <c r="G746">
        <v>4</v>
      </c>
      <c r="H746">
        <v>4336</v>
      </c>
      <c r="I746" t="s">
        <v>84</v>
      </c>
    </row>
    <row r="747" spans="2:9" x14ac:dyDescent="0.25">
      <c r="B747" t="s">
        <v>843</v>
      </c>
      <c r="C747" t="s">
        <v>1021</v>
      </c>
      <c r="D747" t="s">
        <v>21</v>
      </c>
      <c r="E747" s="7">
        <v>45682</v>
      </c>
      <c r="F747" t="s">
        <v>58</v>
      </c>
      <c r="G747">
        <v>8</v>
      </c>
      <c r="H747">
        <v>3820</v>
      </c>
      <c r="I747" t="s">
        <v>84</v>
      </c>
    </row>
    <row r="748" spans="2:9" x14ac:dyDescent="0.25">
      <c r="B748" t="s">
        <v>844</v>
      </c>
      <c r="C748" t="s">
        <v>1006</v>
      </c>
      <c r="D748" t="s">
        <v>27</v>
      </c>
      <c r="E748" s="7">
        <v>45873</v>
      </c>
      <c r="F748" t="s">
        <v>58</v>
      </c>
      <c r="G748">
        <v>1</v>
      </c>
      <c r="H748">
        <v>4461</v>
      </c>
      <c r="I748" t="s">
        <v>76</v>
      </c>
    </row>
    <row r="749" spans="2:9" x14ac:dyDescent="0.25">
      <c r="B749" t="s">
        <v>845</v>
      </c>
      <c r="C749" t="s">
        <v>1006</v>
      </c>
      <c r="D749" t="s">
        <v>11</v>
      </c>
      <c r="E749" s="7">
        <v>45981</v>
      </c>
      <c r="F749" t="s">
        <v>58</v>
      </c>
      <c r="G749">
        <v>7</v>
      </c>
      <c r="H749">
        <v>1327</v>
      </c>
      <c r="I749" t="s">
        <v>76</v>
      </c>
    </row>
    <row r="750" spans="2:9" x14ac:dyDescent="0.25">
      <c r="B750" t="s">
        <v>846</v>
      </c>
      <c r="C750" t="s">
        <v>1021</v>
      </c>
      <c r="D750" t="s">
        <v>14</v>
      </c>
      <c r="E750" s="7">
        <v>45825</v>
      </c>
      <c r="F750" t="s">
        <v>57</v>
      </c>
      <c r="G750">
        <v>6</v>
      </c>
      <c r="H750">
        <v>775</v>
      </c>
      <c r="I750" t="s">
        <v>84</v>
      </c>
    </row>
    <row r="751" spans="2:9" x14ac:dyDescent="0.25">
      <c r="B751" t="s">
        <v>847</v>
      </c>
      <c r="C751" t="s">
        <v>1019</v>
      </c>
      <c r="D751" t="s">
        <v>17</v>
      </c>
      <c r="E751" s="7">
        <v>45969</v>
      </c>
      <c r="F751" t="s">
        <v>58</v>
      </c>
      <c r="G751">
        <v>2</v>
      </c>
      <c r="H751">
        <v>3010</v>
      </c>
      <c r="I751" t="s">
        <v>84</v>
      </c>
    </row>
    <row r="752" spans="2:9" x14ac:dyDescent="0.25">
      <c r="B752" t="s">
        <v>848</v>
      </c>
      <c r="C752" t="s">
        <v>1021</v>
      </c>
      <c r="D752" t="s">
        <v>27</v>
      </c>
      <c r="E752" s="7">
        <v>45812</v>
      </c>
      <c r="F752" t="s">
        <v>57</v>
      </c>
      <c r="G752">
        <v>10</v>
      </c>
      <c r="H752">
        <v>4582</v>
      </c>
      <c r="I752" t="s">
        <v>81</v>
      </c>
    </row>
    <row r="753" spans="2:9" x14ac:dyDescent="0.25">
      <c r="B753" t="s">
        <v>849</v>
      </c>
      <c r="C753" t="s">
        <v>1013</v>
      </c>
      <c r="D753" t="s">
        <v>11</v>
      </c>
      <c r="E753" s="7">
        <v>45690</v>
      </c>
      <c r="F753" t="s">
        <v>58</v>
      </c>
      <c r="G753">
        <v>8</v>
      </c>
      <c r="H753">
        <v>873</v>
      </c>
      <c r="I753" t="s">
        <v>81</v>
      </c>
    </row>
    <row r="754" spans="2:9" x14ac:dyDescent="0.25">
      <c r="B754" t="s">
        <v>850</v>
      </c>
      <c r="C754" t="s">
        <v>1018</v>
      </c>
      <c r="D754" t="s">
        <v>21</v>
      </c>
      <c r="E754" s="7">
        <v>45894</v>
      </c>
      <c r="F754" t="s">
        <v>58</v>
      </c>
      <c r="G754">
        <v>2</v>
      </c>
      <c r="H754">
        <v>3528</v>
      </c>
      <c r="I754" t="s">
        <v>81</v>
      </c>
    </row>
    <row r="755" spans="2:9" x14ac:dyDescent="0.25">
      <c r="B755" t="s">
        <v>851</v>
      </c>
      <c r="C755" t="s">
        <v>1006</v>
      </c>
      <c r="D755" t="s">
        <v>19</v>
      </c>
      <c r="E755" s="7">
        <v>45832</v>
      </c>
      <c r="F755" t="s">
        <v>58</v>
      </c>
      <c r="G755">
        <v>5</v>
      </c>
      <c r="H755">
        <v>3106</v>
      </c>
      <c r="I755" t="s">
        <v>76</v>
      </c>
    </row>
    <row r="756" spans="2:9" x14ac:dyDescent="0.25">
      <c r="B756" t="s">
        <v>852</v>
      </c>
      <c r="C756" t="s">
        <v>1011</v>
      </c>
      <c r="D756" t="s">
        <v>21</v>
      </c>
      <c r="E756" s="7">
        <v>45662</v>
      </c>
      <c r="F756" t="s">
        <v>58</v>
      </c>
      <c r="G756">
        <v>8</v>
      </c>
      <c r="H756">
        <v>1446</v>
      </c>
      <c r="I756" t="s">
        <v>76</v>
      </c>
    </row>
    <row r="757" spans="2:9" x14ac:dyDescent="0.25">
      <c r="B757" t="s">
        <v>853</v>
      </c>
      <c r="C757" t="s">
        <v>1014</v>
      </c>
      <c r="D757" t="s">
        <v>21</v>
      </c>
      <c r="E757" s="7">
        <v>45794</v>
      </c>
      <c r="F757" t="s">
        <v>57</v>
      </c>
      <c r="G757">
        <v>2</v>
      </c>
      <c r="H757">
        <v>4204</v>
      </c>
      <c r="I757" t="s">
        <v>81</v>
      </c>
    </row>
    <row r="758" spans="2:9" x14ac:dyDescent="0.25">
      <c r="B758" t="s">
        <v>854</v>
      </c>
      <c r="C758" t="s">
        <v>1018</v>
      </c>
      <c r="D758" t="s">
        <v>11</v>
      </c>
      <c r="E758" s="7">
        <v>45767</v>
      </c>
      <c r="F758" t="s">
        <v>58</v>
      </c>
      <c r="G758">
        <v>4</v>
      </c>
      <c r="H758">
        <v>3414</v>
      </c>
      <c r="I758" t="s">
        <v>84</v>
      </c>
    </row>
    <row r="759" spans="2:9" x14ac:dyDescent="0.25">
      <c r="B759" t="s">
        <v>855</v>
      </c>
      <c r="C759" t="s">
        <v>1012</v>
      </c>
      <c r="D759" t="s">
        <v>27</v>
      </c>
      <c r="E759" s="7">
        <v>45794</v>
      </c>
      <c r="F759" t="s">
        <v>57</v>
      </c>
      <c r="G759">
        <v>2</v>
      </c>
      <c r="H759">
        <v>4886</v>
      </c>
      <c r="I759" t="s">
        <v>76</v>
      </c>
    </row>
    <row r="760" spans="2:9" x14ac:dyDescent="0.25">
      <c r="B760" t="s">
        <v>856</v>
      </c>
      <c r="C760" t="s">
        <v>1017</v>
      </c>
      <c r="D760" t="s">
        <v>27</v>
      </c>
      <c r="E760" s="7">
        <v>45666</v>
      </c>
      <c r="F760" t="s">
        <v>57</v>
      </c>
      <c r="G760">
        <v>9</v>
      </c>
      <c r="H760">
        <v>811</v>
      </c>
      <c r="I760" t="s">
        <v>76</v>
      </c>
    </row>
    <row r="761" spans="2:9" x14ac:dyDescent="0.25">
      <c r="B761" t="s">
        <v>857</v>
      </c>
      <c r="C761" t="s">
        <v>1012</v>
      </c>
      <c r="D761" t="s">
        <v>14</v>
      </c>
      <c r="E761" s="7">
        <v>45757</v>
      </c>
      <c r="F761" t="s">
        <v>57</v>
      </c>
      <c r="G761">
        <v>10</v>
      </c>
      <c r="H761">
        <v>2137</v>
      </c>
      <c r="I761" t="s">
        <v>76</v>
      </c>
    </row>
    <row r="762" spans="2:9" x14ac:dyDescent="0.25">
      <c r="B762" t="s">
        <v>858</v>
      </c>
      <c r="C762" t="s">
        <v>1022</v>
      </c>
      <c r="D762" t="s">
        <v>21</v>
      </c>
      <c r="E762" s="7">
        <v>45720</v>
      </c>
      <c r="F762" t="s">
        <v>58</v>
      </c>
      <c r="G762">
        <v>5</v>
      </c>
      <c r="H762">
        <v>1208</v>
      </c>
      <c r="I762" t="s">
        <v>84</v>
      </c>
    </row>
    <row r="763" spans="2:9" x14ac:dyDescent="0.25">
      <c r="B763" t="s">
        <v>859</v>
      </c>
      <c r="C763" t="s">
        <v>1010</v>
      </c>
      <c r="D763" t="s">
        <v>19</v>
      </c>
      <c r="E763" s="7">
        <v>45733</v>
      </c>
      <c r="F763" t="s">
        <v>57</v>
      </c>
      <c r="G763">
        <v>4</v>
      </c>
      <c r="H763">
        <v>4147</v>
      </c>
      <c r="I763" t="s">
        <v>81</v>
      </c>
    </row>
    <row r="764" spans="2:9" x14ac:dyDescent="0.25">
      <c r="B764" t="s">
        <v>860</v>
      </c>
      <c r="C764" t="s">
        <v>1018</v>
      </c>
      <c r="D764" t="s">
        <v>21</v>
      </c>
      <c r="E764" s="7">
        <v>45673</v>
      </c>
      <c r="F764" t="s">
        <v>58</v>
      </c>
      <c r="G764">
        <v>5</v>
      </c>
      <c r="H764">
        <v>3456</v>
      </c>
      <c r="I764" t="s">
        <v>76</v>
      </c>
    </row>
    <row r="765" spans="2:9" x14ac:dyDescent="0.25">
      <c r="B765" t="s">
        <v>861</v>
      </c>
      <c r="C765" t="s">
        <v>1020</v>
      </c>
      <c r="D765" t="s">
        <v>23</v>
      </c>
      <c r="E765" s="7">
        <v>45848</v>
      </c>
      <c r="F765" t="s">
        <v>58</v>
      </c>
      <c r="G765">
        <v>5</v>
      </c>
      <c r="H765">
        <v>431</v>
      </c>
      <c r="I765" t="s">
        <v>84</v>
      </c>
    </row>
    <row r="766" spans="2:9" x14ac:dyDescent="0.25">
      <c r="B766" t="s">
        <v>862</v>
      </c>
      <c r="C766" t="s">
        <v>1013</v>
      </c>
      <c r="D766" t="s">
        <v>11</v>
      </c>
      <c r="E766" s="7">
        <v>45997</v>
      </c>
      <c r="F766" t="s">
        <v>58</v>
      </c>
      <c r="G766">
        <v>7</v>
      </c>
      <c r="H766">
        <v>2672</v>
      </c>
      <c r="I766" t="s">
        <v>84</v>
      </c>
    </row>
    <row r="767" spans="2:9" x14ac:dyDescent="0.25">
      <c r="B767" t="s">
        <v>863</v>
      </c>
      <c r="C767" t="s">
        <v>1014</v>
      </c>
      <c r="D767" t="s">
        <v>23</v>
      </c>
      <c r="E767" s="7">
        <v>45954</v>
      </c>
      <c r="F767" t="s">
        <v>58</v>
      </c>
      <c r="G767">
        <v>5</v>
      </c>
      <c r="H767">
        <v>1669</v>
      </c>
      <c r="I767" t="s">
        <v>81</v>
      </c>
    </row>
    <row r="768" spans="2:9" x14ac:dyDescent="0.25">
      <c r="B768" t="s">
        <v>864</v>
      </c>
      <c r="C768" t="s">
        <v>1005</v>
      </c>
      <c r="D768" t="s">
        <v>21</v>
      </c>
      <c r="E768" s="7">
        <v>45927</v>
      </c>
      <c r="F768" t="s">
        <v>57</v>
      </c>
      <c r="G768">
        <v>10</v>
      </c>
      <c r="H768">
        <v>197</v>
      </c>
      <c r="I768" t="s">
        <v>76</v>
      </c>
    </row>
    <row r="769" spans="2:9" x14ac:dyDescent="0.25">
      <c r="B769" t="s">
        <v>865</v>
      </c>
      <c r="C769" t="s">
        <v>1010</v>
      </c>
      <c r="D769" t="s">
        <v>11</v>
      </c>
      <c r="E769" s="7">
        <v>45948</v>
      </c>
      <c r="F769" t="s">
        <v>58</v>
      </c>
      <c r="G769">
        <v>10</v>
      </c>
      <c r="H769">
        <v>4845</v>
      </c>
      <c r="I769" t="s">
        <v>84</v>
      </c>
    </row>
    <row r="770" spans="2:9" x14ac:dyDescent="0.25">
      <c r="B770" t="s">
        <v>866</v>
      </c>
      <c r="C770" t="s">
        <v>1010</v>
      </c>
      <c r="D770" t="s">
        <v>27</v>
      </c>
      <c r="E770" s="7">
        <v>45742</v>
      </c>
      <c r="F770" t="s">
        <v>57</v>
      </c>
      <c r="G770">
        <v>4</v>
      </c>
      <c r="H770">
        <v>3601</v>
      </c>
      <c r="I770" t="s">
        <v>76</v>
      </c>
    </row>
    <row r="771" spans="2:9" x14ac:dyDescent="0.25">
      <c r="B771" t="s">
        <v>867</v>
      </c>
      <c r="C771" t="s">
        <v>1010</v>
      </c>
      <c r="D771" t="s">
        <v>23</v>
      </c>
      <c r="E771" s="7">
        <v>45912</v>
      </c>
      <c r="F771" t="s">
        <v>57</v>
      </c>
      <c r="G771">
        <v>8</v>
      </c>
      <c r="H771">
        <v>3209</v>
      </c>
      <c r="I771" t="s">
        <v>84</v>
      </c>
    </row>
    <row r="772" spans="2:9" x14ac:dyDescent="0.25">
      <c r="B772" t="s">
        <v>868</v>
      </c>
      <c r="C772" t="s">
        <v>1014</v>
      </c>
      <c r="D772" t="s">
        <v>21</v>
      </c>
      <c r="E772" s="7">
        <v>45945</v>
      </c>
      <c r="F772" t="s">
        <v>57</v>
      </c>
      <c r="G772">
        <v>5</v>
      </c>
      <c r="H772">
        <v>1774</v>
      </c>
      <c r="I772" t="s">
        <v>84</v>
      </c>
    </row>
    <row r="773" spans="2:9" x14ac:dyDescent="0.25">
      <c r="B773" t="s">
        <v>869</v>
      </c>
      <c r="C773" t="s">
        <v>1014</v>
      </c>
      <c r="D773" t="s">
        <v>11</v>
      </c>
      <c r="E773" s="7">
        <v>45906</v>
      </c>
      <c r="F773" t="s">
        <v>57</v>
      </c>
      <c r="G773">
        <v>9</v>
      </c>
      <c r="H773">
        <v>1216</v>
      </c>
      <c r="I773" t="s">
        <v>84</v>
      </c>
    </row>
    <row r="774" spans="2:9" x14ac:dyDescent="0.25">
      <c r="B774" t="s">
        <v>870</v>
      </c>
      <c r="C774" t="s">
        <v>1019</v>
      </c>
      <c r="D774" t="s">
        <v>17</v>
      </c>
      <c r="E774" s="7">
        <v>45910</v>
      </c>
      <c r="F774" t="s">
        <v>58</v>
      </c>
      <c r="G774">
        <v>8</v>
      </c>
      <c r="H774">
        <v>4775</v>
      </c>
      <c r="I774" t="s">
        <v>81</v>
      </c>
    </row>
    <row r="775" spans="2:9" x14ac:dyDescent="0.25">
      <c r="B775" t="s">
        <v>871</v>
      </c>
      <c r="C775" t="s">
        <v>1005</v>
      </c>
      <c r="D775" t="s">
        <v>14</v>
      </c>
      <c r="E775" s="7">
        <v>45846</v>
      </c>
      <c r="F775" t="s">
        <v>57</v>
      </c>
      <c r="G775">
        <v>5</v>
      </c>
      <c r="H775">
        <v>4566</v>
      </c>
      <c r="I775" t="s">
        <v>81</v>
      </c>
    </row>
    <row r="776" spans="2:9" x14ac:dyDescent="0.25">
      <c r="B776" t="s">
        <v>872</v>
      </c>
      <c r="C776" t="s">
        <v>1012</v>
      </c>
      <c r="D776" t="s">
        <v>14</v>
      </c>
      <c r="E776" s="7">
        <v>45970</v>
      </c>
      <c r="F776" t="s">
        <v>58</v>
      </c>
      <c r="G776">
        <v>4</v>
      </c>
      <c r="H776">
        <v>3985</v>
      </c>
      <c r="I776" t="s">
        <v>81</v>
      </c>
    </row>
    <row r="777" spans="2:9" x14ac:dyDescent="0.25">
      <c r="B777" t="s">
        <v>873</v>
      </c>
      <c r="C777" t="s">
        <v>1020</v>
      </c>
      <c r="D777" t="s">
        <v>14</v>
      </c>
      <c r="E777" s="7">
        <v>45995</v>
      </c>
      <c r="F777" t="s">
        <v>58</v>
      </c>
      <c r="G777">
        <v>2</v>
      </c>
      <c r="H777">
        <v>282</v>
      </c>
      <c r="I777" t="s">
        <v>76</v>
      </c>
    </row>
    <row r="778" spans="2:9" x14ac:dyDescent="0.25">
      <c r="B778" t="s">
        <v>874</v>
      </c>
      <c r="C778" t="s">
        <v>1014</v>
      </c>
      <c r="D778" t="s">
        <v>21</v>
      </c>
      <c r="E778" s="7">
        <v>45671</v>
      </c>
      <c r="F778" t="s">
        <v>58</v>
      </c>
      <c r="G778">
        <v>3</v>
      </c>
      <c r="H778">
        <v>1991</v>
      </c>
      <c r="I778" t="s">
        <v>76</v>
      </c>
    </row>
    <row r="779" spans="2:9" x14ac:dyDescent="0.25">
      <c r="B779" t="s">
        <v>875</v>
      </c>
      <c r="C779" t="s">
        <v>1004</v>
      </c>
      <c r="D779" t="s">
        <v>27</v>
      </c>
      <c r="E779" s="7">
        <v>45672</v>
      </c>
      <c r="F779" t="s">
        <v>58</v>
      </c>
      <c r="G779">
        <v>9</v>
      </c>
      <c r="H779">
        <v>1536</v>
      </c>
      <c r="I779" t="s">
        <v>81</v>
      </c>
    </row>
    <row r="780" spans="2:9" x14ac:dyDescent="0.25">
      <c r="B780" t="s">
        <v>876</v>
      </c>
      <c r="C780" t="s">
        <v>1011</v>
      </c>
      <c r="D780" t="s">
        <v>17</v>
      </c>
      <c r="E780" s="7">
        <v>45847</v>
      </c>
      <c r="F780" t="s">
        <v>57</v>
      </c>
      <c r="G780">
        <v>10</v>
      </c>
      <c r="H780">
        <v>2627</v>
      </c>
      <c r="I780" t="s">
        <v>84</v>
      </c>
    </row>
    <row r="781" spans="2:9" x14ac:dyDescent="0.25">
      <c r="B781" t="s">
        <v>877</v>
      </c>
      <c r="C781" t="s">
        <v>1018</v>
      </c>
      <c r="D781" t="s">
        <v>21</v>
      </c>
      <c r="E781" s="7">
        <v>45701</v>
      </c>
      <c r="F781" t="s">
        <v>57</v>
      </c>
      <c r="G781">
        <v>5</v>
      </c>
      <c r="H781">
        <v>2823</v>
      </c>
      <c r="I781" t="s">
        <v>81</v>
      </c>
    </row>
    <row r="782" spans="2:9" x14ac:dyDescent="0.25">
      <c r="B782" t="s">
        <v>878</v>
      </c>
      <c r="C782" t="s">
        <v>1005</v>
      </c>
      <c r="D782" t="s">
        <v>11</v>
      </c>
      <c r="E782" s="7">
        <v>45973</v>
      </c>
      <c r="F782" t="s">
        <v>57</v>
      </c>
      <c r="G782">
        <v>10</v>
      </c>
      <c r="H782">
        <v>1008</v>
      </c>
      <c r="I782" t="s">
        <v>84</v>
      </c>
    </row>
    <row r="783" spans="2:9" x14ac:dyDescent="0.25">
      <c r="B783" t="s">
        <v>879</v>
      </c>
      <c r="C783" t="s">
        <v>1007</v>
      </c>
      <c r="D783" t="s">
        <v>21</v>
      </c>
      <c r="E783" s="7">
        <v>45935</v>
      </c>
      <c r="F783" t="s">
        <v>58</v>
      </c>
      <c r="G783">
        <v>3</v>
      </c>
      <c r="H783">
        <v>4861</v>
      </c>
      <c r="I783" t="s">
        <v>76</v>
      </c>
    </row>
    <row r="784" spans="2:9" x14ac:dyDescent="0.25">
      <c r="B784" t="s">
        <v>880</v>
      </c>
      <c r="C784" t="s">
        <v>1015</v>
      </c>
      <c r="D784" t="s">
        <v>23</v>
      </c>
      <c r="E784" s="7">
        <v>45886</v>
      </c>
      <c r="F784" t="s">
        <v>58</v>
      </c>
      <c r="G784">
        <v>5</v>
      </c>
      <c r="H784">
        <v>3459</v>
      </c>
      <c r="I784" t="s">
        <v>81</v>
      </c>
    </row>
    <row r="785" spans="2:9" x14ac:dyDescent="0.25">
      <c r="B785" t="s">
        <v>881</v>
      </c>
      <c r="C785" t="s">
        <v>1021</v>
      </c>
      <c r="D785" t="s">
        <v>21</v>
      </c>
      <c r="E785" s="7">
        <v>45966</v>
      </c>
      <c r="F785" t="s">
        <v>57</v>
      </c>
      <c r="G785">
        <v>8</v>
      </c>
      <c r="H785">
        <v>4635</v>
      </c>
      <c r="I785" t="s">
        <v>84</v>
      </c>
    </row>
    <row r="786" spans="2:9" x14ac:dyDescent="0.25">
      <c r="B786" t="s">
        <v>882</v>
      </c>
      <c r="C786" t="s">
        <v>1013</v>
      </c>
      <c r="D786" t="s">
        <v>11</v>
      </c>
      <c r="E786" s="7">
        <v>45964</v>
      </c>
      <c r="F786" t="s">
        <v>57</v>
      </c>
      <c r="G786">
        <v>4</v>
      </c>
      <c r="H786">
        <v>2604</v>
      </c>
      <c r="I786" t="s">
        <v>81</v>
      </c>
    </row>
    <row r="787" spans="2:9" x14ac:dyDescent="0.25">
      <c r="B787" t="s">
        <v>883</v>
      </c>
      <c r="C787" t="s">
        <v>1017</v>
      </c>
      <c r="D787" t="s">
        <v>27</v>
      </c>
      <c r="E787" s="7">
        <v>45814</v>
      </c>
      <c r="F787" t="s">
        <v>57</v>
      </c>
      <c r="G787">
        <v>10</v>
      </c>
      <c r="H787">
        <v>374</v>
      </c>
      <c r="I787" t="s">
        <v>84</v>
      </c>
    </row>
    <row r="788" spans="2:9" x14ac:dyDescent="0.25">
      <c r="B788" t="s">
        <v>884</v>
      </c>
      <c r="C788" t="s">
        <v>1010</v>
      </c>
      <c r="D788" t="s">
        <v>19</v>
      </c>
      <c r="E788" s="7">
        <v>45906</v>
      </c>
      <c r="F788" t="s">
        <v>58</v>
      </c>
      <c r="G788">
        <v>2</v>
      </c>
      <c r="H788">
        <v>2278</v>
      </c>
      <c r="I788" t="s">
        <v>81</v>
      </c>
    </row>
    <row r="789" spans="2:9" x14ac:dyDescent="0.25">
      <c r="B789" t="s">
        <v>885</v>
      </c>
      <c r="C789" t="s">
        <v>1006</v>
      </c>
      <c r="D789" t="s">
        <v>21</v>
      </c>
      <c r="E789" s="7">
        <v>45999</v>
      </c>
      <c r="F789" t="s">
        <v>58</v>
      </c>
      <c r="G789">
        <v>6</v>
      </c>
      <c r="H789">
        <v>1516</v>
      </c>
      <c r="I789" t="s">
        <v>76</v>
      </c>
    </row>
    <row r="790" spans="2:9" x14ac:dyDescent="0.25">
      <c r="B790" t="s">
        <v>886</v>
      </c>
      <c r="C790" t="s">
        <v>1009</v>
      </c>
      <c r="D790" t="s">
        <v>21</v>
      </c>
      <c r="E790" s="7">
        <v>45886</v>
      </c>
      <c r="F790" t="s">
        <v>58</v>
      </c>
      <c r="G790">
        <v>5</v>
      </c>
      <c r="H790">
        <v>2577</v>
      </c>
      <c r="I790" t="s">
        <v>76</v>
      </c>
    </row>
    <row r="791" spans="2:9" x14ac:dyDescent="0.25">
      <c r="B791" t="s">
        <v>887</v>
      </c>
      <c r="C791" t="s">
        <v>1011</v>
      </c>
      <c r="D791" t="s">
        <v>27</v>
      </c>
      <c r="E791" s="7">
        <v>45950</v>
      </c>
      <c r="F791" t="s">
        <v>57</v>
      </c>
      <c r="G791">
        <v>2</v>
      </c>
      <c r="H791">
        <v>3799</v>
      </c>
      <c r="I791" t="s">
        <v>84</v>
      </c>
    </row>
    <row r="792" spans="2:9" x14ac:dyDescent="0.25">
      <c r="B792" t="s">
        <v>888</v>
      </c>
      <c r="C792" t="s">
        <v>1019</v>
      </c>
      <c r="D792" t="s">
        <v>23</v>
      </c>
      <c r="E792" s="7">
        <v>45781</v>
      </c>
      <c r="F792" t="s">
        <v>57</v>
      </c>
      <c r="G792">
        <v>4</v>
      </c>
      <c r="H792">
        <v>4844</v>
      </c>
      <c r="I792" t="s">
        <v>81</v>
      </c>
    </row>
    <row r="793" spans="2:9" x14ac:dyDescent="0.25">
      <c r="B793" t="s">
        <v>889</v>
      </c>
      <c r="C793" t="s">
        <v>1010</v>
      </c>
      <c r="D793" t="s">
        <v>23</v>
      </c>
      <c r="E793" s="7">
        <v>45986</v>
      </c>
      <c r="F793" t="s">
        <v>57</v>
      </c>
      <c r="G793">
        <v>1</v>
      </c>
      <c r="H793">
        <v>4206</v>
      </c>
      <c r="I793" t="s">
        <v>84</v>
      </c>
    </row>
    <row r="794" spans="2:9" x14ac:dyDescent="0.25">
      <c r="B794" t="s">
        <v>890</v>
      </c>
      <c r="C794" t="s">
        <v>1011</v>
      </c>
      <c r="D794" t="s">
        <v>19</v>
      </c>
      <c r="E794" s="7">
        <v>45988</v>
      </c>
      <c r="F794" t="s">
        <v>58</v>
      </c>
      <c r="G794">
        <v>9</v>
      </c>
      <c r="H794">
        <v>1704</v>
      </c>
      <c r="I794" t="s">
        <v>84</v>
      </c>
    </row>
    <row r="795" spans="2:9" x14ac:dyDescent="0.25">
      <c r="B795" t="s">
        <v>891</v>
      </c>
      <c r="C795" t="s">
        <v>1022</v>
      </c>
      <c r="D795" t="s">
        <v>14</v>
      </c>
      <c r="E795" s="7">
        <v>45796</v>
      </c>
      <c r="F795" t="s">
        <v>58</v>
      </c>
      <c r="G795">
        <v>2</v>
      </c>
      <c r="H795">
        <v>968</v>
      </c>
      <c r="I795" t="s">
        <v>84</v>
      </c>
    </row>
    <row r="796" spans="2:9" x14ac:dyDescent="0.25">
      <c r="B796" t="s">
        <v>892</v>
      </c>
      <c r="C796" t="s">
        <v>1010</v>
      </c>
      <c r="D796" t="s">
        <v>27</v>
      </c>
      <c r="E796" s="7">
        <v>45789</v>
      </c>
      <c r="F796" t="s">
        <v>57</v>
      </c>
      <c r="G796">
        <v>4</v>
      </c>
      <c r="H796">
        <v>1972</v>
      </c>
      <c r="I796" t="s">
        <v>84</v>
      </c>
    </row>
    <row r="797" spans="2:9" x14ac:dyDescent="0.25">
      <c r="B797" t="s">
        <v>893</v>
      </c>
      <c r="C797" t="s">
        <v>1011</v>
      </c>
      <c r="D797" t="s">
        <v>17</v>
      </c>
      <c r="E797" s="7">
        <v>45836</v>
      </c>
      <c r="F797" t="s">
        <v>57</v>
      </c>
      <c r="G797">
        <v>6</v>
      </c>
      <c r="H797">
        <v>3522</v>
      </c>
      <c r="I797" t="s">
        <v>76</v>
      </c>
    </row>
    <row r="798" spans="2:9" x14ac:dyDescent="0.25">
      <c r="B798" t="s">
        <v>894</v>
      </c>
      <c r="C798" t="s">
        <v>1012</v>
      </c>
      <c r="D798" t="s">
        <v>17</v>
      </c>
      <c r="E798" s="7">
        <v>45752</v>
      </c>
      <c r="F798" t="s">
        <v>58</v>
      </c>
      <c r="G798">
        <v>6</v>
      </c>
      <c r="H798">
        <v>765</v>
      </c>
      <c r="I798" t="s">
        <v>81</v>
      </c>
    </row>
    <row r="799" spans="2:9" x14ac:dyDescent="0.25">
      <c r="B799" t="s">
        <v>895</v>
      </c>
      <c r="C799" t="s">
        <v>1017</v>
      </c>
      <c r="D799" t="s">
        <v>21</v>
      </c>
      <c r="E799" s="7">
        <v>45966</v>
      </c>
      <c r="F799" t="s">
        <v>57</v>
      </c>
      <c r="G799">
        <v>4</v>
      </c>
      <c r="H799">
        <v>2624</v>
      </c>
      <c r="I799" t="s">
        <v>81</v>
      </c>
    </row>
    <row r="800" spans="2:9" x14ac:dyDescent="0.25">
      <c r="B800" t="s">
        <v>896</v>
      </c>
      <c r="C800" t="s">
        <v>1014</v>
      </c>
      <c r="D800" t="s">
        <v>19</v>
      </c>
      <c r="E800" s="7">
        <v>45750</v>
      </c>
      <c r="F800" t="s">
        <v>58</v>
      </c>
      <c r="G800">
        <v>4</v>
      </c>
      <c r="H800">
        <v>4404</v>
      </c>
      <c r="I800" t="s">
        <v>81</v>
      </c>
    </row>
    <row r="801" spans="2:9" x14ac:dyDescent="0.25">
      <c r="B801" t="s">
        <v>897</v>
      </c>
      <c r="C801" t="s">
        <v>1015</v>
      </c>
      <c r="D801" t="s">
        <v>23</v>
      </c>
      <c r="E801" s="7">
        <v>45765</v>
      </c>
      <c r="F801" t="s">
        <v>57</v>
      </c>
      <c r="G801">
        <v>3</v>
      </c>
      <c r="H801">
        <v>241</v>
      </c>
      <c r="I801" t="s">
        <v>81</v>
      </c>
    </row>
    <row r="802" spans="2:9" x14ac:dyDescent="0.25">
      <c r="B802" t="s">
        <v>898</v>
      </c>
      <c r="C802" t="s">
        <v>1006</v>
      </c>
      <c r="D802" t="s">
        <v>27</v>
      </c>
      <c r="E802" s="7">
        <v>45817</v>
      </c>
      <c r="F802" t="s">
        <v>57</v>
      </c>
      <c r="G802">
        <v>10</v>
      </c>
      <c r="H802">
        <v>537</v>
      </c>
      <c r="I802" t="s">
        <v>76</v>
      </c>
    </row>
    <row r="803" spans="2:9" x14ac:dyDescent="0.25">
      <c r="B803" t="s">
        <v>899</v>
      </c>
      <c r="C803" t="s">
        <v>1021</v>
      </c>
      <c r="D803" t="s">
        <v>27</v>
      </c>
      <c r="E803" s="7">
        <v>45967</v>
      </c>
      <c r="F803" t="s">
        <v>58</v>
      </c>
      <c r="G803">
        <v>10</v>
      </c>
      <c r="H803">
        <v>4564</v>
      </c>
      <c r="I803" t="s">
        <v>84</v>
      </c>
    </row>
    <row r="804" spans="2:9" x14ac:dyDescent="0.25">
      <c r="B804" t="s">
        <v>900</v>
      </c>
      <c r="C804" t="s">
        <v>1019</v>
      </c>
      <c r="D804" t="s">
        <v>14</v>
      </c>
      <c r="E804" s="7">
        <v>45967</v>
      </c>
      <c r="F804" t="s">
        <v>57</v>
      </c>
      <c r="G804">
        <v>8</v>
      </c>
      <c r="H804">
        <v>2956</v>
      </c>
      <c r="I804" t="s">
        <v>76</v>
      </c>
    </row>
    <row r="805" spans="2:9" x14ac:dyDescent="0.25">
      <c r="B805" t="s">
        <v>901</v>
      </c>
      <c r="C805" t="s">
        <v>1008</v>
      </c>
      <c r="D805" t="s">
        <v>11</v>
      </c>
      <c r="E805" s="7">
        <v>46014</v>
      </c>
      <c r="F805" t="s">
        <v>58</v>
      </c>
      <c r="G805">
        <v>5</v>
      </c>
      <c r="H805">
        <v>123</v>
      </c>
      <c r="I805" t="s">
        <v>81</v>
      </c>
    </row>
    <row r="806" spans="2:9" x14ac:dyDescent="0.25">
      <c r="B806" t="s">
        <v>902</v>
      </c>
      <c r="C806" t="s">
        <v>1014</v>
      </c>
      <c r="D806" t="s">
        <v>14</v>
      </c>
      <c r="E806" s="7">
        <v>45669</v>
      </c>
      <c r="F806" t="s">
        <v>58</v>
      </c>
      <c r="G806">
        <v>5</v>
      </c>
      <c r="H806">
        <v>1798</v>
      </c>
      <c r="I806" t="s">
        <v>81</v>
      </c>
    </row>
    <row r="807" spans="2:9" x14ac:dyDescent="0.25">
      <c r="B807" t="s">
        <v>903</v>
      </c>
      <c r="C807" t="s">
        <v>1008</v>
      </c>
      <c r="D807" t="s">
        <v>23</v>
      </c>
      <c r="E807" s="7">
        <v>45739</v>
      </c>
      <c r="F807" t="s">
        <v>57</v>
      </c>
      <c r="G807">
        <v>2</v>
      </c>
      <c r="H807">
        <v>2584</v>
      </c>
      <c r="I807" t="s">
        <v>84</v>
      </c>
    </row>
    <row r="808" spans="2:9" x14ac:dyDescent="0.25">
      <c r="B808" t="s">
        <v>904</v>
      </c>
      <c r="C808" t="s">
        <v>1008</v>
      </c>
      <c r="D808" t="s">
        <v>27</v>
      </c>
      <c r="E808" s="7">
        <v>45891</v>
      </c>
      <c r="F808" t="s">
        <v>58</v>
      </c>
      <c r="G808">
        <v>9</v>
      </c>
      <c r="H808">
        <v>3387</v>
      </c>
      <c r="I808" t="s">
        <v>76</v>
      </c>
    </row>
    <row r="809" spans="2:9" x14ac:dyDescent="0.25">
      <c r="B809" t="s">
        <v>905</v>
      </c>
      <c r="C809" t="s">
        <v>1005</v>
      </c>
      <c r="D809" t="s">
        <v>27</v>
      </c>
      <c r="E809" s="7">
        <v>45764</v>
      </c>
      <c r="F809" t="s">
        <v>58</v>
      </c>
      <c r="G809">
        <v>6</v>
      </c>
      <c r="H809">
        <v>3947</v>
      </c>
      <c r="I809" t="s">
        <v>84</v>
      </c>
    </row>
    <row r="810" spans="2:9" x14ac:dyDescent="0.25">
      <c r="B810" t="s">
        <v>906</v>
      </c>
      <c r="C810" t="s">
        <v>1017</v>
      </c>
      <c r="D810" t="s">
        <v>23</v>
      </c>
      <c r="E810" s="7">
        <v>45913</v>
      </c>
      <c r="F810" t="s">
        <v>57</v>
      </c>
      <c r="G810">
        <v>2</v>
      </c>
      <c r="H810">
        <v>347</v>
      </c>
      <c r="I810" t="s">
        <v>76</v>
      </c>
    </row>
    <row r="811" spans="2:9" x14ac:dyDescent="0.25">
      <c r="B811" t="s">
        <v>907</v>
      </c>
      <c r="C811" t="s">
        <v>1007</v>
      </c>
      <c r="D811" t="s">
        <v>17</v>
      </c>
      <c r="E811" s="7">
        <v>45748</v>
      </c>
      <c r="F811" t="s">
        <v>58</v>
      </c>
      <c r="G811">
        <v>4</v>
      </c>
      <c r="H811">
        <v>2443</v>
      </c>
      <c r="I811" t="s">
        <v>81</v>
      </c>
    </row>
    <row r="812" spans="2:9" x14ac:dyDescent="0.25">
      <c r="B812" t="s">
        <v>908</v>
      </c>
      <c r="C812" t="s">
        <v>1017</v>
      </c>
      <c r="D812" t="s">
        <v>19</v>
      </c>
      <c r="E812" s="7">
        <v>45801</v>
      </c>
      <c r="F812" t="s">
        <v>58</v>
      </c>
      <c r="G812">
        <v>8</v>
      </c>
      <c r="H812">
        <v>1493</v>
      </c>
      <c r="I812" t="s">
        <v>76</v>
      </c>
    </row>
    <row r="813" spans="2:9" x14ac:dyDescent="0.25">
      <c r="B813" t="s">
        <v>909</v>
      </c>
      <c r="C813" t="s">
        <v>1022</v>
      </c>
      <c r="D813" t="s">
        <v>14</v>
      </c>
      <c r="E813" s="7">
        <v>45901</v>
      </c>
      <c r="F813" t="s">
        <v>57</v>
      </c>
      <c r="G813">
        <v>8</v>
      </c>
      <c r="H813">
        <v>2528</v>
      </c>
      <c r="I813" t="s">
        <v>81</v>
      </c>
    </row>
    <row r="814" spans="2:9" x14ac:dyDescent="0.25">
      <c r="B814" t="s">
        <v>910</v>
      </c>
      <c r="C814" t="s">
        <v>1010</v>
      </c>
      <c r="D814" t="s">
        <v>21</v>
      </c>
      <c r="E814" s="7">
        <v>45703</v>
      </c>
      <c r="F814" t="s">
        <v>58</v>
      </c>
      <c r="G814">
        <v>4</v>
      </c>
      <c r="H814">
        <v>1942</v>
      </c>
      <c r="I814" t="s">
        <v>76</v>
      </c>
    </row>
    <row r="815" spans="2:9" x14ac:dyDescent="0.25">
      <c r="B815" t="s">
        <v>911</v>
      </c>
      <c r="C815" t="s">
        <v>1008</v>
      </c>
      <c r="D815" t="s">
        <v>27</v>
      </c>
      <c r="E815" s="7">
        <v>45682</v>
      </c>
      <c r="F815" t="s">
        <v>57</v>
      </c>
      <c r="G815">
        <v>9</v>
      </c>
      <c r="H815">
        <v>4921</v>
      </c>
      <c r="I815" t="s">
        <v>81</v>
      </c>
    </row>
    <row r="816" spans="2:9" x14ac:dyDescent="0.25">
      <c r="B816" t="s">
        <v>912</v>
      </c>
      <c r="C816" t="s">
        <v>1021</v>
      </c>
      <c r="D816" t="s">
        <v>19</v>
      </c>
      <c r="E816" s="7">
        <v>45912</v>
      </c>
      <c r="F816" t="s">
        <v>58</v>
      </c>
      <c r="G816">
        <v>9</v>
      </c>
      <c r="H816">
        <v>3035</v>
      </c>
      <c r="I816" t="s">
        <v>76</v>
      </c>
    </row>
    <row r="817" spans="2:9" x14ac:dyDescent="0.25">
      <c r="B817" t="s">
        <v>913</v>
      </c>
      <c r="C817" t="s">
        <v>1016</v>
      </c>
      <c r="D817" t="s">
        <v>19</v>
      </c>
      <c r="E817" s="7">
        <v>45659</v>
      </c>
      <c r="F817" t="s">
        <v>58</v>
      </c>
      <c r="G817">
        <v>3</v>
      </c>
      <c r="H817">
        <v>1626</v>
      </c>
      <c r="I817" t="s">
        <v>81</v>
      </c>
    </row>
    <row r="818" spans="2:9" x14ac:dyDescent="0.25">
      <c r="B818" t="s">
        <v>914</v>
      </c>
      <c r="C818" t="s">
        <v>1009</v>
      </c>
      <c r="D818" t="s">
        <v>19</v>
      </c>
      <c r="E818" s="7">
        <v>46009</v>
      </c>
      <c r="F818" t="s">
        <v>58</v>
      </c>
      <c r="G818">
        <v>5</v>
      </c>
      <c r="H818">
        <v>2380</v>
      </c>
      <c r="I818" t="s">
        <v>76</v>
      </c>
    </row>
    <row r="819" spans="2:9" x14ac:dyDescent="0.25">
      <c r="B819" t="s">
        <v>915</v>
      </c>
      <c r="C819" t="s">
        <v>1010</v>
      </c>
      <c r="D819" t="s">
        <v>21</v>
      </c>
      <c r="E819" s="7">
        <v>45972</v>
      </c>
      <c r="F819" t="s">
        <v>57</v>
      </c>
      <c r="G819">
        <v>8</v>
      </c>
      <c r="H819">
        <v>834</v>
      </c>
      <c r="I819" t="s">
        <v>76</v>
      </c>
    </row>
    <row r="820" spans="2:9" x14ac:dyDescent="0.25">
      <c r="B820" t="s">
        <v>916</v>
      </c>
      <c r="C820" t="s">
        <v>1017</v>
      </c>
      <c r="D820" t="s">
        <v>27</v>
      </c>
      <c r="E820" s="7">
        <v>45732</v>
      </c>
      <c r="F820" t="s">
        <v>58</v>
      </c>
      <c r="G820">
        <v>5</v>
      </c>
      <c r="H820">
        <v>3810</v>
      </c>
      <c r="I820" t="s">
        <v>76</v>
      </c>
    </row>
    <row r="821" spans="2:9" x14ac:dyDescent="0.25">
      <c r="B821" t="s">
        <v>917</v>
      </c>
      <c r="C821" t="s">
        <v>1020</v>
      </c>
      <c r="D821" t="s">
        <v>21</v>
      </c>
      <c r="E821" s="7">
        <v>45984</v>
      </c>
      <c r="F821" t="s">
        <v>58</v>
      </c>
      <c r="G821">
        <v>5</v>
      </c>
      <c r="H821">
        <v>2019</v>
      </c>
      <c r="I821" t="s">
        <v>84</v>
      </c>
    </row>
    <row r="822" spans="2:9" x14ac:dyDescent="0.25">
      <c r="B822" t="s">
        <v>918</v>
      </c>
      <c r="C822" t="s">
        <v>1013</v>
      </c>
      <c r="D822" t="s">
        <v>27</v>
      </c>
      <c r="E822" s="7">
        <v>45984</v>
      </c>
      <c r="F822" t="s">
        <v>57</v>
      </c>
      <c r="G822">
        <v>6</v>
      </c>
      <c r="H822">
        <v>2440</v>
      </c>
      <c r="I822" t="s">
        <v>84</v>
      </c>
    </row>
    <row r="823" spans="2:9" x14ac:dyDescent="0.25">
      <c r="B823" t="s">
        <v>919</v>
      </c>
      <c r="C823" t="s">
        <v>1022</v>
      </c>
      <c r="D823" t="s">
        <v>11</v>
      </c>
      <c r="E823" s="7">
        <v>45886</v>
      </c>
      <c r="F823" t="s">
        <v>57</v>
      </c>
      <c r="G823">
        <v>6</v>
      </c>
      <c r="H823">
        <v>921</v>
      </c>
      <c r="I823" t="s">
        <v>81</v>
      </c>
    </row>
    <row r="824" spans="2:9" x14ac:dyDescent="0.25">
      <c r="B824" t="s">
        <v>920</v>
      </c>
      <c r="C824" t="s">
        <v>1010</v>
      </c>
      <c r="D824" t="s">
        <v>19</v>
      </c>
      <c r="E824" s="7">
        <v>45877</v>
      </c>
      <c r="F824" t="s">
        <v>58</v>
      </c>
      <c r="G824">
        <v>8</v>
      </c>
      <c r="H824">
        <v>4595</v>
      </c>
      <c r="I824" t="s">
        <v>76</v>
      </c>
    </row>
    <row r="825" spans="2:9" x14ac:dyDescent="0.25">
      <c r="B825" t="s">
        <v>921</v>
      </c>
      <c r="C825" t="s">
        <v>1016</v>
      </c>
      <c r="D825" t="s">
        <v>21</v>
      </c>
      <c r="E825" s="7">
        <v>45999</v>
      </c>
      <c r="F825" t="s">
        <v>58</v>
      </c>
      <c r="G825">
        <v>7</v>
      </c>
      <c r="H825">
        <v>4486</v>
      </c>
      <c r="I825" t="s">
        <v>76</v>
      </c>
    </row>
    <row r="826" spans="2:9" x14ac:dyDescent="0.25">
      <c r="B826" t="s">
        <v>922</v>
      </c>
      <c r="C826" t="s">
        <v>1006</v>
      </c>
      <c r="D826" t="s">
        <v>27</v>
      </c>
      <c r="E826" s="7">
        <v>45840</v>
      </c>
      <c r="F826" t="s">
        <v>57</v>
      </c>
      <c r="G826">
        <v>2</v>
      </c>
      <c r="H826">
        <v>2900</v>
      </c>
      <c r="I826" t="s">
        <v>81</v>
      </c>
    </row>
    <row r="827" spans="2:9" x14ac:dyDescent="0.25">
      <c r="B827" t="s">
        <v>923</v>
      </c>
      <c r="C827" t="s">
        <v>1007</v>
      </c>
      <c r="D827" t="s">
        <v>14</v>
      </c>
      <c r="E827" s="7">
        <v>45977</v>
      </c>
      <c r="F827" t="s">
        <v>57</v>
      </c>
      <c r="G827">
        <v>5</v>
      </c>
      <c r="H827">
        <v>980</v>
      </c>
      <c r="I827" t="s">
        <v>76</v>
      </c>
    </row>
    <row r="828" spans="2:9" x14ac:dyDescent="0.25">
      <c r="B828" t="s">
        <v>924</v>
      </c>
      <c r="C828" t="s">
        <v>1004</v>
      </c>
      <c r="D828" t="s">
        <v>23</v>
      </c>
      <c r="E828" s="7">
        <v>45886</v>
      </c>
      <c r="F828" t="s">
        <v>57</v>
      </c>
      <c r="G828">
        <v>2</v>
      </c>
      <c r="H828">
        <v>1189</v>
      </c>
      <c r="I828" t="s">
        <v>76</v>
      </c>
    </row>
    <row r="829" spans="2:9" x14ac:dyDescent="0.25">
      <c r="B829" t="s">
        <v>925</v>
      </c>
      <c r="C829" t="s">
        <v>1013</v>
      </c>
      <c r="D829" t="s">
        <v>11</v>
      </c>
      <c r="E829" s="7">
        <v>45944</v>
      </c>
      <c r="F829" t="s">
        <v>58</v>
      </c>
      <c r="G829">
        <v>1</v>
      </c>
      <c r="H829">
        <v>4823</v>
      </c>
      <c r="I829" t="s">
        <v>76</v>
      </c>
    </row>
    <row r="830" spans="2:9" x14ac:dyDescent="0.25">
      <c r="B830" t="s">
        <v>926</v>
      </c>
      <c r="C830" t="s">
        <v>1020</v>
      </c>
      <c r="D830" t="s">
        <v>14</v>
      </c>
      <c r="E830" s="7">
        <v>45822</v>
      </c>
      <c r="F830" t="s">
        <v>57</v>
      </c>
      <c r="G830">
        <v>4</v>
      </c>
      <c r="H830">
        <v>4539</v>
      </c>
      <c r="I830" t="s">
        <v>81</v>
      </c>
    </row>
    <row r="831" spans="2:9" x14ac:dyDescent="0.25">
      <c r="B831" t="s">
        <v>927</v>
      </c>
      <c r="C831" t="s">
        <v>1011</v>
      </c>
      <c r="D831" t="s">
        <v>21</v>
      </c>
      <c r="E831" s="7">
        <v>45755</v>
      </c>
      <c r="F831" t="s">
        <v>58</v>
      </c>
      <c r="G831">
        <v>7</v>
      </c>
      <c r="H831">
        <v>1790</v>
      </c>
      <c r="I831" t="s">
        <v>76</v>
      </c>
    </row>
    <row r="832" spans="2:9" x14ac:dyDescent="0.25">
      <c r="B832" t="s">
        <v>928</v>
      </c>
      <c r="C832" t="s">
        <v>1006</v>
      </c>
      <c r="D832" t="s">
        <v>27</v>
      </c>
      <c r="E832" s="7">
        <v>45946</v>
      </c>
      <c r="F832" t="s">
        <v>58</v>
      </c>
      <c r="G832">
        <v>9</v>
      </c>
      <c r="H832">
        <v>4331</v>
      </c>
      <c r="I832" t="s">
        <v>76</v>
      </c>
    </row>
    <row r="833" spans="2:9" x14ac:dyDescent="0.25">
      <c r="B833" t="s">
        <v>929</v>
      </c>
      <c r="C833" t="s">
        <v>1020</v>
      </c>
      <c r="D833" t="s">
        <v>21</v>
      </c>
      <c r="E833" s="7">
        <v>45701</v>
      </c>
      <c r="F833" t="s">
        <v>58</v>
      </c>
      <c r="G833">
        <v>10</v>
      </c>
      <c r="H833">
        <v>3809</v>
      </c>
      <c r="I833" t="s">
        <v>84</v>
      </c>
    </row>
    <row r="834" spans="2:9" x14ac:dyDescent="0.25">
      <c r="B834" t="s">
        <v>930</v>
      </c>
      <c r="C834" t="s">
        <v>1022</v>
      </c>
      <c r="D834" t="s">
        <v>21</v>
      </c>
      <c r="E834" s="7">
        <v>45839</v>
      </c>
      <c r="F834" t="s">
        <v>57</v>
      </c>
      <c r="G834">
        <v>6</v>
      </c>
      <c r="H834">
        <v>3153</v>
      </c>
      <c r="I834" t="s">
        <v>81</v>
      </c>
    </row>
    <row r="835" spans="2:9" x14ac:dyDescent="0.25">
      <c r="B835" t="s">
        <v>931</v>
      </c>
      <c r="C835" t="s">
        <v>1004</v>
      </c>
      <c r="D835" t="s">
        <v>14</v>
      </c>
      <c r="E835" s="7">
        <v>45861</v>
      </c>
      <c r="F835" t="s">
        <v>57</v>
      </c>
      <c r="G835">
        <v>6</v>
      </c>
      <c r="H835">
        <v>4128</v>
      </c>
      <c r="I835" t="s">
        <v>84</v>
      </c>
    </row>
    <row r="836" spans="2:9" x14ac:dyDescent="0.25">
      <c r="B836" t="s">
        <v>932</v>
      </c>
      <c r="C836" t="s">
        <v>1019</v>
      </c>
      <c r="D836" t="s">
        <v>21</v>
      </c>
      <c r="E836" s="7">
        <v>45937</v>
      </c>
      <c r="F836" t="s">
        <v>57</v>
      </c>
      <c r="G836">
        <v>1</v>
      </c>
      <c r="H836">
        <v>4838</v>
      </c>
      <c r="I836" t="s">
        <v>76</v>
      </c>
    </row>
    <row r="837" spans="2:9" x14ac:dyDescent="0.25">
      <c r="B837" t="s">
        <v>933</v>
      </c>
      <c r="C837" t="s">
        <v>1016</v>
      </c>
      <c r="D837" t="s">
        <v>17</v>
      </c>
      <c r="E837" s="7">
        <v>45877</v>
      </c>
      <c r="F837" t="s">
        <v>57</v>
      </c>
      <c r="G837">
        <v>6</v>
      </c>
      <c r="H837">
        <v>2222</v>
      </c>
      <c r="I837" t="s">
        <v>76</v>
      </c>
    </row>
    <row r="838" spans="2:9" x14ac:dyDescent="0.25">
      <c r="B838" t="s">
        <v>934</v>
      </c>
      <c r="C838" t="s">
        <v>1004</v>
      </c>
      <c r="D838" t="s">
        <v>23</v>
      </c>
      <c r="E838" s="7">
        <v>45738</v>
      </c>
      <c r="F838" t="s">
        <v>58</v>
      </c>
      <c r="G838">
        <v>10</v>
      </c>
      <c r="H838">
        <v>4503</v>
      </c>
      <c r="I838" t="s">
        <v>76</v>
      </c>
    </row>
    <row r="839" spans="2:9" x14ac:dyDescent="0.25">
      <c r="B839" t="s">
        <v>935</v>
      </c>
      <c r="C839" t="s">
        <v>1004</v>
      </c>
      <c r="D839" t="s">
        <v>21</v>
      </c>
      <c r="E839" s="7">
        <v>45720</v>
      </c>
      <c r="F839" t="s">
        <v>57</v>
      </c>
      <c r="G839">
        <v>4</v>
      </c>
      <c r="H839">
        <v>3792</v>
      </c>
      <c r="I839" t="s">
        <v>84</v>
      </c>
    </row>
    <row r="840" spans="2:9" x14ac:dyDescent="0.25">
      <c r="B840" t="s">
        <v>936</v>
      </c>
      <c r="C840" t="s">
        <v>1020</v>
      </c>
      <c r="D840" t="s">
        <v>17</v>
      </c>
      <c r="E840" s="7">
        <v>45794</v>
      </c>
      <c r="F840" t="s">
        <v>57</v>
      </c>
      <c r="G840">
        <v>3</v>
      </c>
      <c r="H840">
        <v>3489</v>
      </c>
      <c r="I840" t="s">
        <v>84</v>
      </c>
    </row>
    <row r="841" spans="2:9" x14ac:dyDescent="0.25">
      <c r="B841" t="s">
        <v>937</v>
      </c>
      <c r="C841" t="s">
        <v>1022</v>
      </c>
      <c r="D841" t="s">
        <v>23</v>
      </c>
      <c r="E841" s="7">
        <v>46017</v>
      </c>
      <c r="F841" t="s">
        <v>58</v>
      </c>
      <c r="G841">
        <v>4</v>
      </c>
      <c r="H841">
        <v>841</v>
      </c>
      <c r="I841" t="s">
        <v>76</v>
      </c>
    </row>
    <row r="842" spans="2:9" x14ac:dyDescent="0.25">
      <c r="B842" t="s">
        <v>938</v>
      </c>
      <c r="C842" t="s">
        <v>1004</v>
      </c>
      <c r="D842" t="s">
        <v>21</v>
      </c>
      <c r="E842" s="7">
        <v>45769</v>
      </c>
      <c r="F842" t="s">
        <v>57</v>
      </c>
      <c r="G842">
        <v>10</v>
      </c>
      <c r="H842">
        <v>4384</v>
      </c>
      <c r="I842" t="s">
        <v>76</v>
      </c>
    </row>
    <row r="843" spans="2:9" x14ac:dyDescent="0.25">
      <c r="B843" t="s">
        <v>939</v>
      </c>
      <c r="C843" t="s">
        <v>1022</v>
      </c>
      <c r="D843" t="s">
        <v>27</v>
      </c>
      <c r="E843" s="7">
        <v>45666</v>
      </c>
      <c r="F843" t="s">
        <v>57</v>
      </c>
      <c r="G843">
        <v>4</v>
      </c>
      <c r="H843">
        <v>1560</v>
      </c>
      <c r="I843" t="s">
        <v>76</v>
      </c>
    </row>
    <row r="844" spans="2:9" x14ac:dyDescent="0.25">
      <c r="B844" t="s">
        <v>940</v>
      </c>
      <c r="C844" t="s">
        <v>1005</v>
      </c>
      <c r="D844" t="s">
        <v>14</v>
      </c>
      <c r="E844" s="7">
        <v>45708</v>
      </c>
      <c r="F844" t="s">
        <v>57</v>
      </c>
      <c r="G844">
        <v>6</v>
      </c>
      <c r="H844">
        <v>1060</v>
      </c>
      <c r="I844" t="s">
        <v>81</v>
      </c>
    </row>
    <row r="845" spans="2:9" x14ac:dyDescent="0.25">
      <c r="B845" t="s">
        <v>941</v>
      </c>
      <c r="C845" t="s">
        <v>1022</v>
      </c>
      <c r="D845" t="s">
        <v>27</v>
      </c>
      <c r="E845" s="7">
        <v>45912</v>
      </c>
      <c r="F845" t="s">
        <v>58</v>
      </c>
      <c r="G845">
        <v>5</v>
      </c>
      <c r="H845">
        <v>444</v>
      </c>
      <c r="I845" t="s">
        <v>81</v>
      </c>
    </row>
    <row r="846" spans="2:9" x14ac:dyDescent="0.25">
      <c r="B846" t="s">
        <v>942</v>
      </c>
      <c r="C846" t="s">
        <v>1020</v>
      </c>
      <c r="D846" t="s">
        <v>27</v>
      </c>
      <c r="E846" s="7">
        <v>45775</v>
      </c>
      <c r="F846" t="s">
        <v>58</v>
      </c>
      <c r="G846">
        <v>7</v>
      </c>
      <c r="H846">
        <v>3576</v>
      </c>
      <c r="I846" t="s">
        <v>84</v>
      </c>
    </row>
    <row r="847" spans="2:9" x14ac:dyDescent="0.25">
      <c r="B847" t="s">
        <v>943</v>
      </c>
      <c r="C847" t="s">
        <v>1009</v>
      </c>
      <c r="D847" t="s">
        <v>21</v>
      </c>
      <c r="E847" s="7">
        <v>45881</v>
      </c>
      <c r="F847" t="s">
        <v>57</v>
      </c>
      <c r="G847">
        <v>9</v>
      </c>
      <c r="H847">
        <v>3192</v>
      </c>
      <c r="I847" t="s">
        <v>84</v>
      </c>
    </row>
    <row r="848" spans="2:9" x14ac:dyDescent="0.25">
      <c r="B848" t="s">
        <v>944</v>
      </c>
      <c r="C848" t="s">
        <v>1012</v>
      </c>
      <c r="D848" t="s">
        <v>23</v>
      </c>
      <c r="E848" s="7">
        <v>45885</v>
      </c>
      <c r="F848" t="s">
        <v>57</v>
      </c>
      <c r="G848">
        <v>3</v>
      </c>
      <c r="H848">
        <v>3312</v>
      </c>
      <c r="I848" t="s">
        <v>84</v>
      </c>
    </row>
    <row r="849" spans="2:9" x14ac:dyDescent="0.25">
      <c r="B849" t="s">
        <v>945</v>
      </c>
      <c r="C849" t="s">
        <v>1017</v>
      </c>
      <c r="D849" t="s">
        <v>19</v>
      </c>
      <c r="E849" s="7">
        <v>45892</v>
      </c>
      <c r="F849" t="s">
        <v>57</v>
      </c>
      <c r="G849">
        <v>2</v>
      </c>
      <c r="H849">
        <v>1808</v>
      </c>
      <c r="I849" t="s">
        <v>84</v>
      </c>
    </row>
    <row r="850" spans="2:9" x14ac:dyDescent="0.25">
      <c r="B850" t="s">
        <v>946</v>
      </c>
      <c r="C850" t="s">
        <v>1018</v>
      </c>
      <c r="D850" t="s">
        <v>19</v>
      </c>
      <c r="E850" s="7">
        <v>45672</v>
      </c>
      <c r="F850" t="s">
        <v>57</v>
      </c>
      <c r="G850">
        <v>5</v>
      </c>
      <c r="H850">
        <v>2857</v>
      </c>
      <c r="I850" t="s">
        <v>81</v>
      </c>
    </row>
    <row r="851" spans="2:9" x14ac:dyDescent="0.25">
      <c r="B851" t="s">
        <v>947</v>
      </c>
      <c r="C851" t="s">
        <v>1007</v>
      </c>
      <c r="D851" t="s">
        <v>21</v>
      </c>
      <c r="E851" s="7">
        <v>45912</v>
      </c>
      <c r="F851" t="s">
        <v>58</v>
      </c>
      <c r="G851">
        <v>2</v>
      </c>
      <c r="H851">
        <v>4484</v>
      </c>
      <c r="I851" t="s">
        <v>84</v>
      </c>
    </row>
    <row r="852" spans="2:9" x14ac:dyDescent="0.25">
      <c r="B852" t="s">
        <v>948</v>
      </c>
      <c r="C852" t="s">
        <v>1010</v>
      </c>
      <c r="D852" t="s">
        <v>11</v>
      </c>
      <c r="E852" s="7">
        <v>45876</v>
      </c>
      <c r="F852" t="s">
        <v>58</v>
      </c>
      <c r="G852">
        <v>8</v>
      </c>
      <c r="H852">
        <v>1061</v>
      </c>
      <c r="I852" t="s">
        <v>81</v>
      </c>
    </row>
    <row r="853" spans="2:9" x14ac:dyDescent="0.25">
      <c r="B853" t="s">
        <v>949</v>
      </c>
      <c r="C853" t="s">
        <v>1009</v>
      </c>
      <c r="D853" t="s">
        <v>11</v>
      </c>
      <c r="E853" s="7">
        <v>45752</v>
      </c>
      <c r="F853" t="s">
        <v>57</v>
      </c>
      <c r="G853">
        <v>9</v>
      </c>
      <c r="H853">
        <v>732</v>
      </c>
      <c r="I853" t="s">
        <v>81</v>
      </c>
    </row>
    <row r="854" spans="2:9" x14ac:dyDescent="0.25">
      <c r="B854" t="s">
        <v>950</v>
      </c>
      <c r="C854" t="s">
        <v>1010</v>
      </c>
      <c r="D854" t="s">
        <v>23</v>
      </c>
      <c r="E854" s="7">
        <v>45667</v>
      </c>
      <c r="F854" t="s">
        <v>58</v>
      </c>
      <c r="G854">
        <v>7</v>
      </c>
      <c r="H854">
        <v>3004</v>
      </c>
      <c r="I854" t="s">
        <v>76</v>
      </c>
    </row>
    <row r="855" spans="2:9" x14ac:dyDescent="0.25">
      <c r="B855" t="s">
        <v>951</v>
      </c>
      <c r="C855" t="s">
        <v>1006</v>
      </c>
      <c r="D855" t="s">
        <v>21</v>
      </c>
      <c r="E855" s="7">
        <v>45971</v>
      </c>
      <c r="F855" t="s">
        <v>58</v>
      </c>
      <c r="G855">
        <v>5</v>
      </c>
      <c r="H855">
        <v>1235</v>
      </c>
      <c r="I855" t="s">
        <v>84</v>
      </c>
    </row>
    <row r="856" spans="2:9" x14ac:dyDescent="0.25">
      <c r="B856" t="s">
        <v>952</v>
      </c>
      <c r="C856" t="s">
        <v>1016</v>
      </c>
      <c r="D856" t="s">
        <v>21</v>
      </c>
      <c r="E856" s="7">
        <v>45951</v>
      </c>
      <c r="F856" t="s">
        <v>57</v>
      </c>
      <c r="G856">
        <v>2</v>
      </c>
      <c r="H856">
        <v>66</v>
      </c>
      <c r="I856" t="s">
        <v>76</v>
      </c>
    </row>
    <row r="857" spans="2:9" x14ac:dyDescent="0.25">
      <c r="B857" t="s">
        <v>953</v>
      </c>
      <c r="C857" t="s">
        <v>1012</v>
      </c>
      <c r="D857" t="s">
        <v>21</v>
      </c>
      <c r="E857" s="7">
        <v>45791</v>
      </c>
      <c r="F857" t="s">
        <v>58</v>
      </c>
      <c r="G857">
        <v>7</v>
      </c>
      <c r="H857">
        <v>2975</v>
      </c>
      <c r="I857" t="s">
        <v>81</v>
      </c>
    </row>
    <row r="858" spans="2:9" x14ac:dyDescent="0.25">
      <c r="B858" t="s">
        <v>954</v>
      </c>
      <c r="C858" t="s">
        <v>1013</v>
      </c>
      <c r="D858" t="s">
        <v>11</v>
      </c>
      <c r="E858" s="7">
        <v>45672</v>
      </c>
      <c r="F858" t="s">
        <v>57</v>
      </c>
      <c r="G858">
        <v>5</v>
      </c>
      <c r="H858">
        <v>4797</v>
      </c>
      <c r="I858" t="s">
        <v>81</v>
      </c>
    </row>
    <row r="859" spans="2:9" x14ac:dyDescent="0.25">
      <c r="B859" t="s">
        <v>955</v>
      </c>
      <c r="C859" t="s">
        <v>1009</v>
      </c>
      <c r="D859" t="s">
        <v>19</v>
      </c>
      <c r="E859" s="7">
        <v>45939</v>
      </c>
      <c r="F859" t="s">
        <v>58</v>
      </c>
      <c r="G859">
        <v>2</v>
      </c>
      <c r="H859">
        <v>4183</v>
      </c>
      <c r="I859" t="s">
        <v>81</v>
      </c>
    </row>
    <row r="860" spans="2:9" x14ac:dyDescent="0.25">
      <c r="B860" t="s">
        <v>956</v>
      </c>
      <c r="C860" t="s">
        <v>1015</v>
      </c>
      <c r="D860" t="s">
        <v>19</v>
      </c>
      <c r="E860" s="7">
        <v>45933</v>
      </c>
      <c r="F860" t="s">
        <v>58</v>
      </c>
      <c r="G860">
        <v>9</v>
      </c>
      <c r="H860">
        <v>1106</v>
      </c>
      <c r="I860" t="s">
        <v>76</v>
      </c>
    </row>
    <row r="861" spans="2:9" x14ac:dyDescent="0.25">
      <c r="B861" t="s">
        <v>957</v>
      </c>
      <c r="C861" t="s">
        <v>1011</v>
      </c>
      <c r="D861" t="s">
        <v>27</v>
      </c>
      <c r="E861" s="7">
        <v>45861</v>
      </c>
      <c r="F861" t="s">
        <v>57</v>
      </c>
      <c r="G861">
        <v>10</v>
      </c>
      <c r="H861">
        <v>4334</v>
      </c>
      <c r="I861" t="s">
        <v>76</v>
      </c>
    </row>
    <row r="862" spans="2:9" x14ac:dyDescent="0.25">
      <c r="B862" t="s">
        <v>958</v>
      </c>
      <c r="C862" t="s">
        <v>1018</v>
      </c>
      <c r="D862" t="s">
        <v>23</v>
      </c>
      <c r="E862" s="7">
        <v>45872</v>
      </c>
      <c r="F862" t="s">
        <v>57</v>
      </c>
      <c r="G862">
        <v>2</v>
      </c>
      <c r="H862">
        <v>4033</v>
      </c>
      <c r="I862" t="s">
        <v>76</v>
      </c>
    </row>
    <row r="863" spans="2:9" x14ac:dyDescent="0.25">
      <c r="B863" t="s">
        <v>959</v>
      </c>
      <c r="C863" t="s">
        <v>1020</v>
      </c>
      <c r="D863" t="s">
        <v>23</v>
      </c>
      <c r="E863" s="7">
        <v>45695</v>
      </c>
      <c r="F863" t="s">
        <v>57</v>
      </c>
      <c r="G863">
        <v>5</v>
      </c>
      <c r="H863">
        <v>4146</v>
      </c>
      <c r="I863" t="s">
        <v>84</v>
      </c>
    </row>
    <row r="864" spans="2:9" x14ac:dyDescent="0.25">
      <c r="B864" t="s">
        <v>960</v>
      </c>
      <c r="C864" t="s">
        <v>1013</v>
      </c>
      <c r="D864" t="s">
        <v>14</v>
      </c>
      <c r="E864" s="7">
        <v>45727</v>
      </c>
      <c r="F864" t="s">
        <v>57</v>
      </c>
      <c r="G864">
        <v>2</v>
      </c>
      <c r="H864">
        <v>4959</v>
      </c>
      <c r="I864" t="s">
        <v>81</v>
      </c>
    </row>
    <row r="865" spans="2:9" x14ac:dyDescent="0.25">
      <c r="B865" t="s">
        <v>961</v>
      </c>
      <c r="C865" t="s">
        <v>1018</v>
      </c>
      <c r="D865" t="s">
        <v>23</v>
      </c>
      <c r="E865" s="7">
        <v>45812</v>
      </c>
      <c r="F865" t="s">
        <v>57</v>
      </c>
      <c r="G865">
        <v>1</v>
      </c>
      <c r="H865">
        <v>606</v>
      </c>
      <c r="I865" t="s">
        <v>76</v>
      </c>
    </row>
    <row r="866" spans="2:9" x14ac:dyDescent="0.25">
      <c r="B866" t="s">
        <v>962</v>
      </c>
      <c r="C866" t="s">
        <v>1022</v>
      </c>
      <c r="D866" t="s">
        <v>27</v>
      </c>
      <c r="E866" s="7">
        <v>45810</v>
      </c>
      <c r="F866" t="s">
        <v>57</v>
      </c>
      <c r="G866">
        <v>2</v>
      </c>
      <c r="H866">
        <v>1490</v>
      </c>
      <c r="I866" t="s">
        <v>81</v>
      </c>
    </row>
    <row r="867" spans="2:9" x14ac:dyDescent="0.25">
      <c r="B867" t="s">
        <v>963</v>
      </c>
      <c r="C867" t="s">
        <v>1013</v>
      </c>
      <c r="D867" t="s">
        <v>21</v>
      </c>
      <c r="E867" s="7">
        <v>45845</v>
      </c>
      <c r="F867" t="s">
        <v>58</v>
      </c>
      <c r="G867">
        <v>7</v>
      </c>
      <c r="H867">
        <v>1902</v>
      </c>
      <c r="I867" t="s">
        <v>84</v>
      </c>
    </row>
    <row r="868" spans="2:9" x14ac:dyDescent="0.25">
      <c r="B868" t="s">
        <v>964</v>
      </c>
      <c r="C868" t="s">
        <v>1014</v>
      </c>
      <c r="D868" t="s">
        <v>21</v>
      </c>
      <c r="E868" s="7">
        <v>45916</v>
      </c>
      <c r="F868" t="s">
        <v>58</v>
      </c>
      <c r="G868">
        <v>4</v>
      </c>
      <c r="H868">
        <v>2440</v>
      </c>
      <c r="I868" t="s">
        <v>81</v>
      </c>
    </row>
    <row r="869" spans="2:9" x14ac:dyDescent="0.25">
      <c r="B869" t="s">
        <v>965</v>
      </c>
      <c r="C869" t="s">
        <v>1005</v>
      </c>
      <c r="D869" t="s">
        <v>23</v>
      </c>
      <c r="E869" s="7">
        <v>45915</v>
      </c>
      <c r="F869" t="s">
        <v>57</v>
      </c>
      <c r="G869">
        <v>2</v>
      </c>
      <c r="H869">
        <v>2531</v>
      </c>
      <c r="I869" t="s">
        <v>81</v>
      </c>
    </row>
    <row r="870" spans="2:9" x14ac:dyDescent="0.25">
      <c r="B870" t="s">
        <v>966</v>
      </c>
      <c r="C870" t="s">
        <v>1011</v>
      </c>
      <c r="D870" t="s">
        <v>11</v>
      </c>
      <c r="E870" s="7">
        <v>45761</v>
      </c>
      <c r="F870" t="s">
        <v>58</v>
      </c>
      <c r="G870">
        <v>6</v>
      </c>
      <c r="H870">
        <v>2926</v>
      </c>
      <c r="I870" t="s">
        <v>84</v>
      </c>
    </row>
    <row r="871" spans="2:9" x14ac:dyDescent="0.25">
      <c r="B871" t="s">
        <v>967</v>
      </c>
      <c r="C871" t="s">
        <v>1005</v>
      </c>
      <c r="D871" t="s">
        <v>21</v>
      </c>
      <c r="E871" s="7">
        <v>45878</v>
      </c>
      <c r="F871" t="s">
        <v>57</v>
      </c>
      <c r="G871">
        <v>10</v>
      </c>
      <c r="H871">
        <v>3211</v>
      </c>
      <c r="I871" t="s">
        <v>84</v>
      </c>
    </row>
    <row r="872" spans="2:9" x14ac:dyDescent="0.25">
      <c r="B872" t="s">
        <v>968</v>
      </c>
      <c r="C872" t="s">
        <v>1004</v>
      </c>
      <c r="D872" t="s">
        <v>19</v>
      </c>
      <c r="E872" s="7">
        <v>46012</v>
      </c>
      <c r="F872" t="s">
        <v>57</v>
      </c>
      <c r="G872">
        <v>6</v>
      </c>
      <c r="H872">
        <v>4291</v>
      </c>
      <c r="I872" t="s">
        <v>76</v>
      </c>
    </row>
    <row r="873" spans="2:9" x14ac:dyDescent="0.25">
      <c r="B873" t="s">
        <v>969</v>
      </c>
      <c r="C873" t="s">
        <v>1018</v>
      </c>
      <c r="D873" t="s">
        <v>11</v>
      </c>
      <c r="E873" s="7">
        <v>45658</v>
      </c>
      <c r="F873" t="s">
        <v>58</v>
      </c>
      <c r="G873">
        <v>6</v>
      </c>
      <c r="H873">
        <v>926</v>
      </c>
      <c r="I873" t="s">
        <v>81</v>
      </c>
    </row>
    <row r="874" spans="2:9" x14ac:dyDescent="0.25">
      <c r="B874" t="s">
        <v>970</v>
      </c>
      <c r="C874" t="s">
        <v>1022</v>
      </c>
      <c r="D874" t="s">
        <v>14</v>
      </c>
      <c r="E874" s="7">
        <v>45911</v>
      </c>
      <c r="F874" t="s">
        <v>58</v>
      </c>
      <c r="G874">
        <v>8</v>
      </c>
      <c r="H874">
        <v>4141</v>
      </c>
      <c r="I874" t="s">
        <v>84</v>
      </c>
    </row>
    <row r="875" spans="2:9" x14ac:dyDescent="0.25">
      <c r="B875" t="s">
        <v>971</v>
      </c>
      <c r="C875" t="s">
        <v>1010</v>
      </c>
      <c r="D875" t="s">
        <v>21</v>
      </c>
      <c r="E875" s="7">
        <v>45701</v>
      </c>
      <c r="F875" t="s">
        <v>58</v>
      </c>
      <c r="G875">
        <v>8</v>
      </c>
      <c r="H875">
        <v>3868</v>
      </c>
      <c r="I875" t="s">
        <v>84</v>
      </c>
    </row>
    <row r="876" spans="2:9" x14ac:dyDescent="0.25">
      <c r="B876" t="s">
        <v>972</v>
      </c>
      <c r="C876" t="s">
        <v>1022</v>
      </c>
      <c r="D876" t="s">
        <v>21</v>
      </c>
      <c r="E876" s="7">
        <v>45925</v>
      </c>
      <c r="F876" t="s">
        <v>58</v>
      </c>
      <c r="G876">
        <v>3</v>
      </c>
      <c r="H876">
        <v>1327</v>
      </c>
      <c r="I876" t="s">
        <v>81</v>
      </c>
    </row>
    <row r="877" spans="2:9" x14ac:dyDescent="0.25">
      <c r="B877" t="s">
        <v>973</v>
      </c>
      <c r="C877" t="s">
        <v>1018</v>
      </c>
      <c r="D877" t="s">
        <v>11</v>
      </c>
      <c r="E877" s="7">
        <v>45706</v>
      </c>
      <c r="F877" t="s">
        <v>58</v>
      </c>
      <c r="G877">
        <v>7</v>
      </c>
      <c r="H877">
        <v>1550</v>
      </c>
      <c r="I877" t="s">
        <v>81</v>
      </c>
    </row>
    <row r="878" spans="2:9" x14ac:dyDescent="0.25">
      <c r="B878" t="s">
        <v>974</v>
      </c>
      <c r="C878" t="s">
        <v>1004</v>
      </c>
      <c r="D878" t="s">
        <v>27</v>
      </c>
      <c r="E878" s="7">
        <v>45799</v>
      </c>
      <c r="F878" t="s">
        <v>57</v>
      </c>
      <c r="G878">
        <v>10</v>
      </c>
      <c r="H878">
        <v>929</v>
      </c>
      <c r="I878" t="s">
        <v>76</v>
      </c>
    </row>
    <row r="879" spans="2:9" x14ac:dyDescent="0.25">
      <c r="B879" t="s">
        <v>975</v>
      </c>
      <c r="C879" t="s">
        <v>1009</v>
      </c>
      <c r="D879" t="s">
        <v>19</v>
      </c>
      <c r="E879" s="7">
        <v>45922</v>
      </c>
      <c r="F879" t="s">
        <v>58</v>
      </c>
      <c r="G879">
        <v>4</v>
      </c>
      <c r="H879">
        <v>4653</v>
      </c>
      <c r="I879" t="s">
        <v>84</v>
      </c>
    </row>
    <row r="880" spans="2:9" x14ac:dyDescent="0.25">
      <c r="B880" t="s">
        <v>976</v>
      </c>
      <c r="C880" t="s">
        <v>1016</v>
      </c>
      <c r="D880" t="s">
        <v>27</v>
      </c>
      <c r="E880" s="7">
        <v>45809</v>
      </c>
      <c r="F880" t="s">
        <v>58</v>
      </c>
      <c r="G880">
        <v>7</v>
      </c>
      <c r="H880">
        <v>4290</v>
      </c>
      <c r="I880" t="s">
        <v>81</v>
      </c>
    </row>
    <row r="881" spans="2:9" x14ac:dyDescent="0.25">
      <c r="B881" t="s">
        <v>977</v>
      </c>
      <c r="C881" t="s">
        <v>1008</v>
      </c>
      <c r="D881" t="s">
        <v>21</v>
      </c>
      <c r="E881" s="7">
        <v>45850</v>
      </c>
      <c r="F881" t="s">
        <v>57</v>
      </c>
      <c r="G881">
        <v>6</v>
      </c>
      <c r="H881">
        <v>200</v>
      </c>
      <c r="I881" t="s">
        <v>76</v>
      </c>
    </row>
    <row r="882" spans="2:9" x14ac:dyDescent="0.25">
      <c r="B882" t="s">
        <v>978</v>
      </c>
      <c r="C882" t="s">
        <v>1009</v>
      </c>
      <c r="D882" t="s">
        <v>11</v>
      </c>
      <c r="E882" s="7">
        <v>46011</v>
      </c>
      <c r="F882" t="s">
        <v>58</v>
      </c>
      <c r="G882">
        <v>5</v>
      </c>
      <c r="H882">
        <v>4033</v>
      </c>
      <c r="I882" t="s">
        <v>84</v>
      </c>
    </row>
    <row r="883" spans="2:9" x14ac:dyDescent="0.25">
      <c r="B883" t="s">
        <v>979</v>
      </c>
      <c r="C883" t="s">
        <v>1013</v>
      </c>
      <c r="D883" t="s">
        <v>21</v>
      </c>
      <c r="E883" s="7">
        <v>45969</v>
      </c>
      <c r="F883" t="s">
        <v>58</v>
      </c>
      <c r="G883">
        <v>10</v>
      </c>
      <c r="H883">
        <v>1364</v>
      </c>
      <c r="I883" t="s">
        <v>76</v>
      </c>
    </row>
    <row r="884" spans="2:9" x14ac:dyDescent="0.25">
      <c r="B884" t="s">
        <v>980</v>
      </c>
      <c r="C884" t="s">
        <v>1008</v>
      </c>
      <c r="D884" t="s">
        <v>11</v>
      </c>
      <c r="E884" s="7">
        <v>45998</v>
      </c>
      <c r="F884" t="s">
        <v>57</v>
      </c>
      <c r="G884">
        <v>10</v>
      </c>
      <c r="H884">
        <v>3994</v>
      </c>
      <c r="I884" t="s">
        <v>84</v>
      </c>
    </row>
    <row r="885" spans="2:9" x14ac:dyDescent="0.25">
      <c r="B885" t="s">
        <v>981</v>
      </c>
      <c r="C885" t="s">
        <v>1018</v>
      </c>
      <c r="D885" t="s">
        <v>21</v>
      </c>
      <c r="E885" s="7">
        <v>45667</v>
      </c>
      <c r="F885" t="s">
        <v>57</v>
      </c>
      <c r="G885">
        <v>7</v>
      </c>
      <c r="H885">
        <v>2637</v>
      </c>
      <c r="I885" t="s">
        <v>84</v>
      </c>
    </row>
    <row r="886" spans="2:9" x14ac:dyDescent="0.25">
      <c r="B886" t="s">
        <v>982</v>
      </c>
      <c r="C886" t="s">
        <v>1014</v>
      </c>
      <c r="D886" t="s">
        <v>21</v>
      </c>
      <c r="E886" s="7">
        <v>45664</v>
      </c>
      <c r="F886" t="s">
        <v>58</v>
      </c>
      <c r="G886">
        <v>7</v>
      </c>
      <c r="H886">
        <v>4269</v>
      </c>
      <c r="I886" t="s">
        <v>81</v>
      </c>
    </row>
    <row r="887" spans="2:9" x14ac:dyDescent="0.25">
      <c r="B887" t="s">
        <v>983</v>
      </c>
      <c r="C887" t="s">
        <v>1013</v>
      </c>
      <c r="D887" t="s">
        <v>14</v>
      </c>
      <c r="E887" s="7">
        <v>45865</v>
      </c>
      <c r="F887" t="s">
        <v>58</v>
      </c>
      <c r="G887">
        <v>9</v>
      </c>
      <c r="H887">
        <v>4739</v>
      </c>
      <c r="I887" t="s">
        <v>76</v>
      </c>
    </row>
    <row r="888" spans="2:9" x14ac:dyDescent="0.25">
      <c r="B888" t="s">
        <v>984</v>
      </c>
      <c r="C888" t="s">
        <v>1019</v>
      </c>
      <c r="D888" t="s">
        <v>21</v>
      </c>
      <c r="E888" s="7">
        <v>45976</v>
      </c>
      <c r="F888" t="s">
        <v>57</v>
      </c>
      <c r="G888">
        <v>6</v>
      </c>
      <c r="H888">
        <v>1219</v>
      </c>
      <c r="I888" t="s">
        <v>84</v>
      </c>
    </row>
    <row r="889" spans="2:9" x14ac:dyDescent="0.25">
      <c r="B889" t="s">
        <v>985</v>
      </c>
      <c r="C889" t="s">
        <v>1004</v>
      </c>
      <c r="D889" t="s">
        <v>27</v>
      </c>
      <c r="E889" s="7">
        <v>45703</v>
      </c>
      <c r="F889" t="s">
        <v>57</v>
      </c>
      <c r="G889">
        <v>2</v>
      </c>
      <c r="H889">
        <v>4655</v>
      </c>
      <c r="I889" t="s">
        <v>84</v>
      </c>
    </row>
    <row r="890" spans="2:9" x14ac:dyDescent="0.25">
      <c r="B890" t="s">
        <v>986</v>
      </c>
      <c r="C890" t="s">
        <v>1016</v>
      </c>
      <c r="D890" t="s">
        <v>27</v>
      </c>
      <c r="E890" s="7">
        <v>45786</v>
      </c>
      <c r="F890" t="s">
        <v>58</v>
      </c>
      <c r="G890">
        <v>7</v>
      </c>
      <c r="H890">
        <v>2414</v>
      </c>
      <c r="I890" t="s">
        <v>84</v>
      </c>
    </row>
    <row r="891" spans="2:9" x14ac:dyDescent="0.25">
      <c r="B891" t="s">
        <v>987</v>
      </c>
      <c r="C891" t="s">
        <v>1016</v>
      </c>
      <c r="D891" t="s">
        <v>23</v>
      </c>
      <c r="E891" s="7">
        <v>45712</v>
      </c>
      <c r="F891" t="s">
        <v>58</v>
      </c>
      <c r="G891">
        <v>3</v>
      </c>
      <c r="H891">
        <v>615</v>
      </c>
      <c r="I891" t="s">
        <v>81</v>
      </c>
    </row>
    <row r="892" spans="2:9" x14ac:dyDescent="0.25">
      <c r="B892" t="s">
        <v>988</v>
      </c>
      <c r="C892" t="s">
        <v>1022</v>
      </c>
      <c r="D892" t="s">
        <v>23</v>
      </c>
      <c r="E892" s="7">
        <v>45957</v>
      </c>
      <c r="F892" t="s">
        <v>57</v>
      </c>
      <c r="G892">
        <v>7</v>
      </c>
      <c r="H892">
        <v>1724</v>
      </c>
      <c r="I892" t="s">
        <v>76</v>
      </c>
    </row>
    <row r="893" spans="2:9" x14ac:dyDescent="0.25">
      <c r="B893" t="s">
        <v>989</v>
      </c>
      <c r="C893" t="s">
        <v>1020</v>
      </c>
      <c r="D893" t="s">
        <v>11</v>
      </c>
      <c r="E893" s="7">
        <v>45895</v>
      </c>
      <c r="F893" t="s">
        <v>58</v>
      </c>
      <c r="G893">
        <v>4</v>
      </c>
      <c r="H893">
        <v>2055</v>
      </c>
      <c r="I893" t="s">
        <v>76</v>
      </c>
    </row>
    <row r="894" spans="2:9" x14ac:dyDescent="0.25">
      <c r="B894" t="s">
        <v>990</v>
      </c>
      <c r="C894" t="s">
        <v>1007</v>
      </c>
      <c r="D894" t="s">
        <v>14</v>
      </c>
      <c r="E894" s="7">
        <v>45871</v>
      </c>
      <c r="F894" t="s">
        <v>58</v>
      </c>
      <c r="G894">
        <v>10</v>
      </c>
      <c r="H894">
        <v>4227</v>
      </c>
      <c r="I894" t="s">
        <v>76</v>
      </c>
    </row>
    <row r="895" spans="2:9" x14ac:dyDescent="0.25">
      <c r="B895" t="s">
        <v>991</v>
      </c>
      <c r="C895" t="s">
        <v>1011</v>
      </c>
      <c r="D895" t="s">
        <v>17</v>
      </c>
      <c r="E895" s="7">
        <v>45778</v>
      </c>
      <c r="F895" t="s">
        <v>58</v>
      </c>
      <c r="G895">
        <v>7</v>
      </c>
      <c r="H895">
        <v>4713</v>
      </c>
      <c r="I895" t="s">
        <v>81</v>
      </c>
    </row>
    <row r="896" spans="2:9" x14ac:dyDescent="0.25">
      <c r="B896" t="s">
        <v>992</v>
      </c>
      <c r="C896" t="s">
        <v>1016</v>
      </c>
      <c r="D896" t="s">
        <v>11</v>
      </c>
      <c r="E896" s="7">
        <v>45823</v>
      </c>
      <c r="F896" t="s">
        <v>57</v>
      </c>
      <c r="G896">
        <v>6</v>
      </c>
      <c r="H896">
        <v>1305</v>
      </c>
      <c r="I896" t="s">
        <v>84</v>
      </c>
    </row>
    <row r="897" spans="2:9" x14ac:dyDescent="0.25">
      <c r="B897" t="s">
        <v>993</v>
      </c>
      <c r="C897" t="s">
        <v>1008</v>
      </c>
      <c r="D897" t="s">
        <v>11</v>
      </c>
      <c r="E897" s="7">
        <v>45675</v>
      </c>
      <c r="F897" t="s">
        <v>57</v>
      </c>
      <c r="G897">
        <v>7</v>
      </c>
      <c r="H897">
        <v>593</v>
      </c>
      <c r="I897" t="s">
        <v>81</v>
      </c>
    </row>
    <row r="898" spans="2:9" x14ac:dyDescent="0.25">
      <c r="B898" t="s">
        <v>994</v>
      </c>
      <c r="C898" t="s">
        <v>1019</v>
      </c>
      <c r="D898" t="s">
        <v>27</v>
      </c>
      <c r="E898" s="7">
        <v>45790</v>
      </c>
      <c r="F898" t="s">
        <v>58</v>
      </c>
      <c r="G898">
        <v>6</v>
      </c>
      <c r="H898">
        <v>526</v>
      </c>
      <c r="I898" t="s">
        <v>81</v>
      </c>
    </row>
    <row r="899" spans="2:9" x14ac:dyDescent="0.25">
      <c r="B899" t="s">
        <v>995</v>
      </c>
      <c r="C899" t="s">
        <v>1017</v>
      </c>
      <c r="D899" t="s">
        <v>19</v>
      </c>
      <c r="E899" s="7">
        <v>45975</v>
      </c>
      <c r="F899" t="s">
        <v>58</v>
      </c>
      <c r="G899">
        <v>2</v>
      </c>
      <c r="H899">
        <v>2868</v>
      </c>
      <c r="I899" t="s">
        <v>84</v>
      </c>
    </row>
    <row r="900" spans="2:9" x14ac:dyDescent="0.25">
      <c r="B900" t="s">
        <v>996</v>
      </c>
      <c r="C900" t="s">
        <v>1005</v>
      </c>
      <c r="D900" t="s">
        <v>17</v>
      </c>
      <c r="E900" s="7">
        <v>45815</v>
      </c>
      <c r="F900" t="s">
        <v>58</v>
      </c>
      <c r="G900">
        <v>6</v>
      </c>
      <c r="H900">
        <v>742</v>
      </c>
      <c r="I900" t="s">
        <v>81</v>
      </c>
    </row>
    <row r="901" spans="2:9" x14ac:dyDescent="0.25">
      <c r="B901" t="s">
        <v>997</v>
      </c>
      <c r="C901" t="s">
        <v>1006</v>
      </c>
      <c r="D901" t="s">
        <v>21</v>
      </c>
      <c r="E901" s="7">
        <v>45734</v>
      </c>
      <c r="F901" t="s">
        <v>57</v>
      </c>
      <c r="G901">
        <v>2</v>
      </c>
      <c r="H901">
        <v>1049</v>
      </c>
      <c r="I901" t="s">
        <v>84</v>
      </c>
    </row>
    <row r="902" spans="2:9" x14ac:dyDescent="0.25">
      <c r="B902" t="s">
        <v>998</v>
      </c>
      <c r="C902" t="s">
        <v>1021</v>
      </c>
      <c r="D902" t="s">
        <v>11</v>
      </c>
      <c r="E902" s="7">
        <v>45762</v>
      </c>
      <c r="F902" t="s">
        <v>58</v>
      </c>
      <c r="G902">
        <v>1</v>
      </c>
      <c r="H902">
        <v>2051</v>
      </c>
      <c r="I902" t="s">
        <v>76</v>
      </c>
    </row>
    <row r="903" spans="2:9" x14ac:dyDescent="0.25">
      <c r="B903" t="s">
        <v>999</v>
      </c>
      <c r="C903" t="s">
        <v>1018</v>
      </c>
      <c r="D903" t="s">
        <v>27</v>
      </c>
      <c r="E903" s="7">
        <v>45816</v>
      </c>
      <c r="F903" t="s">
        <v>58</v>
      </c>
      <c r="G903">
        <v>1</v>
      </c>
      <c r="H903">
        <v>839</v>
      </c>
      <c r="I903" t="s">
        <v>81</v>
      </c>
    </row>
    <row r="904" spans="2:9" x14ac:dyDescent="0.25">
      <c r="B904" t="s">
        <v>1000</v>
      </c>
      <c r="C904" t="s">
        <v>1021</v>
      </c>
      <c r="D904" t="s">
        <v>17</v>
      </c>
      <c r="E904" s="7">
        <v>45814</v>
      </c>
      <c r="F904" t="s">
        <v>58</v>
      </c>
      <c r="G904">
        <v>10</v>
      </c>
      <c r="H904">
        <v>813</v>
      </c>
      <c r="I904" t="s">
        <v>84</v>
      </c>
    </row>
    <row r="905" spans="2:9" x14ac:dyDescent="0.25">
      <c r="B905" t="s">
        <v>1001</v>
      </c>
      <c r="C905" t="s">
        <v>1019</v>
      </c>
      <c r="D905" t="s">
        <v>17</v>
      </c>
      <c r="E905" s="7">
        <v>45897</v>
      </c>
      <c r="F905" t="s">
        <v>58</v>
      </c>
      <c r="G905">
        <v>3</v>
      </c>
      <c r="H905">
        <v>4202</v>
      </c>
      <c r="I905" t="s">
        <v>84</v>
      </c>
    </row>
    <row r="906" spans="2:9" x14ac:dyDescent="0.25">
      <c r="B906" t="s">
        <v>1002</v>
      </c>
      <c r="C906" t="s">
        <v>1019</v>
      </c>
      <c r="D906" t="s">
        <v>19</v>
      </c>
      <c r="E906" s="7">
        <v>45667</v>
      </c>
      <c r="F906" t="s">
        <v>58</v>
      </c>
      <c r="G906">
        <v>5</v>
      </c>
      <c r="H906">
        <v>4598</v>
      </c>
      <c r="I906" t="s">
        <v>76</v>
      </c>
    </row>
    <row r="907" spans="2:9" x14ac:dyDescent="0.25">
      <c r="B907" t="s">
        <v>1023</v>
      </c>
      <c r="C907" t="s">
        <v>9</v>
      </c>
      <c r="D907" t="s">
        <v>23</v>
      </c>
      <c r="E907" s="7">
        <v>45981</v>
      </c>
      <c r="F907" t="s">
        <v>59</v>
      </c>
      <c r="G907">
        <v>10</v>
      </c>
      <c r="H907">
        <v>3291</v>
      </c>
      <c r="I907" t="s">
        <v>1024</v>
      </c>
    </row>
    <row r="908" spans="2:9" x14ac:dyDescent="0.25">
      <c r="B908" t="s">
        <v>1025</v>
      </c>
      <c r="C908" t="s">
        <v>10</v>
      </c>
      <c r="D908" t="s">
        <v>11</v>
      </c>
      <c r="E908" s="7">
        <v>45701</v>
      </c>
      <c r="F908" t="s">
        <v>59</v>
      </c>
      <c r="G908">
        <v>7</v>
      </c>
      <c r="H908">
        <v>4654</v>
      </c>
      <c r="I908" t="s">
        <v>1026</v>
      </c>
    </row>
    <row r="909" spans="2:9" x14ac:dyDescent="0.25">
      <c r="B909" t="s">
        <v>1027</v>
      </c>
      <c r="C909" t="s">
        <v>13</v>
      </c>
      <c r="D909" t="s">
        <v>23</v>
      </c>
      <c r="E909" s="7">
        <v>45666</v>
      </c>
      <c r="F909" t="s">
        <v>59</v>
      </c>
      <c r="G909">
        <v>7</v>
      </c>
      <c r="H909">
        <v>3877</v>
      </c>
      <c r="I909" t="s">
        <v>1028</v>
      </c>
    </row>
    <row r="910" spans="2:9" x14ac:dyDescent="0.25">
      <c r="B910" t="s">
        <v>1029</v>
      </c>
      <c r="C910" t="s">
        <v>14</v>
      </c>
      <c r="D910" t="s">
        <v>21</v>
      </c>
      <c r="E910" s="7">
        <v>45677</v>
      </c>
      <c r="F910" t="s">
        <v>59</v>
      </c>
      <c r="G910">
        <v>4</v>
      </c>
      <c r="H910">
        <v>4825</v>
      </c>
      <c r="I910" t="s">
        <v>1028</v>
      </c>
    </row>
    <row r="911" spans="2:9" x14ac:dyDescent="0.25">
      <c r="B911" t="s">
        <v>1030</v>
      </c>
      <c r="C911" t="s">
        <v>12</v>
      </c>
      <c r="D911" t="s">
        <v>11</v>
      </c>
      <c r="E911" s="7">
        <v>45980</v>
      </c>
      <c r="F911" t="s">
        <v>59</v>
      </c>
      <c r="G911">
        <v>5</v>
      </c>
      <c r="H911">
        <v>234</v>
      </c>
      <c r="I911" t="s">
        <v>1026</v>
      </c>
    </row>
    <row r="912" spans="2:9" x14ac:dyDescent="0.25">
      <c r="B912" t="s">
        <v>1031</v>
      </c>
      <c r="C912" t="s">
        <v>17</v>
      </c>
      <c r="D912" t="s">
        <v>14</v>
      </c>
      <c r="E912" s="7">
        <v>45780</v>
      </c>
      <c r="F912" t="s">
        <v>59</v>
      </c>
      <c r="G912">
        <v>3</v>
      </c>
      <c r="H912">
        <v>4085</v>
      </c>
      <c r="I912" t="s">
        <v>1028</v>
      </c>
    </row>
    <row r="913" spans="2:9" x14ac:dyDescent="0.25">
      <c r="B913" t="s">
        <v>1032</v>
      </c>
      <c r="C913" t="s">
        <v>11</v>
      </c>
      <c r="D913" t="s">
        <v>21</v>
      </c>
      <c r="E913" s="7">
        <v>45667</v>
      </c>
      <c r="F913" t="s">
        <v>59</v>
      </c>
      <c r="G913">
        <v>1</v>
      </c>
      <c r="H913">
        <v>4288</v>
      </c>
      <c r="I913" t="s">
        <v>1024</v>
      </c>
    </row>
    <row r="914" spans="2:9" x14ac:dyDescent="0.25">
      <c r="B914" t="s">
        <v>1033</v>
      </c>
      <c r="C914" t="s">
        <v>16</v>
      </c>
      <c r="D914" t="s">
        <v>14</v>
      </c>
      <c r="E914" s="7">
        <v>45737</v>
      </c>
      <c r="F914" t="s">
        <v>59</v>
      </c>
      <c r="G914">
        <v>8</v>
      </c>
      <c r="H914">
        <v>39</v>
      </c>
      <c r="I914" t="s">
        <v>1028</v>
      </c>
    </row>
    <row r="915" spans="2:9" x14ac:dyDescent="0.25">
      <c r="B915" t="s">
        <v>1034</v>
      </c>
      <c r="C915" t="s">
        <v>17</v>
      </c>
      <c r="D915" t="s">
        <v>11</v>
      </c>
      <c r="E915" s="7">
        <v>45932</v>
      </c>
      <c r="F915" t="s">
        <v>59</v>
      </c>
      <c r="G915">
        <v>3</v>
      </c>
      <c r="H915">
        <v>4308</v>
      </c>
      <c r="I915" t="s">
        <v>1026</v>
      </c>
    </row>
    <row r="916" spans="2:9" x14ac:dyDescent="0.25">
      <c r="B916" t="s">
        <v>1035</v>
      </c>
      <c r="C916" t="s">
        <v>18</v>
      </c>
      <c r="D916" t="s">
        <v>17</v>
      </c>
      <c r="E916" s="7">
        <v>45901</v>
      </c>
      <c r="F916" t="s">
        <v>59</v>
      </c>
      <c r="G916">
        <v>1</v>
      </c>
      <c r="H916">
        <v>1503</v>
      </c>
      <c r="I916" t="s">
        <v>1028</v>
      </c>
    </row>
    <row r="917" spans="2:9" x14ac:dyDescent="0.25">
      <c r="B917" t="s">
        <v>1036</v>
      </c>
      <c r="C917" t="s">
        <v>18</v>
      </c>
      <c r="D917" t="s">
        <v>27</v>
      </c>
      <c r="E917" s="7">
        <v>45801</v>
      </c>
      <c r="F917" t="s">
        <v>59</v>
      </c>
      <c r="G917">
        <v>10</v>
      </c>
      <c r="H917">
        <v>4750</v>
      </c>
      <c r="I917" t="s">
        <v>1026</v>
      </c>
    </row>
    <row r="918" spans="2:9" x14ac:dyDescent="0.25">
      <c r="B918" t="s">
        <v>1037</v>
      </c>
      <c r="C918" t="s">
        <v>14</v>
      </c>
      <c r="D918" t="s">
        <v>17</v>
      </c>
      <c r="E918" s="7">
        <v>45733</v>
      </c>
      <c r="F918" t="s">
        <v>59</v>
      </c>
      <c r="G918">
        <v>1</v>
      </c>
      <c r="H918">
        <v>3592</v>
      </c>
      <c r="I918" t="s">
        <v>1028</v>
      </c>
    </row>
    <row r="919" spans="2:9" x14ac:dyDescent="0.25">
      <c r="B919" t="s">
        <v>1038</v>
      </c>
      <c r="C919" t="s">
        <v>17</v>
      </c>
      <c r="D919" t="s">
        <v>21</v>
      </c>
      <c r="E919" s="7">
        <v>45773</v>
      </c>
      <c r="F919" t="s">
        <v>59</v>
      </c>
      <c r="G919">
        <v>6</v>
      </c>
      <c r="H919">
        <v>1351</v>
      </c>
      <c r="I919" t="s">
        <v>1026</v>
      </c>
    </row>
    <row r="920" spans="2:9" x14ac:dyDescent="0.25">
      <c r="B920" t="s">
        <v>1039</v>
      </c>
      <c r="C920" t="s">
        <v>17</v>
      </c>
      <c r="D920" t="s">
        <v>17</v>
      </c>
      <c r="E920" s="7">
        <v>45847</v>
      </c>
      <c r="F920" t="s">
        <v>59</v>
      </c>
      <c r="G920">
        <v>4</v>
      </c>
      <c r="H920">
        <v>2668</v>
      </c>
      <c r="I920" t="s">
        <v>1026</v>
      </c>
    </row>
    <row r="921" spans="2:9" x14ac:dyDescent="0.25">
      <c r="B921" t="s">
        <v>1040</v>
      </c>
      <c r="C921" t="s">
        <v>18</v>
      </c>
      <c r="D921" t="s">
        <v>23</v>
      </c>
      <c r="E921" s="7">
        <v>45860</v>
      </c>
      <c r="F921" t="s">
        <v>59</v>
      </c>
      <c r="G921">
        <v>6</v>
      </c>
      <c r="H921">
        <v>1058</v>
      </c>
      <c r="I921" t="s">
        <v>1028</v>
      </c>
    </row>
    <row r="922" spans="2:9" x14ac:dyDescent="0.25">
      <c r="B922" t="s">
        <v>1041</v>
      </c>
      <c r="C922" t="s">
        <v>12</v>
      </c>
      <c r="D922" t="s">
        <v>21</v>
      </c>
      <c r="E922" s="7">
        <v>45908</v>
      </c>
      <c r="F922" t="s">
        <v>59</v>
      </c>
      <c r="G922">
        <v>5</v>
      </c>
      <c r="H922">
        <v>1319</v>
      </c>
      <c r="I922" t="s">
        <v>1028</v>
      </c>
    </row>
    <row r="923" spans="2:9" x14ac:dyDescent="0.25">
      <c r="B923" t="s">
        <v>1042</v>
      </c>
      <c r="C923" t="s">
        <v>17</v>
      </c>
      <c r="D923" t="s">
        <v>21</v>
      </c>
      <c r="E923" s="7">
        <v>45695</v>
      </c>
      <c r="F923" t="s">
        <v>59</v>
      </c>
      <c r="G923">
        <v>7</v>
      </c>
      <c r="H923">
        <v>2101</v>
      </c>
      <c r="I923" t="s">
        <v>1024</v>
      </c>
    </row>
    <row r="924" spans="2:9" x14ac:dyDescent="0.25">
      <c r="B924" t="s">
        <v>1043</v>
      </c>
      <c r="C924" t="s">
        <v>18</v>
      </c>
      <c r="D924" t="s">
        <v>11</v>
      </c>
      <c r="E924" s="7">
        <v>45956</v>
      </c>
      <c r="F924" t="s">
        <v>59</v>
      </c>
      <c r="G924">
        <v>5</v>
      </c>
      <c r="H924">
        <v>3377</v>
      </c>
      <c r="I924" t="s">
        <v>1028</v>
      </c>
    </row>
    <row r="925" spans="2:9" x14ac:dyDescent="0.25">
      <c r="B925" t="s">
        <v>1044</v>
      </c>
      <c r="C925" t="s">
        <v>14</v>
      </c>
      <c r="D925" t="s">
        <v>27</v>
      </c>
      <c r="E925" s="7">
        <v>45754</v>
      </c>
      <c r="F925" t="s">
        <v>59</v>
      </c>
      <c r="G925">
        <v>1</v>
      </c>
      <c r="H925">
        <v>3954</v>
      </c>
      <c r="I925" t="s">
        <v>1026</v>
      </c>
    </row>
    <row r="926" spans="2:9" x14ac:dyDescent="0.25">
      <c r="B926" t="s">
        <v>1045</v>
      </c>
      <c r="C926" t="s">
        <v>14</v>
      </c>
      <c r="D926" t="s">
        <v>14</v>
      </c>
      <c r="E926" s="7">
        <v>45772</v>
      </c>
      <c r="F926" t="s">
        <v>59</v>
      </c>
      <c r="G926">
        <v>3</v>
      </c>
      <c r="H926">
        <v>3959</v>
      </c>
      <c r="I926" t="s">
        <v>1024</v>
      </c>
    </row>
    <row r="927" spans="2:9" x14ac:dyDescent="0.25">
      <c r="B927" t="s">
        <v>1046</v>
      </c>
      <c r="C927" t="s">
        <v>10</v>
      </c>
      <c r="D927" t="s">
        <v>21</v>
      </c>
      <c r="E927" s="7">
        <v>45932</v>
      </c>
      <c r="F927" t="s">
        <v>59</v>
      </c>
      <c r="G927">
        <v>10</v>
      </c>
      <c r="H927">
        <v>2356</v>
      </c>
      <c r="I927" t="s">
        <v>1026</v>
      </c>
    </row>
    <row r="928" spans="2:9" x14ac:dyDescent="0.25">
      <c r="B928" t="s">
        <v>1047</v>
      </c>
      <c r="C928" t="s">
        <v>14</v>
      </c>
      <c r="D928" t="s">
        <v>14</v>
      </c>
      <c r="E928" s="7">
        <v>46018</v>
      </c>
      <c r="F928" t="s">
        <v>59</v>
      </c>
      <c r="G928">
        <v>7</v>
      </c>
      <c r="H928">
        <v>4408</v>
      </c>
      <c r="I928" t="s">
        <v>1024</v>
      </c>
    </row>
    <row r="929" spans="2:9" x14ac:dyDescent="0.25">
      <c r="B929" t="s">
        <v>1048</v>
      </c>
      <c r="C929" t="s">
        <v>10</v>
      </c>
      <c r="D929" t="s">
        <v>11</v>
      </c>
      <c r="E929" s="7">
        <v>45783</v>
      </c>
      <c r="F929" t="s">
        <v>59</v>
      </c>
      <c r="G929">
        <v>9</v>
      </c>
      <c r="H929">
        <v>4253</v>
      </c>
      <c r="I929" t="s">
        <v>1028</v>
      </c>
    </row>
    <row r="930" spans="2:9" x14ac:dyDescent="0.25">
      <c r="B930" t="s">
        <v>1049</v>
      </c>
      <c r="C930" t="s">
        <v>14</v>
      </c>
      <c r="D930" t="s">
        <v>19</v>
      </c>
      <c r="E930" s="7">
        <v>45910</v>
      </c>
      <c r="F930" t="s">
        <v>59</v>
      </c>
      <c r="G930">
        <v>8</v>
      </c>
      <c r="H930">
        <v>2330</v>
      </c>
      <c r="I930" t="s">
        <v>1026</v>
      </c>
    </row>
    <row r="931" spans="2:9" x14ac:dyDescent="0.25">
      <c r="B931" t="s">
        <v>1050</v>
      </c>
      <c r="C931" t="s">
        <v>12</v>
      </c>
      <c r="D931" t="s">
        <v>19</v>
      </c>
      <c r="E931" s="7">
        <v>45669</v>
      </c>
      <c r="F931" t="s">
        <v>59</v>
      </c>
      <c r="G931">
        <v>7</v>
      </c>
      <c r="H931">
        <v>2894</v>
      </c>
      <c r="I931" t="s">
        <v>1028</v>
      </c>
    </row>
    <row r="932" spans="2:9" x14ac:dyDescent="0.25">
      <c r="B932" t="s">
        <v>1051</v>
      </c>
      <c r="C932" t="s">
        <v>11</v>
      </c>
      <c r="D932" t="s">
        <v>19</v>
      </c>
      <c r="E932" s="7">
        <v>45912</v>
      </c>
      <c r="F932" t="s">
        <v>59</v>
      </c>
      <c r="G932">
        <v>2</v>
      </c>
      <c r="H932">
        <v>1559</v>
      </c>
      <c r="I932" t="s">
        <v>1024</v>
      </c>
    </row>
    <row r="933" spans="2:9" x14ac:dyDescent="0.25">
      <c r="B933" t="s">
        <v>1052</v>
      </c>
      <c r="C933" t="s">
        <v>13</v>
      </c>
      <c r="D933" t="s">
        <v>27</v>
      </c>
      <c r="E933" s="7">
        <v>45768</v>
      </c>
      <c r="F933" t="s">
        <v>59</v>
      </c>
      <c r="G933">
        <v>3</v>
      </c>
      <c r="H933">
        <v>2734</v>
      </c>
      <c r="I933" t="s">
        <v>1026</v>
      </c>
    </row>
    <row r="934" spans="2:9" x14ac:dyDescent="0.25">
      <c r="B934" t="s">
        <v>1053</v>
      </c>
      <c r="C934" t="s">
        <v>17</v>
      </c>
      <c r="D934" t="s">
        <v>17</v>
      </c>
      <c r="E934" s="7">
        <v>45830</v>
      </c>
      <c r="F934" t="s">
        <v>59</v>
      </c>
      <c r="G934">
        <v>4</v>
      </c>
      <c r="H934">
        <v>2191</v>
      </c>
      <c r="I934" t="s">
        <v>1028</v>
      </c>
    </row>
    <row r="935" spans="2:9" x14ac:dyDescent="0.25">
      <c r="B935" t="s">
        <v>1054</v>
      </c>
      <c r="C935" t="s">
        <v>15</v>
      </c>
      <c r="D935" t="s">
        <v>27</v>
      </c>
      <c r="E935" s="7">
        <v>45849</v>
      </c>
      <c r="F935" t="s">
        <v>59</v>
      </c>
      <c r="G935">
        <v>10</v>
      </c>
      <c r="H935">
        <v>4494</v>
      </c>
      <c r="I935" t="s">
        <v>1028</v>
      </c>
    </row>
    <row r="936" spans="2:9" x14ac:dyDescent="0.25">
      <c r="B936" t="s">
        <v>1055</v>
      </c>
      <c r="C936" t="s">
        <v>12</v>
      </c>
      <c r="D936" t="s">
        <v>23</v>
      </c>
      <c r="E936" s="7">
        <v>45910</v>
      </c>
      <c r="F936" t="s">
        <v>59</v>
      </c>
      <c r="G936">
        <v>3</v>
      </c>
      <c r="H936">
        <v>588</v>
      </c>
      <c r="I936" t="s">
        <v>1026</v>
      </c>
    </row>
    <row r="937" spans="2:9" x14ac:dyDescent="0.25">
      <c r="B937" t="s">
        <v>1059</v>
      </c>
      <c r="C937" t="s">
        <v>1056</v>
      </c>
      <c r="D937" t="s">
        <v>37</v>
      </c>
      <c r="E937" s="7">
        <v>46043</v>
      </c>
      <c r="F937" t="s">
        <v>59</v>
      </c>
      <c r="G937">
        <v>2</v>
      </c>
      <c r="H937" s="23">
        <v>1400</v>
      </c>
      <c r="I937" t="s">
        <v>84</v>
      </c>
    </row>
    <row r="938" spans="2:9" x14ac:dyDescent="0.25">
      <c r="E938" s="7"/>
      <c r="H938" s="23"/>
    </row>
    <row r="939" spans="2:9" x14ac:dyDescent="0.25">
      <c r="B939" t="s">
        <v>1062</v>
      </c>
      <c r="C939" t="s">
        <v>1060</v>
      </c>
      <c r="D939" t="s">
        <v>34</v>
      </c>
      <c r="E939" s="7">
        <v>46166</v>
      </c>
      <c r="F939" t="s">
        <v>58</v>
      </c>
      <c r="G939">
        <v>6</v>
      </c>
      <c r="H939" s="23">
        <v>2000</v>
      </c>
      <c r="I939" t="s">
        <v>84</v>
      </c>
    </row>
    <row r="940" spans="2:9" x14ac:dyDescent="0.25">
      <c r="B940" t="s">
        <v>1065</v>
      </c>
      <c r="C940" t="s">
        <v>1063</v>
      </c>
      <c r="D940" t="s">
        <v>28</v>
      </c>
      <c r="E940" s="7">
        <v>46015</v>
      </c>
      <c r="F940" t="s">
        <v>59</v>
      </c>
      <c r="G940">
        <v>1</v>
      </c>
      <c r="H940" s="23">
        <v>1300</v>
      </c>
    </row>
    <row r="941" spans="2:9" x14ac:dyDescent="0.25">
      <c r="B941" t="s">
        <v>1068</v>
      </c>
      <c r="C941" t="s">
        <v>1066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32CC-8EEE-4EA7-A57C-987B4E83393D}">
  <sheetPr codeName="Hoja4"/>
  <dimension ref="B5:D983"/>
  <sheetViews>
    <sheetView showGridLines="0" zoomScale="71" zoomScaleNormal="71" workbookViewId="0">
      <selection activeCell="C8" sqref="C8"/>
    </sheetView>
  </sheetViews>
  <sheetFormatPr baseColWidth="10" defaultRowHeight="15" x14ac:dyDescent="0.25"/>
  <cols>
    <col min="2" max="3" width="28.85546875" customWidth="1"/>
    <col min="4" max="4" width="63.85546875" customWidth="1"/>
  </cols>
  <sheetData>
    <row r="5" spans="2:4" ht="18.75" x14ac:dyDescent="0.3">
      <c r="B5" s="26" t="s">
        <v>0</v>
      </c>
      <c r="C5" s="27" t="s">
        <v>3</v>
      </c>
      <c r="D5" s="28" t="s">
        <v>63</v>
      </c>
    </row>
    <row r="6" spans="2:4" x14ac:dyDescent="0.25">
      <c r="B6" s="24" t="s">
        <v>1062</v>
      </c>
      <c r="C6" s="25">
        <v>46166</v>
      </c>
      <c r="D6" s="24" t="s">
        <v>1061</v>
      </c>
    </row>
    <row r="7" spans="2:4" x14ac:dyDescent="0.25">
      <c r="B7" s="24" t="s">
        <v>1065</v>
      </c>
      <c r="C7" s="25">
        <v>46166</v>
      </c>
      <c r="D7" s="24" t="s">
        <v>1064</v>
      </c>
    </row>
    <row r="8" spans="2:4" x14ac:dyDescent="0.25">
      <c r="B8" s="24" t="s">
        <v>1068</v>
      </c>
      <c r="C8" s="25">
        <v>46166</v>
      </c>
      <c r="D8" s="24" t="s">
        <v>1067</v>
      </c>
    </row>
    <row r="9" spans="2:4" x14ac:dyDescent="0.25">
      <c r="B9" s="24" t="s">
        <v>738</v>
      </c>
      <c r="C9" s="25">
        <f ca="1">RANDBETWEEN(DATE(2025,1,1),DATE(2026,5,30))</f>
        <v>45748</v>
      </c>
      <c r="D9" s="24" t="s">
        <v>1077</v>
      </c>
    </row>
    <row r="10" spans="2:4" x14ac:dyDescent="0.25">
      <c r="B10" s="24" t="s">
        <v>468</v>
      </c>
      <c r="C10" s="25">
        <f t="shared" ref="C10:C73" ca="1" si="0">RANDBETWEEN(DATE(2025,1,1),DATE(2026,5,30))</f>
        <v>46079</v>
      </c>
      <c r="D10" s="24" t="s">
        <v>1078</v>
      </c>
    </row>
    <row r="11" spans="2:4" x14ac:dyDescent="0.25">
      <c r="B11" s="24" t="s">
        <v>1109</v>
      </c>
      <c r="C11" s="25">
        <f t="shared" ca="1" si="0"/>
        <v>45808</v>
      </c>
      <c r="D11" s="24" t="s">
        <v>1075</v>
      </c>
    </row>
    <row r="12" spans="2:4" x14ac:dyDescent="0.25">
      <c r="B12" s="24" t="s">
        <v>1110</v>
      </c>
      <c r="C12" s="25">
        <f t="shared" ca="1" si="0"/>
        <v>46127</v>
      </c>
      <c r="D12" s="24" t="s">
        <v>1077</v>
      </c>
    </row>
    <row r="13" spans="2:4" x14ac:dyDescent="0.25">
      <c r="B13" s="24" t="s">
        <v>726</v>
      </c>
      <c r="C13" s="25">
        <f t="shared" ca="1" si="0"/>
        <v>45748</v>
      </c>
      <c r="D13" s="24" t="s">
        <v>1069</v>
      </c>
    </row>
    <row r="14" spans="2:4" x14ac:dyDescent="0.25">
      <c r="B14" s="24" t="s">
        <v>839</v>
      </c>
      <c r="C14" s="25">
        <f t="shared" ca="1" si="0"/>
        <v>46134</v>
      </c>
      <c r="D14" s="24" t="s">
        <v>1074</v>
      </c>
    </row>
    <row r="15" spans="2:4" x14ac:dyDescent="0.25">
      <c r="B15" s="24" t="s">
        <v>865</v>
      </c>
      <c r="C15" s="25">
        <f t="shared" ca="1" si="0"/>
        <v>46169</v>
      </c>
      <c r="D15" s="24" t="s">
        <v>1069</v>
      </c>
    </row>
    <row r="16" spans="2:4" x14ac:dyDescent="0.25">
      <c r="B16" s="24" t="s">
        <v>521</v>
      </c>
      <c r="C16" s="25">
        <f t="shared" ca="1" si="0"/>
        <v>45920</v>
      </c>
      <c r="D16" s="24" t="s">
        <v>1080</v>
      </c>
    </row>
    <row r="17" spans="2:4" x14ac:dyDescent="0.25">
      <c r="B17" s="24" t="s">
        <v>497</v>
      </c>
      <c r="C17" s="25">
        <f t="shared" ca="1" si="0"/>
        <v>46055</v>
      </c>
      <c r="D17" s="24" t="s">
        <v>1074</v>
      </c>
    </row>
    <row r="18" spans="2:4" x14ac:dyDescent="0.25">
      <c r="B18" s="24" t="s">
        <v>128</v>
      </c>
      <c r="C18" s="25">
        <f t="shared" ca="1" si="0"/>
        <v>45806</v>
      </c>
      <c r="D18" s="24" t="s">
        <v>1069</v>
      </c>
    </row>
    <row r="19" spans="2:4" x14ac:dyDescent="0.25">
      <c r="B19" s="24" t="s">
        <v>837</v>
      </c>
      <c r="C19" s="25">
        <f t="shared" ca="1" si="0"/>
        <v>46118</v>
      </c>
      <c r="D19" s="24" t="s">
        <v>1071</v>
      </c>
    </row>
    <row r="20" spans="2:4" x14ac:dyDescent="0.25">
      <c r="B20" s="24" t="s">
        <v>971</v>
      </c>
      <c r="C20" s="25">
        <f t="shared" ca="1" si="0"/>
        <v>46049</v>
      </c>
      <c r="D20" s="24" t="s">
        <v>1075</v>
      </c>
    </row>
    <row r="21" spans="2:4" x14ac:dyDescent="0.25">
      <c r="B21" s="24" t="s">
        <v>138</v>
      </c>
      <c r="C21" s="25">
        <f t="shared" ca="1" si="0"/>
        <v>45754</v>
      </c>
      <c r="D21" s="24" t="s">
        <v>1073</v>
      </c>
    </row>
    <row r="22" spans="2:4" x14ac:dyDescent="0.25">
      <c r="B22" s="24" t="s">
        <v>122</v>
      </c>
      <c r="C22" s="25">
        <f t="shared" ca="1" si="0"/>
        <v>45919</v>
      </c>
      <c r="D22" s="24" t="s">
        <v>1070</v>
      </c>
    </row>
    <row r="23" spans="2:4" x14ac:dyDescent="0.25">
      <c r="B23" s="24" t="s">
        <v>472</v>
      </c>
      <c r="C23" s="25">
        <f t="shared" ca="1" si="0"/>
        <v>45979</v>
      </c>
      <c r="D23" s="24" t="s">
        <v>1077</v>
      </c>
    </row>
    <row r="24" spans="2:4" x14ac:dyDescent="0.25">
      <c r="B24" s="24" t="s">
        <v>738</v>
      </c>
      <c r="C24" s="25">
        <f t="shared" ca="1" si="0"/>
        <v>46009</v>
      </c>
      <c r="D24" s="24" t="s">
        <v>1069</v>
      </c>
    </row>
    <row r="25" spans="2:4" x14ac:dyDescent="0.25">
      <c r="B25" s="24" t="s">
        <v>122</v>
      </c>
      <c r="C25" s="25">
        <f t="shared" ca="1" si="0"/>
        <v>46148</v>
      </c>
      <c r="D25" s="24" t="s">
        <v>1077</v>
      </c>
    </row>
    <row r="26" spans="2:4" x14ac:dyDescent="0.25">
      <c r="B26" s="24" t="s">
        <v>183</v>
      </c>
      <c r="C26" s="25">
        <f t="shared" ca="1" si="0"/>
        <v>45822</v>
      </c>
      <c r="D26" s="24" t="s">
        <v>1071</v>
      </c>
    </row>
    <row r="27" spans="2:4" x14ac:dyDescent="0.25">
      <c r="B27" s="24" t="s">
        <v>859</v>
      </c>
      <c r="C27" s="25">
        <f t="shared" ca="1" si="0"/>
        <v>45740</v>
      </c>
      <c r="D27" s="24" t="s">
        <v>1076</v>
      </c>
    </row>
    <row r="28" spans="2:4" x14ac:dyDescent="0.25">
      <c r="B28" s="24" t="s">
        <v>838</v>
      </c>
      <c r="C28" s="25">
        <f t="shared" ca="1" si="0"/>
        <v>46145</v>
      </c>
      <c r="D28" s="24" t="s">
        <v>1072</v>
      </c>
    </row>
    <row r="29" spans="2:4" x14ac:dyDescent="0.25">
      <c r="B29" s="24" t="s">
        <v>815</v>
      </c>
      <c r="C29" s="25">
        <f t="shared" ca="1" si="0"/>
        <v>45802</v>
      </c>
      <c r="D29" s="24" t="s">
        <v>1070</v>
      </c>
    </row>
    <row r="30" spans="2:4" x14ac:dyDescent="0.25">
      <c r="B30" s="24" t="s">
        <v>664</v>
      </c>
      <c r="C30" s="25">
        <f t="shared" ca="1" si="0"/>
        <v>46103</v>
      </c>
      <c r="D30" s="24" t="s">
        <v>1074</v>
      </c>
    </row>
    <row r="31" spans="2:4" x14ac:dyDescent="0.25">
      <c r="B31" s="24" t="s">
        <v>297</v>
      </c>
      <c r="C31" s="25">
        <f t="shared" ca="1" si="0"/>
        <v>46102</v>
      </c>
      <c r="D31" s="24" t="s">
        <v>1076</v>
      </c>
    </row>
    <row r="32" spans="2:4" x14ac:dyDescent="0.25">
      <c r="B32" s="24" t="s">
        <v>594</v>
      </c>
      <c r="C32" s="25">
        <f t="shared" ca="1" si="0"/>
        <v>46123</v>
      </c>
      <c r="D32" s="24" t="s">
        <v>1076</v>
      </c>
    </row>
    <row r="33" spans="2:4" x14ac:dyDescent="0.25">
      <c r="B33" s="24" t="s">
        <v>1031</v>
      </c>
      <c r="C33" s="25">
        <f t="shared" ca="1" si="0"/>
        <v>45702</v>
      </c>
      <c r="D33" s="24" t="s">
        <v>1073</v>
      </c>
    </row>
    <row r="34" spans="2:4" x14ac:dyDescent="0.25">
      <c r="B34" s="24" t="s">
        <v>468</v>
      </c>
      <c r="C34" s="25">
        <f t="shared" ca="1" si="0"/>
        <v>45866</v>
      </c>
      <c r="D34" s="24" t="s">
        <v>1069</v>
      </c>
    </row>
    <row r="35" spans="2:4" x14ac:dyDescent="0.25">
      <c r="B35" s="24" t="s">
        <v>636</v>
      </c>
      <c r="C35" s="25">
        <f t="shared" ca="1" si="0"/>
        <v>45772</v>
      </c>
      <c r="D35" s="24" t="s">
        <v>1074</v>
      </c>
    </row>
    <row r="36" spans="2:4" x14ac:dyDescent="0.25">
      <c r="B36" s="24" t="s">
        <v>1097</v>
      </c>
      <c r="C36" s="25">
        <f t="shared" ca="1" si="0"/>
        <v>45857</v>
      </c>
      <c r="D36" s="24" t="s">
        <v>1079</v>
      </c>
    </row>
    <row r="37" spans="2:4" x14ac:dyDescent="0.25">
      <c r="B37" s="24" t="s">
        <v>366</v>
      </c>
      <c r="C37" s="25">
        <f t="shared" ca="1" si="0"/>
        <v>46116</v>
      </c>
      <c r="D37" s="24" t="s">
        <v>1077</v>
      </c>
    </row>
    <row r="38" spans="2:4" x14ac:dyDescent="0.25">
      <c r="B38" s="24" t="s">
        <v>469</v>
      </c>
      <c r="C38" s="25">
        <f t="shared" ca="1" si="0"/>
        <v>46022</v>
      </c>
      <c r="D38" s="24" t="s">
        <v>1080</v>
      </c>
    </row>
    <row r="39" spans="2:4" x14ac:dyDescent="0.25">
      <c r="B39" s="24" t="s">
        <v>937</v>
      </c>
      <c r="C39" s="25">
        <f t="shared" ca="1" si="0"/>
        <v>46012</v>
      </c>
      <c r="D39" s="24" t="s">
        <v>1072</v>
      </c>
    </row>
    <row r="40" spans="2:4" x14ac:dyDescent="0.25">
      <c r="B40" s="24" t="s">
        <v>596</v>
      </c>
      <c r="C40" s="25">
        <f t="shared" ca="1" si="0"/>
        <v>46082</v>
      </c>
      <c r="D40" s="24" t="s">
        <v>1071</v>
      </c>
    </row>
    <row r="41" spans="2:4" x14ac:dyDescent="0.25">
      <c r="B41" s="24" t="s">
        <v>884</v>
      </c>
      <c r="C41" s="25">
        <f t="shared" ca="1" si="0"/>
        <v>45730</v>
      </c>
      <c r="D41" s="24" t="s">
        <v>1077</v>
      </c>
    </row>
    <row r="42" spans="2:4" x14ac:dyDescent="0.25">
      <c r="B42" s="24" t="s">
        <v>1104</v>
      </c>
      <c r="C42" s="25">
        <f t="shared" ca="1" si="0"/>
        <v>45693</v>
      </c>
      <c r="D42" s="24" t="s">
        <v>1072</v>
      </c>
    </row>
    <row r="43" spans="2:4" x14ac:dyDescent="0.25">
      <c r="B43" s="24" t="s">
        <v>887</v>
      </c>
      <c r="C43" s="25">
        <f t="shared" ca="1" si="0"/>
        <v>46090</v>
      </c>
      <c r="D43" s="24" t="s">
        <v>1078</v>
      </c>
    </row>
    <row r="44" spans="2:4" x14ac:dyDescent="0.25">
      <c r="B44" s="24" t="s">
        <v>297</v>
      </c>
      <c r="C44" s="25">
        <f t="shared" ca="1" si="0"/>
        <v>45798</v>
      </c>
      <c r="D44" s="24" t="s">
        <v>1079</v>
      </c>
    </row>
    <row r="45" spans="2:4" x14ac:dyDescent="0.25">
      <c r="B45" s="24" t="s">
        <v>549</v>
      </c>
      <c r="C45" s="25">
        <f t="shared" ca="1" si="0"/>
        <v>45979</v>
      </c>
      <c r="D45" s="24" t="s">
        <v>1072</v>
      </c>
    </row>
    <row r="46" spans="2:4" x14ac:dyDescent="0.25">
      <c r="B46" s="24" t="s">
        <v>715</v>
      </c>
      <c r="C46" s="25">
        <f t="shared" ca="1" si="0"/>
        <v>45698</v>
      </c>
      <c r="D46" s="24" t="s">
        <v>1076</v>
      </c>
    </row>
    <row r="47" spans="2:4" x14ac:dyDescent="0.25">
      <c r="B47" s="24" t="s">
        <v>309</v>
      </c>
      <c r="C47" s="25">
        <f t="shared" ca="1" si="0"/>
        <v>46026</v>
      </c>
      <c r="D47" s="24" t="s">
        <v>1077</v>
      </c>
    </row>
    <row r="48" spans="2:4" x14ac:dyDescent="0.25">
      <c r="B48" s="24" t="s">
        <v>517</v>
      </c>
      <c r="C48" s="25">
        <f t="shared" ca="1" si="0"/>
        <v>45838</v>
      </c>
      <c r="D48" s="24" t="s">
        <v>1078</v>
      </c>
    </row>
    <row r="49" spans="2:4" x14ac:dyDescent="0.25">
      <c r="B49" s="24" t="s">
        <v>655</v>
      </c>
      <c r="C49" s="25">
        <f t="shared" ca="1" si="0"/>
        <v>45807</v>
      </c>
      <c r="D49" s="24" t="s">
        <v>1077</v>
      </c>
    </row>
    <row r="50" spans="2:4" x14ac:dyDescent="0.25">
      <c r="B50" s="24" t="s">
        <v>341</v>
      </c>
      <c r="C50" s="25">
        <f t="shared" ca="1" si="0"/>
        <v>46108</v>
      </c>
      <c r="D50" s="24" t="s">
        <v>1078</v>
      </c>
    </row>
    <row r="51" spans="2:4" x14ac:dyDescent="0.25">
      <c r="B51" s="24" t="s">
        <v>625</v>
      </c>
      <c r="C51" s="25">
        <f t="shared" ca="1" si="0"/>
        <v>45808</v>
      </c>
      <c r="D51" s="24" t="s">
        <v>1079</v>
      </c>
    </row>
    <row r="52" spans="2:4" x14ac:dyDescent="0.25">
      <c r="B52" s="24" t="s">
        <v>415</v>
      </c>
      <c r="C52" s="25">
        <f t="shared" ca="1" si="0"/>
        <v>45794</v>
      </c>
      <c r="D52" s="24" t="s">
        <v>1073</v>
      </c>
    </row>
    <row r="53" spans="2:4" x14ac:dyDescent="0.25">
      <c r="B53" s="24" t="s">
        <v>438</v>
      </c>
      <c r="C53" s="25">
        <f t="shared" ca="1" si="0"/>
        <v>45862</v>
      </c>
      <c r="D53" s="24" t="s">
        <v>1076</v>
      </c>
    </row>
    <row r="54" spans="2:4" x14ac:dyDescent="0.25">
      <c r="B54" s="24" t="s">
        <v>874</v>
      </c>
      <c r="C54" s="25">
        <f t="shared" ca="1" si="0"/>
        <v>45672</v>
      </c>
      <c r="D54" s="24" t="s">
        <v>1069</v>
      </c>
    </row>
    <row r="55" spans="2:4" x14ac:dyDescent="0.25">
      <c r="B55" s="24" t="s">
        <v>472</v>
      </c>
      <c r="C55" s="25">
        <f t="shared" ca="1" si="0"/>
        <v>45913</v>
      </c>
      <c r="D55" s="24" t="s">
        <v>1073</v>
      </c>
    </row>
    <row r="56" spans="2:4" x14ac:dyDescent="0.25">
      <c r="B56" s="24" t="s">
        <v>379</v>
      </c>
      <c r="C56" s="25">
        <f t="shared" ca="1" si="0"/>
        <v>45855</v>
      </c>
      <c r="D56" s="24" t="s">
        <v>1074</v>
      </c>
    </row>
    <row r="57" spans="2:4" x14ac:dyDescent="0.25">
      <c r="B57" s="24" t="s">
        <v>491</v>
      </c>
      <c r="C57" s="25">
        <f t="shared" ca="1" si="0"/>
        <v>45689</v>
      </c>
      <c r="D57" s="24" t="s">
        <v>1078</v>
      </c>
    </row>
    <row r="58" spans="2:4" x14ac:dyDescent="0.25">
      <c r="B58" s="24" t="s">
        <v>821</v>
      </c>
      <c r="C58" s="25">
        <f t="shared" ca="1" si="0"/>
        <v>45727</v>
      </c>
      <c r="D58" s="24" t="s">
        <v>1076</v>
      </c>
    </row>
    <row r="59" spans="2:4" x14ac:dyDescent="0.25">
      <c r="B59" s="24" t="s">
        <v>1101</v>
      </c>
      <c r="C59" s="25">
        <f t="shared" ca="1" si="0"/>
        <v>46050</v>
      </c>
      <c r="D59" s="24" t="s">
        <v>1075</v>
      </c>
    </row>
    <row r="60" spans="2:4" x14ac:dyDescent="0.25">
      <c r="B60" s="24" t="s">
        <v>573</v>
      </c>
      <c r="C60" s="25">
        <f t="shared" ca="1" si="0"/>
        <v>45785</v>
      </c>
      <c r="D60" s="24" t="s">
        <v>1071</v>
      </c>
    </row>
    <row r="61" spans="2:4" x14ac:dyDescent="0.25">
      <c r="B61" s="24" t="s">
        <v>326</v>
      </c>
      <c r="C61" s="25">
        <f t="shared" ca="1" si="0"/>
        <v>45987</v>
      </c>
      <c r="D61" s="24" t="s">
        <v>1080</v>
      </c>
    </row>
    <row r="62" spans="2:4" x14ac:dyDescent="0.25">
      <c r="B62" s="24" t="s">
        <v>658</v>
      </c>
      <c r="C62" s="25">
        <f t="shared" ca="1" si="0"/>
        <v>45774</v>
      </c>
      <c r="D62" s="24" t="s">
        <v>1080</v>
      </c>
    </row>
    <row r="63" spans="2:4" x14ac:dyDescent="0.25">
      <c r="B63" s="24" t="s">
        <v>808</v>
      </c>
      <c r="C63" s="25">
        <f t="shared" ca="1" si="0"/>
        <v>45790</v>
      </c>
      <c r="D63" s="24" t="s">
        <v>1073</v>
      </c>
    </row>
    <row r="64" spans="2:4" x14ac:dyDescent="0.25">
      <c r="B64" s="24" t="s">
        <v>443</v>
      </c>
      <c r="C64" s="25">
        <f t="shared" ca="1" si="0"/>
        <v>46105</v>
      </c>
      <c r="D64" s="24" t="s">
        <v>1079</v>
      </c>
    </row>
    <row r="65" spans="2:4" x14ac:dyDescent="0.25">
      <c r="B65" s="24" t="s">
        <v>809</v>
      </c>
      <c r="C65" s="25">
        <f t="shared" ca="1" si="0"/>
        <v>46146</v>
      </c>
      <c r="D65" s="24" t="s">
        <v>1075</v>
      </c>
    </row>
    <row r="66" spans="2:4" x14ac:dyDescent="0.25">
      <c r="B66" s="24" t="s">
        <v>388</v>
      </c>
      <c r="C66" s="25">
        <f t="shared" ca="1" si="0"/>
        <v>46080</v>
      </c>
      <c r="D66" s="24" t="s">
        <v>1072</v>
      </c>
    </row>
    <row r="67" spans="2:4" x14ac:dyDescent="0.25">
      <c r="B67" s="24" t="s">
        <v>714</v>
      </c>
      <c r="C67" s="25">
        <f t="shared" ca="1" si="0"/>
        <v>46067</v>
      </c>
      <c r="D67" s="24" t="s">
        <v>1076</v>
      </c>
    </row>
    <row r="68" spans="2:4" x14ac:dyDescent="0.25">
      <c r="B68" s="24" t="s">
        <v>180</v>
      </c>
      <c r="C68" s="25">
        <f t="shared" ca="1" si="0"/>
        <v>45710</v>
      </c>
      <c r="D68" s="24" t="s">
        <v>1075</v>
      </c>
    </row>
    <row r="69" spans="2:4" x14ac:dyDescent="0.25">
      <c r="B69" s="24" t="s">
        <v>750</v>
      </c>
      <c r="C69" s="25">
        <f t="shared" ca="1" si="0"/>
        <v>46003</v>
      </c>
      <c r="D69" s="24" t="s">
        <v>1072</v>
      </c>
    </row>
    <row r="70" spans="2:4" x14ac:dyDescent="0.25">
      <c r="B70" s="24" t="s">
        <v>1023</v>
      </c>
      <c r="C70" s="25">
        <f t="shared" ca="1" si="0"/>
        <v>46093</v>
      </c>
      <c r="D70" s="24" t="s">
        <v>1078</v>
      </c>
    </row>
    <row r="71" spans="2:4" x14ac:dyDescent="0.25">
      <c r="B71" s="24" t="s">
        <v>937</v>
      </c>
      <c r="C71" s="25">
        <f t="shared" ca="1" si="0"/>
        <v>45856</v>
      </c>
      <c r="D71" s="24" t="s">
        <v>1069</v>
      </c>
    </row>
    <row r="72" spans="2:4" x14ac:dyDescent="0.25">
      <c r="B72" s="24" t="s">
        <v>240</v>
      </c>
      <c r="C72" s="25">
        <f t="shared" ca="1" si="0"/>
        <v>46102</v>
      </c>
      <c r="D72" s="24" t="s">
        <v>1078</v>
      </c>
    </row>
    <row r="73" spans="2:4" x14ac:dyDescent="0.25">
      <c r="B73" s="24" t="s">
        <v>316</v>
      </c>
      <c r="C73" s="25">
        <f t="shared" ca="1" si="0"/>
        <v>45882</v>
      </c>
      <c r="D73" s="24" t="s">
        <v>1075</v>
      </c>
    </row>
    <row r="74" spans="2:4" x14ac:dyDescent="0.25">
      <c r="B74" s="24" t="s">
        <v>1113</v>
      </c>
      <c r="C74" s="25">
        <f t="shared" ref="C74:C137" ca="1" si="1">RANDBETWEEN(DATE(2025,1,1),DATE(2026,5,30))</f>
        <v>45983</v>
      </c>
      <c r="D74" s="24" t="s">
        <v>1075</v>
      </c>
    </row>
    <row r="75" spans="2:4" x14ac:dyDescent="0.25">
      <c r="B75" s="24" t="s">
        <v>310</v>
      </c>
      <c r="C75" s="25">
        <f t="shared" ca="1" si="1"/>
        <v>46037</v>
      </c>
      <c r="D75" s="24" t="s">
        <v>1071</v>
      </c>
    </row>
    <row r="76" spans="2:4" x14ac:dyDescent="0.25">
      <c r="B76" s="24" t="s">
        <v>843</v>
      </c>
      <c r="C76" s="25">
        <f t="shared" ca="1" si="1"/>
        <v>45943</v>
      </c>
      <c r="D76" s="24" t="s">
        <v>1069</v>
      </c>
    </row>
    <row r="77" spans="2:4" x14ac:dyDescent="0.25">
      <c r="B77" s="24" t="s">
        <v>541</v>
      </c>
      <c r="C77" s="25">
        <f t="shared" ca="1" si="1"/>
        <v>46031</v>
      </c>
      <c r="D77" s="24" t="s">
        <v>1078</v>
      </c>
    </row>
    <row r="78" spans="2:4" x14ac:dyDescent="0.25">
      <c r="B78" s="24" t="s">
        <v>157</v>
      </c>
      <c r="C78" s="25">
        <f t="shared" ca="1" si="1"/>
        <v>45977</v>
      </c>
      <c r="D78" s="24" t="s">
        <v>1076</v>
      </c>
    </row>
    <row r="79" spans="2:4" x14ac:dyDescent="0.25">
      <c r="B79" s="24" t="s">
        <v>728</v>
      </c>
      <c r="C79" s="25">
        <f t="shared" ca="1" si="1"/>
        <v>45673</v>
      </c>
      <c r="D79" s="24" t="s">
        <v>1078</v>
      </c>
    </row>
    <row r="80" spans="2:4" x14ac:dyDescent="0.25">
      <c r="B80" s="24" t="s">
        <v>522</v>
      </c>
      <c r="C80" s="25">
        <f t="shared" ca="1" si="1"/>
        <v>46128</v>
      </c>
      <c r="D80" s="24" t="s">
        <v>1069</v>
      </c>
    </row>
    <row r="81" spans="2:4" x14ac:dyDescent="0.25">
      <c r="B81" s="24" t="s">
        <v>890</v>
      </c>
      <c r="C81" s="25">
        <f t="shared" ca="1" si="1"/>
        <v>45958</v>
      </c>
      <c r="D81" s="24" t="s">
        <v>1077</v>
      </c>
    </row>
    <row r="82" spans="2:4" x14ac:dyDescent="0.25">
      <c r="B82" s="24" t="s">
        <v>273</v>
      </c>
      <c r="C82" s="25">
        <f t="shared" ca="1" si="1"/>
        <v>45689</v>
      </c>
      <c r="D82" s="24" t="s">
        <v>1076</v>
      </c>
    </row>
    <row r="83" spans="2:4" x14ac:dyDescent="0.25">
      <c r="B83" s="24" t="s">
        <v>811</v>
      </c>
      <c r="C83" s="25">
        <f t="shared" ca="1" si="1"/>
        <v>45820</v>
      </c>
      <c r="D83" s="24" t="s">
        <v>1075</v>
      </c>
    </row>
    <row r="84" spans="2:4" x14ac:dyDescent="0.25">
      <c r="B84" s="24" t="s">
        <v>506</v>
      </c>
      <c r="C84" s="25">
        <f t="shared" ca="1" si="1"/>
        <v>46169</v>
      </c>
      <c r="D84" s="24" t="s">
        <v>1079</v>
      </c>
    </row>
    <row r="85" spans="2:4" x14ac:dyDescent="0.25">
      <c r="B85" s="24" t="s">
        <v>723</v>
      </c>
      <c r="C85" s="25">
        <f t="shared" ca="1" si="1"/>
        <v>45716</v>
      </c>
      <c r="D85" s="24" t="s">
        <v>1075</v>
      </c>
    </row>
    <row r="86" spans="2:4" x14ac:dyDescent="0.25">
      <c r="B86" s="24" t="s">
        <v>521</v>
      </c>
      <c r="C86" s="25">
        <f t="shared" ca="1" si="1"/>
        <v>45867</v>
      </c>
      <c r="D86" s="24" t="s">
        <v>1071</v>
      </c>
    </row>
    <row r="87" spans="2:4" x14ac:dyDescent="0.25">
      <c r="B87" s="24" t="s">
        <v>290</v>
      </c>
      <c r="C87" s="25">
        <f t="shared" ca="1" si="1"/>
        <v>46046</v>
      </c>
      <c r="D87" s="24" t="s">
        <v>1076</v>
      </c>
    </row>
    <row r="88" spans="2:4" x14ac:dyDescent="0.25">
      <c r="B88" s="24" t="s">
        <v>333</v>
      </c>
      <c r="C88" s="25">
        <f t="shared" ca="1" si="1"/>
        <v>45662</v>
      </c>
      <c r="D88" s="24" t="s">
        <v>1073</v>
      </c>
    </row>
    <row r="89" spans="2:4" x14ac:dyDescent="0.25">
      <c r="B89" s="24" t="s">
        <v>754</v>
      </c>
      <c r="C89" s="25">
        <f t="shared" ca="1" si="1"/>
        <v>45948</v>
      </c>
      <c r="D89" s="24" t="s">
        <v>1077</v>
      </c>
    </row>
    <row r="90" spans="2:4" x14ac:dyDescent="0.25">
      <c r="B90" s="24" t="s">
        <v>507</v>
      </c>
      <c r="C90" s="25">
        <f t="shared" ca="1" si="1"/>
        <v>46032</v>
      </c>
      <c r="D90" s="24" t="s">
        <v>1070</v>
      </c>
    </row>
    <row r="91" spans="2:4" x14ac:dyDescent="0.25">
      <c r="B91" s="24" t="s">
        <v>498</v>
      </c>
      <c r="C91" s="25">
        <f t="shared" ca="1" si="1"/>
        <v>46065</v>
      </c>
      <c r="D91" s="24" t="s">
        <v>1080</v>
      </c>
    </row>
    <row r="92" spans="2:4" x14ac:dyDescent="0.25">
      <c r="B92" s="24" t="s">
        <v>286</v>
      </c>
      <c r="C92" s="25">
        <f t="shared" ca="1" si="1"/>
        <v>45963</v>
      </c>
      <c r="D92" s="24" t="s">
        <v>1075</v>
      </c>
    </row>
    <row r="93" spans="2:4" x14ac:dyDescent="0.25">
      <c r="B93" s="24" t="s">
        <v>615</v>
      </c>
      <c r="C93" s="25">
        <f t="shared" ca="1" si="1"/>
        <v>45881</v>
      </c>
      <c r="D93" s="24" t="s">
        <v>1074</v>
      </c>
    </row>
    <row r="94" spans="2:4" x14ac:dyDescent="0.25">
      <c r="B94" s="24" t="s">
        <v>830</v>
      </c>
      <c r="C94" s="25">
        <f t="shared" ca="1" si="1"/>
        <v>45793</v>
      </c>
      <c r="D94" s="24" t="s">
        <v>1074</v>
      </c>
    </row>
    <row r="95" spans="2:4" x14ac:dyDescent="0.25">
      <c r="B95" s="24" t="s">
        <v>953</v>
      </c>
      <c r="C95" s="25">
        <f t="shared" ca="1" si="1"/>
        <v>46104</v>
      </c>
      <c r="D95" s="24" t="s">
        <v>1079</v>
      </c>
    </row>
    <row r="96" spans="2:4" x14ac:dyDescent="0.25">
      <c r="B96" s="24" t="s">
        <v>909</v>
      </c>
      <c r="C96" s="25">
        <f t="shared" ca="1" si="1"/>
        <v>46120</v>
      </c>
      <c r="D96" s="24" t="s">
        <v>1070</v>
      </c>
    </row>
    <row r="97" spans="2:4" x14ac:dyDescent="0.25">
      <c r="B97" s="24" t="s">
        <v>321</v>
      </c>
      <c r="C97" s="25">
        <f t="shared" ca="1" si="1"/>
        <v>46140</v>
      </c>
      <c r="D97" s="24" t="s">
        <v>1077</v>
      </c>
    </row>
    <row r="98" spans="2:4" x14ac:dyDescent="0.25">
      <c r="B98" s="24" t="s">
        <v>636</v>
      </c>
      <c r="C98" s="25">
        <f t="shared" ca="1" si="1"/>
        <v>46078</v>
      </c>
      <c r="D98" s="24" t="s">
        <v>1076</v>
      </c>
    </row>
    <row r="99" spans="2:4" x14ac:dyDescent="0.25">
      <c r="B99" s="24" t="s">
        <v>824</v>
      </c>
      <c r="C99" s="25">
        <f t="shared" ca="1" si="1"/>
        <v>45862</v>
      </c>
      <c r="D99" s="24" t="s">
        <v>1074</v>
      </c>
    </row>
    <row r="100" spans="2:4" x14ac:dyDescent="0.25">
      <c r="B100" s="24" t="s">
        <v>567</v>
      </c>
      <c r="C100" s="25">
        <f t="shared" ca="1" si="1"/>
        <v>45938</v>
      </c>
      <c r="D100" s="24" t="s">
        <v>1077</v>
      </c>
    </row>
    <row r="101" spans="2:4" x14ac:dyDescent="0.25">
      <c r="B101" s="24" t="s">
        <v>753</v>
      </c>
      <c r="C101" s="25">
        <f t="shared" ca="1" si="1"/>
        <v>45874</v>
      </c>
      <c r="D101" s="24" t="s">
        <v>1080</v>
      </c>
    </row>
    <row r="102" spans="2:4" x14ac:dyDescent="0.25">
      <c r="B102" s="24" t="s">
        <v>1087</v>
      </c>
      <c r="C102" s="25">
        <f t="shared" ca="1" si="1"/>
        <v>45822</v>
      </c>
      <c r="D102" s="24" t="s">
        <v>1071</v>
      </c>
    </row>
    <row r="103" spans="2:4" x14ac:dyDescent="0.25">
      <c r="B103" s="24" t="s">
        <v>390</v>
      </c>
      <c r="C103" s="25">
        <f t="shared" ca="1" si="1"/>
        <v>45881</v>
      </c>
      <c r="D103" s="24" t="s">
        <v>1071</v>
      </c>
    </row>
    <row r="104" spans="2:4" x14ac:dyDescent="0.25">
      <c r="B104" s="24" t="s">
        <v>808</v>
      </c>
      <c r="C104" s="25">
        <f t="shared" ca="1" si="1"/>
        <v>45763</v>
      </c>
      <c r="D104" s="24" t="s">
        <v>1069</v>
      </c>
    </row>
    <row r="105" spans="2:4" x14ac:dyDescent="0.25">
      <c r="B105" s="24" t="s">
        <v>251</v>
      </c>
      <c r="C105" s="25">
        <f t="shared" ca="1" si="1"/>
        <v>45940</v>
      </c>
      <c r="D105" s="24" t="s">
        <v>1070</v>
      </c>
    </row>
    <row r="106" spans="2:4" x14ac:dyDescent="0.25">
      <c r="B106" s="24" t="s">
        <v>740</v>
      </c>
      <c r="C106" s="25">
        <f t="shared" ca="1" si="1"/>
        <v>45956</v>
      </c>
      <c r="D106" s="24" t="s">
        <v>1076</v>
      </c>
    </row>
    <row r="107" spans="2:4" x14ac:dyDescent="0.25">
      <c r="B107" s="24" t="s">
        <v>557</v>
      </c>
      <c r="C107" s="25">
        <f t="shared" ca="1" si="1"/>
        <v>45866</v>
      </c>
      <c r="D107" s="24" t="s">
        <v>1070</v>
      </c>
    </row>
    <row r="108" spans="2:4" x14ac:dyDescent="0.25">
      <c r="B108" s="24" t="s">
        <v>1023</v>
      </c>
      <c r="C108" s="25">
        <f t="shared" ca="1" si="1"/>
        <v>46079</v>
      </c>
      <c r="D108" s="24" t="s">
        <v>1074</v>
      </c>
    </row>
    <row r="109" spans="2:4" x14ac:dyDescent="0.25">
      <c r="B109" s="24" t="s">
        <v>944</v>
      </c>
      <c r="C109" s="25">
        <f t="shared" ca="1" si="1"/>
        <v>45750</v>
      </c>
      <c r="D109" s="24" t="s">
        <v>1072</v>
      </c>
    </row>
    <row r="110" spans="2:4" x14ac:dyDescent="0.25">
      <c r="B110" s="24" t="s">
        <v>387</v>
      </c>
      <c r="C110" s="25">
        <f t="shared" ca="1" si="1"/>
        <v>46121</v>
      </c>
      <c r="D110" s="24" t="s">
        <v>1078</v>
      </c>
    </row>
    <row r="111" spans="2:4" x14ac:dyDescent="0.25">
      <c r="B111" s="24" t="s">
        <v>417</v>
      </c>
      <c r="C111" s="25">
        <f t="shared" ca="1" si="1"/>
        <v>45719</v>
      </c>
      <c r="D111" s="24" t="s">
        <v>1070</v>
      </c>
    </row>
    <row r="112" spans="2:4" x14ac:dyDescent="0.25">
      <c r="B112" s="24" t="s">
        <v>780</v>
      </c>
      <c r="C112" s="25">
        <f t="shared" ca="1" si="1"/>
        <v>46037</v>
      </c>
      <c r="D112" s="24" t="s">
        <v>1079</v>
      </c>
    </row>
    <row r="113" spans="2:4" x14ac:dyDescent="0.25">
      <c r="B113" s="24" t="s">
        <v>471</v>
      </c>
      <c r="C113" s="25">
        <f t="shared" ca="1" si="1"/>
        <v>46062</v>
      </c>
      <c r="D113" s="24" t="s">
        <v>1077</v>
      </c>
    </row>
    <row r="114" spans="2:4" x14ac:dyDescent="0.25">
      <c r="B114" s="24" t="s">
        <v>167</v>
      </c>
      <c r="C114" s="25">
        <f t="shared" ca="1" si="1"/>
        <v>45935</v>
      </c>
      <c r="D114" s="24" t="s">
        <v>1069</v>
      </c>
    </row>
    <row r="115" spans="2:4" x14ac:dyDescent="0.25">
      <c r="B115" s="24" t="s">
        <v>662</v>
      </c>
      <c r="C115" s="25">
        <f t="shared" ca="1" si="1"/>
        <v>46119</v>
      </c>
      <c r="D115" s="24" t="s">
        <v>1077</v>
      </c>
    </row>
    <row r="116" spans="2:4" x14ac:dyDescent="0.25">
      <c r="B116" s="24" t="s">
        <v>515</v>
      </c>
      <c r="C116" s="25">
        <f t="shared" ca="1" si="1"/>
        <v>46112</v>
      </c>
      <c r="D116" s="24" t="s">
        <v>1077</v>
      </c>
    </row>
    <row r="117" spans="2:4" x14ac:dyDescent="0.25">
      <c r="B117" s="24" t="s">
        <v>262</v>
      </c>
      <c r="C117" s="25">
        <f t="shared" ca="1" si="1"/>
        <v>45736</v>
      </c>
      <c r="D117" s="24" t="s">
        <v>1080</v>
      </c>
    </row>
    <row r="118" spans="2:4" x14ac:dyDescent="0.25">
      <c r="B118" s="24" t="s">
        <v>283</v>
      </c>
      <c r="C118" s="25">
        <f t="shared" ca="1" si="1"/>
        <v>45966</v>
      </c>
      <c r="D118" s="24" t="s">
        <v>1070</v>
      </c>
    </row>
    <row r="119" spans="2:4" x14ac:dyDescent="0.25">
      <c r="B119" s="24" t="s">
        <v>169</v>
      </c>
      <c r="C119" s="25">
        <f t="shared" ca="1" si="1"/>
        <v>45906</v>
      </c>
      <c r="D119" s="24" t="s">
        <v>1069</v>
      </c>
    </row>
    <row r="120" spans="2:4" x14ac:dyDescent="0.25">
      <c r="B120" s="24" t="s">
        <v>844</v>
      </c>
      <c r="C120" s="25">
        <f t="shared" ca="1" si="1"/>
        <v>45717</v>
      </c>
      <c r="D120" s="24" t="s">
        <v>1073</v>
      </c>
    </row>
    <row r="121" spans="2:4" x14ac:dyDescent="0.25">
      <c r="B121" s="24" t="s">
        <v>178</v>
      </c>
      <c r="C121" s="25">
        <f t="shared" ca="1" si="1"/>
        <v>45667</v>
      </c>
      <c r="D121" s="24" t="s">
        <v>1074</v>
      </c>
    </row>
    <row r="122" spans="2:4" x14ac:dyDescent="0.25">
      <c r="B122" s="24" t="s">
        <v>461</v>
      </c>
      <c r="C122" s="25">
        <f t="shared" ca="1" si="1"/>
        <v>46131</v>
      </c>
      <c r="D122" s="24" t="s">
        <v>1071</v>
      </c>
    </row>
    <row r="123" spans="2:4" x14ac:dyDescent="0.25">
      <c r="B123" s="24" t="s">
        <v>395</v>
      </c>
      <c r="C123" s="25">
        <f t="shared" ca="1" si="1"/>
        <v>45688</v>
      </c>
      <c r="D123" s="24" t="s">
        <v>1076</v>
      </c>
    </row>
    <row r="124" spans="2:4" x14ac:dyDescent="0.25">
      <c r="B124" s="24" t="s">
        <v>221</v>
      </c>
      <c r="C124" s="25">
        <f t="shared" ca="1" si="1"/>
        <v>45919</v>
      </c>
      <c r="D124" s="24" t="s">
        <v>1072</v>
      </c>
    </row>
    <row r="125" spans="2:4" x14ac:dyDescent="0.25">
      <c r="B125" s="24" t="s">
        <v>951</v>
      </c>
      <c r="C125" s="25">
        <f t="shared" ca="1" si="1"/>
        <v>45727</v>
      </c>
      <c r="D125" s="24" t="s">
        <v>1074</v>
      </c>
    </row>
    <row r="126" spans="2:4" x14ac:dyDescent="0.25">
      <c r="B126" s="24" t="s">
        <v>446</v>
      </c>
      <c r="C126" s="25">
        <f t="shared" ca="1" si="1"/>
        <v>46025</v>
      </c>
      <c r="D126" s="24" t="s">
        <v>1071</v>
      </c>
    </row>
    <row r="127" spans="2:4" x14ac:dyDescent="0.25">
      <c r="B127" s="24" t="s">
        <v>978</v>
      </c>
      <c r="C127" s="25">
        <f t="shared" ca="1" si="1"/>
        <v>45875</v>
      </c>
      <c r="D127" s="24" t="s">
        <v>1072</v>
      </c>
    </row>
    <row r="128" spans="2:4" x14ac:dyDescent="0.25">
      <c r="B128" s="24" t="s">
        <v>287</v>
      </c>
      <c r="C128" s="25">
        <f t="shared" ca="1" si="1"/>
        <v>45759</v>
      </c>
      <c r="D128" s="24" t="s">
        <v>1071</v>
      </c>
    </row>
    <row r="129" spans="2:4" x14ac:dyDescent="0.25">
      <c r="B129" s="24" t="s">
        <v>763</v>
      </c>
      <c r="C129" s="25">
        <f t="shared" ca="1" si="1"/>
        <v>45845</v>
      </c>
      <c r="D129" s="24" t="s">
        <v>1078</v>
      </c>
    </row>
    <row r="130" spans="2:4" x14ac:dyDescent="0.25">
      <c r="B130" s="24" t="s">
        <v>482</v>
      </c>
      <c r="C130" s="25">
        <f t="shared" ca="1" si="1"/>
        <v>46080</v>
      </c>
      <c r="D130" s="24" t="s">
        <v>1071</v>
      </c>
    </row>
    <row r="131" spans="2:4" x14ac:dyDescent="0.25">
      <c r="B131" s="24" t="s">
        <v>234</v>
      </c>
      <c r="C131" s="25">
        <f t="shared" ca="1" si="1"/>
        <v>45954</v>
      </c>
      <c r="D131" s="24" t="s">
        <v>1076</v>
      </c>
    </row>
    <row r="132" spans="2:4" x14ac:dyDescent="0.25">
      <c r="B132" s="24" t="s">
        <v>504</v>
      </c>
      <c r="C132" s="25">
        <f t="shared" ca="1" si="1"/>
        <v>45666</v>
      </c>
      <c r="D132" s="24" t="s">
        <v>1069</v>
      </c>
    </row>
    <row r="133" spans="2:4" x14ac:dyDescent="0.25">
      <c r="B133" s="24" t="s">
        <v>621</v>
      </c>
      <c r="C133" s="25">
        <f t="shared" ca="1" si="1"/>
        <v>45671</v>
      </c>
      <c r="D133" s="24" t="s">
        <v>1075</v>
      </c>
    </row>
    <row r="134" spans="2:4" x14ac:dyDescent="0.25">
      <c r="B134" s="24" t="s">
        <v>832</v>
      </c>
      <c r="C134" s="25">
        <f t="shared" ca="1" si="1"/>
        <v>45716</v>
      </c>
      <c r="D134" s="24" t="s">
        <v>1076</v>
      </c>
    </row>
    <row r="135" spans="2:4" x14ac:dyDescent="0.25">
      <c r="B135" s="24" t="s">
        <v>514</v>
      </c>
      <c r="C135" s="25">
        <f t="shared" ca="1" si="1"/>
        <v>45866</v>
      </c>
      <c r="D135" s="24" t="s">
        <v>1072</v>
      </c>
    </row>
    <row r="136" spans="2:4" x14ac:dyDescent="0.25">
      <c r="B136" s="24" t="s">
        <v>592</v>
      </c>
      <c r="C136" s="25">
        <f t="shared" ca="1" si="1"/>
        <v>46030</v>
      </c>
      <c r="D136" s="24" t="s">
        <v>1078</v>
      </c>
    </row>
    <row r="137" spans="2:4" x14ac:dyDescent="0.25">
      <c r="B137" s="24" t="s">
        <v>933</v>
      </c>
      <c r="C137" s="25">
        <f t="shared" ca="1" si="1"/>
        <v>45725</v>
      </c>
      <c r="D137" s="24" t="s">
        <v>1075</v>
      </c>
    </row>
    <row r="138" spans="2:4" x14ac:dyDescent="0.25">
      <c r="B138" s="24" t="s">
        <v>310</v>
      </c>
      <c r="C138" s="25">
        <f t="shared" ref="C138:C201" ca="1" si="2">RANDBETWEEN(DATE(2025,1,1),DATE(2026,5,30))</f>
        <v>45874</v>
      </c>
      <c r="D138" s="24" t="s">
        <v>1078</v>
      </c>
    </row>
    <row r="139" spans="2:4" x14ac:dyDescent="0.25">
      <c r="B139" s="24" t="s">
        <v>897</v>
      </c>
      <c r="C139" s="25">
        <f t="shared" ca="1" si="2"/>
        <v>45743</v>
      </c>
      <c r="D139" s="24" t="s">
        <v>1070</v>
      </c>
    </row>
    <row r="140" spans="2:4" x14ac:dyDescent="0.25">
      <c r="B140" s="24" t="s">
        <v>1041</v>
      </c>
      <c r="C140" s="25">
        <f t="shared" ca="1" si="2"/>
        <v>46057</v>
      </c>
      <c r="D140" s="24" t="s">
        <v>1070</v>
      </c>
    </row>
    <row r="141" spans="2:4" x14ac:dyDescent="0.25">
      <c r="B141" s="24" t="s">
        <v>1052</v>
      </c>
      <c r="C141" s="25">
        <f t="shared" ca="1" si="2"/>
        <v>45672</v>
      </c>
      <c r="D141" s="24" t="s">
        <v>1073</v>
      </c>
    </row>
    <row r="142" spans="2:4" x14ac:dyDescent="0.25">
      <c r="B142" s="24" t="s">
        <v>670</v>
      </c>
      <c r="C142" s="25">
        <f t="shared" ca="1" si="2"/>
        <v>45824</v>
      </c>
      <c r="D142" s="24" t="s">
        <v>1075</v>
      </c>
    </row>
    <row r="143" spans="2:4" x14ac:dyDescent="0.25">
      <c r="B143" s="24" t="s">
        <v>595</v>
      </c>
      <c r="C143" s="25">
        <f t="shared" ca="1" si="2"/>
        <v>45711</v>
      </c>
      <c r="D143" s="24" t="s">
        <v>1080</v>
      </c>
    </row>
    <row r="144" spans="2:4" x14ac:dyDescent="0.25">
      <c r="B144" s="24" t="s">
        <v>558</v>
      </c>
      <c r="C144" s="25">
        <f t="shared" ca="1" si="2"/>
        <v>46050</v>
      </c>
      <c r="D144" s="24" t="s">
        <v>1079</v>
      </c>
    </row>
    <row r="145" spans="2:4" x14ac:dyDescent="0.25">
      <c r="B145" s="24" t="s">
        <v>617</v>
      </c>
      <c r="C145" s="25">
        <f t="shared" ca="1" si="2"/>
        <v>45699</v>
      </c>
      <c r="D145" s="24" t="s">
        <v>1075</v>
      </c>
    </row>
    <row r="146" spans="2:4" x14ac:dyDescent="0.25">
      <c r="B146" s="24" t="s">
        <v>269</v>
      </c>
      <c r="C146" s="25">
        <f t="shared" ca="1" si="2"/>
        <v>46035</v>
      </c>
      <c r="D146" s="24" t="s">
        <v>1069</v>
      </c>
    </row>
    <row r="147" spans="2:4" x14ac:dyDescent="0.25">
      <c r="B147" s="24" t="s">
        <v>423</v>
      </c>
      <c r="C147" s="25">
        <f t="shared" ca="1" si="2"/>
        <v>46170</v>
      </c>
      <c r="D147" s="24" t="s">
        <v>1077</v>
      </c>
    </row>
    <row r="148" spans="2:4" x14ac:dyDescent="0.25">
      <c r="B148" s="24" t="s">
        <v>685</v>
      </c>
      <c r="C148" s="25">
        <f t="shared" ca="1" si="2"/>
        <v>45887</v>
      </c>
      <c r="D148" s="24" t="s">
        <v>1078</v>
      </c>
    </row>
    <row r="149" spans="2:4" x14ac:dyDescent="0.25">
      <c r="B149" s="24" t="s">
        <v>275</v>
      </c>
      <c r="C149" s="25">
        <f t="shared" ca="1" si="2"/>
        <v>46073</v>
      </c>
      <c r="D149" s="24" t="s">
        <v>1076</v>
      </c>
    </row>
    <row r="150" spans="2:4" x14ac:dyDescent="0.25">
      <c r="B150" s="24" t="s">
        <v>404</v>
      </c>
      <c r="C150" s="25">
        <f t="shared" ca="1" si="2"/>
        <v>45951</v>
      </c>
      <c r="D150" s="24" t="s">
        <v>1077</v>
      </c>
    </row>
    <row r="151" spans="2:4" x14ac:dyDescent="0.25">
      <c r="B151" s="24" t="s">
        <v>356</v>
      </c>
      <c r="C151" s="25">
        <f t="shared" ca="1" si="2"/>
        <v>46011</v>
      </c>
      <c r="D151" s="24" t="s">
        <v>1070</v>
      </c>
    </row>
    <row r="152" spans="2:4" x14ac:dyDescent="0.25">
      <c r="B152" s="24" t="s">
        <v>205</v>
      </c>
      <c r="C152" s="25">
        <f t="shared" ca="1" si="2"/>
        <v>46080</v>
      </c>
      <c r="D152" s="24" t="s">
        <v>1070</v>
      </c>
    </row>
    <row r="153" spans="2:4" x14ac:dyDescent="0.25">
      <c r="B153" s="24" t="s">
        <v>961</v>
      </c>
      <c r="C153" s="25">
        <f t="shared" ca="1" si="2"/>
        <v>46086</v>
      </c>
      <c r="D153" s="24" t="s">
        <v>1075</v>
      </c>
    </row>
    <row r="154" spans="2:4" x14ac:dyDescent="0.25">
      <c r="B154" s="24" t="s">
        <v>926</v>
      </c>
      <c r="C154" s="25">
        <f t="shared" ca="1" si="2"/>
        <v>46032</v>
      </c>
      <c r="D154" s="24" t="s">
        <v>1078</v>
      </c>
    </row>
    <row r="155" spans="2:4" x14ac:dyDescent="0.25">
      <c r="B155" s="24" t="s">
        <v>994</v>
      </c>
      <c r="C155" s="25">
        <f t="shared" ca="1" si="2"/>
        <v>45770</v>
      </c>
      <c r="D155" s="24" t="s">
        <v>1077</v>
      </c>
    </row>
    <row r="156" spans="2:4" x14ac:dyDescent="0.25">
      <c r="B156" s="24" t="s">
        <v>621</v>
      </c>
      <c r="C156" s="25">
        <f t="shared" ca="1" si="2"/>
        <v>45971</v>
      </c>
      <c r="D156" s="24" t="s">
        <v>1079</v>
      </c>
    </row>
    <row r="157" spans="2:4" x14ac:dyDescent="0.25">
      <c r="B157" s="24" t="s">
        <v>602</v>
      </c>
      <c r="C157" s="25">
        <f t="shared" ca="1" si="2"/>
        <v>46059</v>
      </c>
      <c r="D157" s="24" t="s">
        <v>1070</v>
      </c>
    </row>
    <row r="158" spans="2:4" x14ac:dyDescent="0.25">
      <c r="B158" s="24" t="s">
        <v>725</v>
      </c>
      <c r="C158" s="25">
        <f t="shared" ca="1" si="2"/>
        <v>45705</v>
      </c>
      <c r="D158" s="24" t="s">
        <v>1080</v>
      </c>
    </row>
    <row r="159" spans="2:4" x14ac:dyDescent="0.25">
      <c r="B159" s="24" t="s">
        <v>150</v>
      </c>
      <c r="C159" s="25">
        <f t="shared" ca="1" si="2"/>
        <v>45939</v>
      </c>
      <c r="D159" s="24" t="s">
        <v>1076</v>
      </c>
    </row>
    <row r="160" spans="2:4" x14ac:dyDescent="0.25">
      <c r="B160" s="24" t="s">
        <v>770</v>
      </c>
      <c r="C160" s="25">
        <f t="shared" ca="1" si="2"/>
        <v>45893</v>
      </c>
      <c r="D160" s="24" t="s">
        <v>1077</v>
      </c>
    </row>
    <row r="161" spans="2:4" x14ac:dyDescent="0.25">
      <c r="B161" s="24" t="s">
        <v>430</v>
      </c>
      <c r="C161" s="25">
        <f t="shared" ca="1" si="2"/>
        <v>45815</v>
      </c>
      <c r="D161" s="24" t="s">
        <v>1069</v>
      </c>
    </row>
    <row r="162" spans="2:4" x14ac:dyDescent="0.25">
      <c r="B162" s="24" t="s">
        <v>168</v>
      </c>
      <c r="C162" s="25">
        <f t="shared" ca="1" si="2"/>
        <v>45850</v>
      </c>
      <c r="D162" s="24" t="s">
        <v>1080</v>
      </c>
    </row>
    <row r="163" spans="2:4" x14ac:dyDescent="0.25">
      <c r="B163" s="24" t="s">
        <v>161</v>
      </c>
      <c r="C163" s="25">
        <f t="shared" ca="1" si="2"/>
        <v>45816</v>
      </c>
      <c r="D163" s="24" t="s">
        <v>1076</v>
      </c>
    </row>
    <row r="164" spans="2:4" x14ac:dyDescent="0.25">
      <c r="B164" s="24" t="s">
        <v>236</v>
      </c>
      <c r="C164" s="25">
        <f t="shared" ca="1" si="2"/>
        <v>46001</v>
      </c>
      <c r="D164" s="24" t="s">
        <v>1078</v>
      </c>
    </row>
    <row r="165" spans="2:4" x14ac:dyDescent="0.25">
      <c r="B165" s="24" t="s">
        <v>596</v>
      </c>
      <c r="C165" s="25">
        <f t="shared" ca="1" si="2"/>
        <v>46100</v>
      </c>
      <c r="D165" s="24" t="s">
        <v>1071</v>
      </c>
    </row>
    <row r="166" spans="2:4" x14ac:dyDescent="0.25">
      <c r="B166" s="24" t="s">
        <v>615</v>
      </c>
      <c r="C166" s="25">
        <f t="shared" ca="1" si="2"/>
        <v>45816</v>
      </c>
      <c r="D166" s="24" t="s">
        <v>1077</v>
      </c>
    </row>
    <row r="167" spans="2:4" x14ac:dyDescent="0.25">
      <c r="B167" s="24" t="s">
        <v>578</v>
      </c>
      <c r="C167" s="25">
        <f t="shared" ca="1" si="2"/>
        <v>45950</v>
      </c>
      <c r="D167" s="24" t="s">
        <v>1078</v>
      </c>
    </row>
    <row r="168" spans="2:4" x14ac:dyDescent="0.25">
      <c r="B168" s="24" t="s">
        <v>811</v>
      </c>
      <c r="C168" s="25">
        <f t="shared" ca="1" si="2"/>
        <v>45685</v>
      </c>
      <c r="D168" s="24" t="s">
        <v>1072</v>
      </c>
    </row>
    <row r="169" spans="2:4" x14ac:dyDescent="0.25">
      <c r="B169" s="24" t="s">
        <v>657</v>
      </c>
      <c r="C169" s="25">
        <f t="shared" ca="1" si="2"/>
        <v>46057</v>
      </c>
      <c r="D169" s="24" t="s">
        <v>1079</v>
      </c>
    </row>
    <row r="170" spans="2:4" x14ac:dyDescent="0.25">
      <c r="B170" s="24" t="s">
        <v>1000</v>
      </c>
      <c r="C170" s="25">
        <f t="shared" ca="1" si="2"/>
        <v>45884</v>
      </c>
      <c r="D170" s="24" t="s">
        <v>1074</v>
      </c>
    </row>
    <row r="171" spans="2:4" x14ac:dyDescent="0.25">
      <c r="B171" s="24" t="s">
        <v>597</v>
      </c>
      <c r="C171" s="25">
        <f t="shared" ca="1" si="2"/>
        <v>45904</v>
      </c>
      <c r="D171" s="24" t="s">
        <v>1078</v>
      </c>
    </row>
    <row r="172" spans="2:4" x14ac:dyDescent="0.25">
      <c r="B172" s="24" t="s">
        <v>157</v>
      </c>
      <c r="C172" s="25">
        <f t="shared" ca="1" si="2"/>
        <v>45744</v>
      </c>
      <c r="D172" s="24" t="s">
        <v>1074</v>
      </c>
    </row>
    <row r="173" spans="2:4" x14ac:dyDescent="0.25">
      <c r="B173" s="24" t="s">
        <v>1084</v>
      </c>
      <c r="C173" s="25">
        <f t="shared" ca="1" si="2"/>
        <v>46090</v>
      </c>
      <c r="D173" s="24" t="s">
        <v>1077</v>
      </c>
    </row>
    <row r="174" spans="2:4" x14ac:dyDescent="0.25">
      <c r="B174" s="24" t="s">
        <v>276</v>
      </c>
      <c r="C174" s="25">
        <f t="shared" ca="1" si="2"/>
        <v>45747</v>
      </c>
      <c r="D174" s="24" t="s">
        <v>1071</v>
      </c>
    </row>
    <row r="175" spans="2:4" x14ac:dyDescent="0.25">
      <c r="B175" s="24" t="s">
        <v>530</v>
      </c>
      <c r="C175" s="25">
        <f t="shared" ca="1" si="2"/>
        <v>46105</v>
      </c>
      <c r="D175" s="24" t="s">
        <v>1078</v>
      </c>
    </row>
    <row r="176" spans="2:4" x14ac:dyDescent="0.25">
      <c r="B176" s="24" t="s">
        <v>1116</v>
      </c>
      <c r="C176" s="25">
        <f t="shared" ca="1" si="2"/>
        <v>45781</v>
      </c>
      <c r="D176" s="24" t="s">
        <v>1076</v>
      </c>
    </row>
    <row r="177" spans="2:4" x14ac:dyDescent="0.25">
      <c r="B177" s="24" t="s">
        <v>596</v>
      </c>
      <c r="C177" s="25">
        <f t="shared" ca="1" si="2"/>
        <v>45920</v>
      </c>
      <c r="D177" s="24" t="s">
        <v>1077</v>
      </c>
    </row>
    <row r="178" spans="2:4" x14ac:dyDescent="0.25">
      <c r="B178" s="24" t="s">
        <v>821</v>
      </c>
      <c r="C178" s="25">
        <f t="shared" ca="1" si="2"/>
        <v>46011</v>
      </c>
      <c r="D178" s="24" t="s">
        <v>1074</v>
      </c>
    </row>
    <row r="179" spans="2:4" x14ac:dyDescent="0.25">
      <c r="B179" s="24" t="s">
        <v>337</v>
      </c>
      <c r="C179" s="25">
        <f t="shared" ca="1" si="2"/>
        <v>46031</v>
      </c>
      <c r="D179" s="24" t="s">
        <v>1079</v>
      </c>
    </row>
    <row r="180" spans="2:4" x14ac:dyDescent="0.25">
      <c r="B180" s="24" t="s">
        <v>285</v>
      </c>
      <c r="C180" s="25">
        <f t="shared" ca="1" si="2"/>
        <v>45743</v>
      </c>
      <c r="D180" s="24" t="s">
        <v>1080</v>
      </c>
    </row>
    <row r="181" spans="2:4" x14ac:dyDescent="0.25">
      <c r="B181" s="24" t="s">
        <v>1027</v>
      </c>
      <c r="C181" s="25">
        <f t="shared" ca="1" si="2"/>
        <v>46113</v>
      </c>
      <c r="D181" s="24" t="s">
        <v>1070</v>
      </c>
    </row>
    <row r="182" spans="2:4" x14ac:dyDescent="0.25">
      <c r="B182" s="24" t="s">
        <v>153</v>
      </c>
      <c r="C182" s="25">
        <f t="shared" ca="1" si="2"/>
        <v>45983</v>
      </c>
      <c r="D182" s="24" t="s">
        <v>1075</v>
      </c>
    </row>
    <row r="183" spans="2:4" x14ac:dyDescent="0.25">
      <c r="B183" s="24" t="s">
        <v>115</v>
      </c>
      <c r="C183" s="25">
        <f t="shared" ca="1" si="2"/>
        <v>45728</v>
      </c>
      <c r="D183" s="24" t="s">
        <v>1069</v>
      </c>
    </row>
    <row r="184" spans="2:4" x14ac:dyDescent="0.25">
      <c r="B184" s="24" t="s">
        <v>611</v>
      </c>
      <c r="C184" s="25">
        <f t="shared" ca="1" si="2"/>
        <v>45685</v>
      </c>
      <c r="D184" s="24" t="s">
        <v>1072</v>
      </c>
    </row>
    <row r="185" spans="2:4" x14ac:dyDescent="0.25">
      <c r="B185" s="24" t="s">
        <v>419</v>
      </c>
      <c r="C185" s="25">
        <f t="shared" ca="1" si="2"/>
        <v>46082</v>
      </c>
      <c r="D185" s="24" t="s">
        <v>1070</v>
      </c>
    </row>
    <row r="186" spans="2:4" x14ac:dyDescent="0.25">
      <c r="B186" s="24" t="s">
        <v>196</v>
      </c>
      <c r="C186" s="25">
        <f t="shared" ca="1" si="2"/>
        <v>46038</v>
      </c>
      <c r="D186" s="24" t="s">
        <v>1071</v>
      </c>
    </row>
    <row r="187" spans="2:4" x14ac:dyDescent="0.25">
      <c r="B187" s="24" t="s">
        <v>589</v>
      </c>
      <c r="C187" s="25">
        <f t="shared" ca="1" si="2"/>
        <v>46082</v>
      </c>
      <c r="D187" s="24" t="s">
        <v>1074</v>
      </c>
    </row>
    <row r="188" spans="2:4" x14ac:dyDescent="0.25">
      <c r="B188" s="24" t="s">
        <v>756</v>
      </c>
      <c r="C188" s="25">
        <f t="shared" ca="1" si="2"/>
        <v>45870</v>
      </c>
      <c r="D188" s="24" t="s">
        <v>1078</v>
      </c>
    </row>
    <row r="189" spans="2:4" x14ac:dyDescent="0.25">
      <c r="B189" s="24" t="s">
        <v>787</v>
      </c>
      <c r="C189" s="25">
        <f t="shared" ca="1" si="2"/>
        <v>45973</v>
      </c>
      <c r="D189" s="24" t="s">
        <v>1073</v>
      </c>
    </row>
    <row r="190" spans="2:4" x14ac:dyDescent="0.25">
      <c r="B190" s="24" t="s">
        <v>937</v>
      </c>
      <c r="C190" s="25">
        <f t="shared" ca="1" si="2"/>
        <v>46159</v>
      </c>
      <c r="D190" s="24" t="s">
        <v>1079</v>
      </c>
    </row>
    <row r="191" spans="2:4" x14ac:dyDescent="0.25">
      <c r="B191" s="24" t="s">
        <v>665</v>
      </c>
      <c r="C191" s="25">
        <f t="shared" ca="1" si="2"/>
        <v>45813</v>
      </c>
      <c r="D191" s="24" t="s">
        <v>1073</v>
      </c>
    </row>
    <row r="192" spans="2:4" x14ac:dyDescent="0.25">
      <c r="B192" s="24" t="s">
        <v>653</v>
      </c>
      <c r="C192" s="25">
        <f t="shared" ca="1" si="2"/>
        <v>45772</v>
      </c>
      <c r="D192" s="24" t="s">
        <v>1069</v>
      </c>
    </row>
    <row r="193" spans="2:4" x14ac:dyDescent="0.25">
      <c r="B193" s="24" t="s">
        <v>539</v>
      </c>
      <c r="C193" s="25">
        <f t="shared" ca="1" si="2"/>
        <v>45991</v>
      </c>
      <c r="D193" s="24" t="s">
        <v>1070</v>
      </c>
    </row>
    <row r="194" spans="2:4" x14ac:dyDescent="0.25">
      <c r="B194" s="24" t="s">
        <v>915</v>
      </c>
      <c r="C194" s="25">
        <f t="shared" ca="1" si="2"/>
        <v>46051</v>
      </c>
      <c r="D194" s="24" t="s">
        <v>1077</v>
      </c>
    </row>
    <row r="195" spans="2:4" x14ac:dyDescent="0.25">
      <c r="B195" s="24" t="s">
        <v>854</v>
      </c>
      <c r="C195" s="25">
        <f t="shared" ca="1" si="2"/>
        <v>45881</v>
      </c>
      <c r="D195" s="24" t="s">
        <v>1077</v>
      </c>
    </row>
    <row r="196" spans="2:4" x14ac:dyDescent="0.25">
      <c r="B196" s="24" t="s">
        <v>983</v>
      </c>
      <c r="C196" s="25">
        <f t="shared" ca="1" si="2"/>
        <v>45845</v>
      </c>
      <c r="D196" s="24" t="s">
        <v>1080</v>
      </c>
    </row>
    <row r="197" spans="2:4" x14ac:dyDescent="0.25">
      <c r="B197" s="24" t="s">
        <v>922</v>
      </c>
      <c r="C197" s="25">
        <f t="shared" ca="1" si="2"/>
        <v>45852</v>
      </c>
      <c r="D197" s="24" t="s">
        <v>1077</v>
      </c>
    </row>
    <row r="198" spans="2:4" x14ac:dyDescent="0.25">
      <c r="B198" s="24" t="s">
        <v>635</v>
      </c>
      <c r="C198" s="25">
        <f t="shared" ca="1" si="2"/>
        <v>45721</v>
      </c>
      <c r="D198" s="24" t="s">
        <v>1070</v>
      </c>
    </row>
    <row r="199" spans="2:4" x14ac:dyDescent="0.25">
      <c r="B199" s="24" t="s">
        <v>826</v>
      </c>
      <c r="C199" s="25">
        <f t="shared" ca="1" si="2"/>
        <v>45873</v>
      </c>
      <c r="D199" s="24" t="s">
        <v>1077</v>
      </c>
    </row>
    <row r="200" spans="2:4" x14ac:dyDescent="0.25">
      <c r="B200" s="24" t="s">
        <v>734</v>
      </c>
      <c r="C200" s="25">
        <f t="shared" ca="1" si="2"/>
        <v>45828</v>
      </c>
      <c r="D200" s="24" t="s">
        <v>1080</v>
      </c>
    </row>
    <row r="201" spans="2:4" x14ac:dyDescent="0.25">
      <c r="B201" s="24" t="s">
        <v>641</v>
      </c>
      <c r="C201" s="25">
        <f t="shared" ca="1" si="2"/>
        <v>46038</v>
      </c>
      <c r="D201" s="24" t="s">
        <v>1069</v>
      </c>
    </row>
    <row r="202" spans="2:4" x14ac:dyDescent="0.25">
      <c r="B202" s="24" t="s">
        <v>129</v>
      </c>
      <c r="C202" s="25">
        <f t="shared" ref="C202:C265" ca="1" si="3">RANDBETWEEN(DATE(2025,1,1),DATE(2026,5,30))</f>
        <v>45678</v>
      </c>
      <c r="D202" s="24" t="s">
        <v>1079</v>
      </c>
    </row>
    <row r="203" spans="2:4" x14ac:dyDescent="0.25">
      <c r="B203" s="24" t="s">
        <v>877</v>
      </c>
      <c r="C203" s="25">
        <f t="shared" ca="1" si="3"/>
        <v>45775</v>
      </c>
      <c r="D203" s="24" t="s">
        <v>1077</v>
      </c>
    </row>
    <row r="204" spans="2:4" x14ac:dyDescent="0.25">
      <c r="B204" s="24" t="s">
        <v>617</v>
      </c>
      <c r="C204" s="25">
        <f t="shared" ca="1" si="3"/>
        <v>45705</v>
      </c>
      <c r="D204" s="24" t="s">
        <v>1080</v>
      </c>
    </row>
    <row r="205" spans="2:4" x14ac:dyDescent="0.25">
      <c r="B205" s="24" t="s">
        <v>242</v>
      </c>
      <c r="C205" s="25">
        <f t="shared" ca="1" si="3"/>
        <v>45798</v>
      </c>
      <c r="D205" s="24" t="s">
        <v>1069</v>
      </c>
    </row>
    <row r="206" spans="2:4" x14ac:dyDescent="0.25">
      <c r="B206" s="24" t="s">
        <v>424</v>
      </c>
      <c r="C206" s="25">
        <f t="shared" ca="1" si="3"/>
        <v>45757</v>
      </c>
      <c r="D206" s="24" t="s">
        <v>1073</v>
      </c>
    </row>
    <row r="207" spans="2:4" x14ac:dyDescent="0.25">
      <c r="B207" s="24" t="s">
        <v>466</v>
      </c>
      <c r="C207" s="25">
        <f t="shared" ca="1" si="3"/>
        <v>46033</v>
      </c>
      <c r="D207" s="24" t="s">
        <v>1072</v>
      </c>
    </row>
    <row r="208" spans="2:4" x14ac:dyDescent="0.25">
      <c r="B208" s="24" t="s">
        <v>628</v>
      </c>
      <c r="C208" s="25">
        <f t="shared" ca="1" si="3"/>
        <v>45859</v>
      </c>
      <c r="D208" s="24" t="s">
        <v>1077</v>
      </c>
    </row>
    <row r="209" spans="2:4" x14ac:dyDescent="0.25">
      <c r="B209" s="24" t="s">
        <v>653</v>
      </c>
      <c r="C209" s="25">
        <f t="shared" ca="1" si="3"/>
        <v>46066</v>
      </c>
      <c r="D209" s="24" t="s">
        <v>1079</v>
      </c>
    </row>
    <row r="210" spans="2:4" x14ac:dyDescent="0.25">
      <c r="B210" s="24" t="s">
        <v>115</v>
      </c>
      <c r="C210" s="25">
        <f t="shared" ca="1" si="3"/>
        <v>46124</v>
      </c>
      <c r="D210" s="24" t="s">
        <v>1076</v>
      </c>
    </row>
    <row r="211" spans="2:4" x14ac:dyDescent="0.25">
      <c r="B211" s="24" t="s">
        <v>648</v>
      </c>
      <c r="C211" s="25">
        <f t="shared" ca="1" si="3"/>
        <v>45694</v>
      </c>
      <c r="D211" s="24" t="s">
        <v>1078</v>
      </c>
    </row>
    <row r="212" spans="2:4" x14ac:dyDescent="0.25">
      <c r="B212" s="24" t="s">
        <v>532</v>
      </c>
      <c r="C212" s="25">
        <f t="shared" ca="1" si="3"/>
        <v>45998</v>
      </c>
      <c r="D212" s="24" t="s">
        <v>1072</v>
      </c>
    </row>
    <row r="213" spans="2:4" x14ac:dyDescent="0.25">
      <c r="B213" s="24" t="s">
        <v>745</v>
      </c>
      <c r="C213" s="25">
        <f t="shared" ca="1" si="3"/>
        <v>45935</v>
      </c>
      <c r="D213" s="24" t="s">
        <v>1079</v>
      </c>
    </row>
    <row r="214" spans="2:4" x14ac:dyDescent="0.25">
      <c r="B214" s="24" t="s">
        <v>749</v>
      </c>
      <c r="C214" s="25">
        <f t="shared" ca="1" si="3"/>
        <v>45969</v>
      </c>
      <c r="D214" s="24" t="s">
        <v>1070</v>
      </c>
    </row>
    <row r="215" spans="2:4" x14ac:dyDescent="0.25">
      <c r="B215" s="24" t="s">
        <v>669</v>
      </c>
      <c r="C215" s="25">
        <f t="shared" ca="1" si="3"/>
        <v>45774</v>
      </c>
      <c r="D215" s="24" t="s">
        <v>1074</v>
      </c>
    </row>
    <row r="216" spans="2:4" x14ac:dyDescent="0.25">
      <c r="B216" s="24" t="s">
        <v>356</v>
      </c>
      <c r="C216" s="25">
        <f t="shared" ca="1" si="3"/>
        <v>45973</v>
      </c>
      <c r="D216" s="24" t="s">
        <v>1079</v>
      </c>
    </row>
    <row r="217" spans="2:4" x14ac:dyDescent="0.25">
      <c r="B217" s="24" t="s">
        <v>746</v>
      </c>
      <c r="C217" s="25">
        <f t="shared" ca="1" si="3"/>
        <v>46134</v>
      </c>
      <c r="D217" s="24" t="s">
        <v>1078</v>
      </c>
    </row>
    <row r="218" spans="2:4" x14ac:dyDescent="0.25">
      <c r="B218" s="24" t="s">
        <v>466</v>
      </c>
      <c r="C218" s="25">
        <f t="shared" ca="1" si="3"/>
        <v>45971</v>
      </c>
      <c r="D218" s="24" t="s">
        <v>1080</v>
      </c>
    </row>
    <row r="219" spans="2:4" x14ac:dyDescent="0.25">
      <c r="B219" s="24" t="s">
        <v>397</v>
      </c>
      <c r="C219" s="25">
        <f t="shared" ca="1" si="3"/>
        <v>46151</v>
      </c>
      <c r="D219" s="24" t="s">
        <v>1078</v>
      </c>
    </row>
    <row r="220" spans="2:4" x14ac:dyDescent="0.25">
      <c r="B220" s="24" t="s">
        <v>869</v>
      </c>
      <c r="C220" s="25">
        <f t="shared" ca="1" si="3"/>
        <v>46128</v>
      </c>
      <c r="D220" s="24" t="s">
        <v>1072</v>
      </c>
    </row>
    <row r="221" spans="2:4" x14ac:dyDescent="0.25">
      <c r="B221" s="24" t="s">
        <v>775</v>
      </c>
      <c r="C221" s="25">
        <f t="shared" ca="1" si="3"/>
        <v>45921</v>
      </c>
      <c r="D221" s="24" t="s">
        <v>1079</v>
      </c>
    </row>
    <row r="222" spans="2:4" x14ac:dyDescent="0.25">
      <c r="B222" s="24" t="s">
        <v>350</v>
      </c>
      <c r="C222" s="25">
        <f t="shared" ca="1" si="3"/>
        <v>46166</v>
      </c>
      <c r="D222" s="24" t="s">
        <v>1072</v>
      </c>
    </row>
    <row r="223" spans="2:4" x14ac:dyDescent="0.25">
      <c r="B223" s="24" t="s">
        <v>815</v>
      </c>
      <c r="C223" s="25">
        <f t="shared" ca="1" si="3"/>
        <v>46035</v>
      </c>
      <c r="D223" s="24" t="s">
        <v>1079</v>
      </c>
    </row>
    <row r="224" spans="2:4" x14ac:dyDescent="0.25">
      <c r="B224" s="24" t="s">
        <v>178</v>
      </c>
      <c r="C224" s="25">
        <f t="shared" ca="1" si="3"/>
        <v>45739</v>
      </c>
      <c r="D224" s="24" t="s">
        <v>1073</v>
      </c>
    </row>
    <row r="225" spans="2:4" x14ac:dyDescent="0.25">
      <c r="B225" s="24" t="s">
        <v>359</v>
      </c>
      <c r="C225" s="25">
        <f t="shared" ca="1" si="3"/>
        <v>46048</v>
      </c>
      <c r="D225" s="24" t="s">
        <v>1071</v>
      </c>
    </row>
    <row r="226" spans="2:4" x14ac:dyDescent="0.25">
      <c r="B226" s="24" t="s">
        <v>1038</v>
      </c>
      <c r="C226" s="25">
        <f t="shared" ca="1" si="3"/>
        <v>45826</v>
      </c>
      <c r="D226" s="24" t="s">
        <v>1079</v>
      </c>
    </row>
    <row r="227" spans="2:4" x14ac:dyDescent="0.25">
      <c r="B227" s="24" t="s">
        <v>602</v>
      </c>
      <c r="C227" s="25">
        <f t="shared" ca="1" si="3"/>
        <v>45989</v>
      </c>
      <c r="D227" s="24" t="s">
        <v>1080</v>
      </c>
    </row>
    <row r="228" spans="2:4" x14ac:dyDescent="0.25">
      <c r="B228" s="24" t="s">
        <v>1083</v>
      </c>
      <c r="C228" s="25">
        <f t="shared" ca="1" si="3"/>
        <v>45893</v>
      </c>
      <c r="D228" s="24" t="s">
        <v>1075</v>
      </c>
    </row>
    <row r="229" spans="2:4" x14ac:dyDescent="0.25">
      <c r="B229" s="24" t="s">
        <v>869</v>
      </c>
      <c r="C229" s="25">
        <f t="shared" ca="1" si="3"/>
        <v>45796</v>
      </c>
      <c r="D229" s="24" t="s">
        <v>1073</v>
      </c>
    </row>
    <row r="230" spans="2:4" x14ac:dyDescent="0.25">
      <c r="B230" s="24" t="s">
        <v>160</v>
      </c>
      <c r="C230" s="25">
        <f t="shared" ca="1" si="3"/>
        <v>45761</v>
      </c>
      <c r="D230" s="24" t="s">
        <v>1076</v>
      </c>
    </row>
    <row r="231" spans="2:4" x14ac:dyDescent="0.25">
      <c r="B231" s="24" t="s">
        <v>527</v>
      </c>
      <c r="C231" s="25">
        <f t="shared" ca="1" si="3"/>
        <v>46139</v>
      </c>
      <c r="D231" s="24" t="s">
        <v>1074</v>
      </c>
    </row>
    <row r="232" spans="2:4" x14ac:dyDescent="0.25">
      <c r="B232" s="24" t="s">
        <v>604</v>
      </c>
      <c r="C232" s="25">
        <f t="shared" ca="1" si="3"/>
        <v>46114</v>
      </c>
      <c r="D232" s="24" t="s">
        <v>1070</v>
      </c>
    </row>
    <row r="233" spans="2:4" x14ac:dyDescent="0.25">
      <c r="B233" s="24" t="s">
        <v>152</v>
      </c>
      <c r="C233" s="25">
        <f t="shared" ca="1" si="3"/>
        <v>46166</v>
      </c>
      <c r="D233" s="24" t="s">
        <v>1077</v>
      </c>
    </row>
    <row r="234" spans="2:4" x14ac:dyDescent="0.25">
      <c r="B234" s="24" t="s">
        <v>868</v>
      </c>
      <c r="C234" s="25">
        <f t="shared" ca="1" si="3"/>
        <v>46129</v>
      </c>
      <c r="D234" s="24" t="s">
        <v>1073</v>
      </c>
    </row>
    <row r="235" spans="2:4" x14ac:dyDescent="0.25">
      <c r="B235" s="24" t="s">
        <v>1029</v>
      </c>
      <c r="C235" s="25">
        <f t="shared" ca="1" si="3"/>
        <v>45790</v>
      </c>
      <c r="D235" s="24" t="s">
        <v>1079</v>
      </c>
    </row>
    <row r="236" spans="2:4" x14ac:dyDescent="0.25">
      <c r="B236" s="24" t="s">
        <v>689</v>
      </c>
      <c r="C236" s="25">
        <f t="shared" ca="1" si="3"/>
        <v>45895</v>
      </c>
      <c r="D236" s="24" t="s">
        <v>1073</v>
      </c>
    </row>
    <row r="237" spans="2:4" x14ac:dyDescent="0.25">
      <c r="B237" s="24" t="s">
        <v>832</v>
      </c>
      <c r="C237" s="25">
        <f t="shared" ca="1" si="3"/>
        <v>45800</v>
      </c>
      <c r="D237" s="24" t="s">
        <v>1078</v>
      </c>
    </row>
    <row r="238" spans="2:4" x14ac:dyDescent="0.25">
      <c r="B238" s="24" t="s">
        <v>382</v>
      </c>
      <c r="C238" s="25">
        <f t="shared" ca="1" si="3"/>
        <v>45935</v>
      </c>
      <c r="D238" s="24" t="s">
        <v>1078</v>
      </c>
    </row>
    <row r="239" spans="2:4" x14ac:dyDescent="0.25">
      <c r="B239" s="24" t="s">
        <v>646</v>
      </c>
      <c r="C239" s="25">
        <f t="shared" ca="1" si="3"/>
        <v>45767</v>
      </c>
      <c r="D239" s="24" t="s">
        <v>1078</v>
      </c>
    </row>
    <row r="240" spans="2:4" x14ac:dyDescent="0.25">
      <c r="B240" s="24" t="s">
        <v>432</v>
      </c>
      <c r="C240" s="25">
        <f t="shared" ca="1" si="3"/>
        <v>45972</v>
      </c>
      <c r="D240" s="24" t="s">
        <v>1070</v>
      </c>
    </row>
    <row r="241" spans="2:4" x14ac:dyDescent="0.25">
      <c r="B241" s="24" t="s">
        <v>1053</v>
      </c>
      <c r="C241" s="25">
        <f t="shared" ca="1" si="3"/>
        <v>45995</v>
      </c>
      <c r="D241" s="24" t="s">
        <v>1069</v>
      </c>
    </row>
    <row r="242" spans="2:4" x14ac:dyDescent="0.25">
      <c r="B242" s="24" t="s">
        <v>350</v>
      </c>
      <c r="C242" s="25">
        <f t="shared" ca="1" si="3"/>
        <v>45899</v>
      </c>
      <c r="D242" s="24" t="s">
        <v>1070</v>
      </c>
    </row>
    <row r="243" spans="2:4" x14ac:dyDescent="0.25">
      <c r="B243" s="24" t="s">
        <v>625</v>
      </c>
      <c r="C243" s="25">
        <f t="shared" ca="1" si="3"/>
        <v>45908</v>
      </c>
      <c r="D243" s="24" t="s">
        <v>1072</v>
      </c>
    </row>
    <row r="244" spans="2:4" x14ac:dyDescent="0.25">
      <c r="B244" s="24" t="s">
        <v>698</v>
      </c>
      <c r="C244" s="25">
        <f t="shared" ca="1" si="3"/>
        <v>45714</v>
      </c>
      <c r="D244" s="24" t="s">
        <v>1069</v>
      </c>
    </row>
    <row r="245" spans="2:4" x14ac:dyDescent="0.25">
      <c r="B245" s="24" t="s">
        <v>715</v>
      </c>
      <c r="C245" s="25">
        <f t="shared" ca="1" si="3"/>
        <v>46124</v>
      </c>
      <c r="D245" s="24" t="s">
        <v>1080</v>
      </c>
    </row>
    <row r="246" spans="2:4" x14ac:dyDescent="0.25">
      <c r="B246" s="24" t="s">
        <v>485</v>
      </c>
      <c r="C246" s="25">
        <f t="shared" ca="1" si="3"/>
        <v>45890</v>
      </c>
      <c r="D246" s="24" t="s">
        <v>1075</v>
      </c>
    </row>
    <row r="247" spans="2:4" x14ac:dyDescent="0.25">
      <c r="B247" s="24" t="s">
        <v>309</v>
      </c>
      <c r="C247" s="25">
        <f t="shared" ca="1" si="3"/>
        <v>45835</v>
      </c>
      <c r="D247" s="24" t="s">
        <v>1075</v>
      </c>
    </row>
    <row r="248" spans="2:4" x14ac:dyDescent="0.25">
      <c r="B248" s="24" t="s">
        <v>657</v>
      </c>
      <c r="C248" s="25">
        <f t="shared" ca="1" si="3"/>
        <v>45991</v>
      </c>
      <c r="D248" s="24" t="s">
        <v>1072</v>
      </c>
    </row>
    <row r="249" spans="2:4" x14ac:dyDescent="0.25">
      <c r="B249" s="24" t="s">
        <v>236</v>
      </c>
      <c r="C249" s="25">
        <f t="shared" ca="1" si="3"/>
        <v>46059</v>
      </c>
      <c r="D249" s="24" t="s">
        <v>1076</v>
      </c>
    </row>
    <row r="250" spans="2:4" x14ac:dyDescent="0.25">
      <c r="B250" s="24" t="s">
        <v>1002</v>
      </c>
      <c r="C250" s="25">
        <f t="shared" ca="1" si="3"/>
        <v>45711</v>
      </c>
      <c r="D250" s="24" t="s">
        <v>1073</v>
      </c>
    </row>
    <row r="251" spans="2:4" x14ac:dyDescent="0.25">
      <c r="B251" s="24" t="s">
        <v>664</v>
      </c>
      <c r="C251" s="25">
        <f t="shared" ca="1" si="3"/>
        <v>45954</v>
      </c>
      <c r="D251" s="24" t="s">
        <v>1079</v>
      </c>
    </row>
    <row r="252" spans="2:4" x14ac:dyDescent="0.25">
      <c r="B252" s="24" t="s">
        <v>229</v>
      </c>
      <c r="C252" s="25">
        <f t="shared" ca="1" si="3"/>
        <v>45839</v>
      </c>
      <c r="D252" s="24" t="s">
        <v>1078</v>
      </c>
    </row>
    <row r="253" spans="2:4" x14ac:dyDescent="0.25">
      <c r="B253" s="24" t="s">
        <v>810</v>
      </c>
      <c r="C253" s="25">
        <f t="shared" ca="1" si="3"/>
        <v>45962</v>
      </c>
      <c r="D253" s="24" t="s">
        <v>1079</v>
      </c>
    </row>
    <row r="254" spans="2:4" x14ac:dyDescent="0.25">
      <c r="B254" s="24" t="s">
        <v>182</v>
      </c>
      <c r="C254" s="25">
        <f t="shared" ca="1" si="3"/>
        <v>46132</v>
      </c>
      <c r="D254" s="24" t="s">
        <v>1073</v>
      </c>
    </row>
    <row r="255" spans="2:4" x14ac:dyDescent="0.25">
      <c r="B255" s="24" t="s">
        <v>843</v>
      </c>
      <c r="C255" s="25">
        <f t="shared" ca="1" si="3"/>
        <v>46146</v>
      </c>
      <c r="D255" s="24" t="s">
        <v>1072</v>
      </c>
    </row>
    <row r="256" spans="2:4" x14ac:dyDescent="0.25">
      <c r="B256" s="24" t="s">
        <v>566</v>
      </c>
      <c r="C256" s="25">
        <f t="shared" ca="1" si="3"/>
        <v>45934</v>
      </c>
      <c r="D256" s="24" t="s">
        <v>1077</v>
      </c>
    </row>
    <row r="257" spans="2:4" x14ac:dyDescent="0.25">
      <c r="B257" s="24" t="s">
        <v>134</v>
      </c>
      <c r="C257" s="25">
        <f t="shared" ca="1" si="3"/>
        <v>45944</v>
      </c>
      <c r="D257" s="24" t="s">
        <v>1079</v>
      </c>
    </row>
    <row r="258" spans="2:4" x14ac:dyDescent="0.25">
      <c r="B258" s="24" t="s">
        <v>712</v>
      </c>
      <c r="C258" s="25">
        <f t="shared" ca="1" si="3"/>
        <v>46125</v>
      </c>
      <c r="D258" s="24" t="s">
        <v>1073</v>
      </c>
    </row>
    <row r="259" spans="2:4" x14ac:dyDescent="0.25">
      <c r="B259" s="24" t="s">
        <v>625</v>
      </c>
      <c r="C259" s="25">
        <f t="shared" ca="1" si="3"/>
        <v>45873</v>
      </c>
      <c r="D259" s="24" t="s">
        <v>1075</v>
      </c>
    </row>
    <row r="260" spans="2:4" x14ac:dyDescent="0.25">
      <c r="B260" s="24" t="s">
        <v>642</v>
      </c>
      <c r="C260" s="25">
        <f t="shared" ca="1" si="3"/>
        <v>46075</v>
      </c>
      <c r="D260" s="24" t="s">
        <v>1076</v>
      </c>
    </row>
    <row r="261" spans="2:4" x14ac:dyDescent="0.25">
      <c r="B261" s="24" t="s">
        <v>679</v>
      </c>
      <c r="C261" s="25">
        <f t="shared" ca="1" si="3"/>
        <v>46045</v>
      </c>
      <c r="D261" s="24" t="s">
        <v>1076</v>
      </c>
    </row>
    <row r="262" spans="2:4" x14ac:dyDescent="0.25">
      <c r="B262" s="24" t="s">
        <v>411</v>
      </c>
      <c r="C262" s="25">
        <f t="shared" ca="1" si="3"/>
        <v>45843</v>
      </c>
      <c r="D262" s="24" t="s">
        <v>1079</v>
      </c>
    </row>
    <row r="263" spans="2:4" x14ac:dyDescent="0.25">
      <c r="B263" s="24" t="s">
        <v>898</v>
      </c>
      <c r="C263" s="25">
        <f t="shared" ca="1" si="3"/>
        <v>46072</v>
      </c>
      <c r="D263" s="24" t="s">
        <v>1080</v>
      </c>
    </row>
    <row r="264" spans="2:4" x14ac:dyDescent="0.25">
      <c r="B264" s="24" t="s">
        <v>666</v>
      </c>
      <c r="C264" s="25">
        <f t="shared" ca="1" si="3"/>
        <v>45700</v>
      </c>
      <c r="D264" s="24" t="s">
        <v>1074</v>
      </c>
    </row>
    <row r="265" spans="2:4" x14ac:dyDescent="0.25">
      <c r="B265" s="24" t="s">
        <v>413</v>
      </c>
      <c r="C265" s="25">
        <f t="shared" ca="1" si="3"/>
        <v>45712</v>
      </c>
      <c r="D265" s="24" t="s">
        <v>1071</v>
      </c>
    </row>
    <row r="266" spans="2:4" x14ac:dyDescent="0.25">
      <c r="B266" s="24" t="s">
        <v>533</v>
      </c>
      <c r="C266" s="25">
        <f t="shared" ref="C266:C329" ca="1" si="4">RANDBETWEEN(DATE(2025,1,1),DATE(2026,5,30))</f>
        <v>45861</v>
      </c>
      <c r="D266" s="24" t="s">
        <v>1079</v>
      </c>
    </row>
    <row r="267" spans="2:4" x14ac:dyDescent="0.25">
      <c r="B267" s="24" t="s">
        <v>253</v>
      </c>
      <c r="C267" s="25">
        <f t="shared" ca="1" si="4"/>
        <v>46133</v>
      </c>
      <c r="D267" s="24" t="s">
        <v>1070</v>
      </c>
    </row>
    <row r="268" spans="2:4" x14ac:dyDescent="0.25">
      <c r="B268" s="24" t="s">
        <v>617</v>
      </c>
      <c r="C268" s="25">
        <f t="shared" ca="1" si="4"/>
        <v>45988</v>
      </c>
      <c r="D268" s="24" t="s">
        <v>1078</v>
      </c>
    </row>
    <row r="269" spans="2:4" x14ac:dyDescent="0.25">
      <c r="B269" s="24" t="s">
        <v>128</v>
      </c>
      <c r="C269" s="25">
        <f t="shared" ca="1" si="4"/>
        <v>45741</v>
      </c>
      <c r="D269" s="24" t="s">
        <v>1079</v>
      </c>
    </row>
    <row r="270" spans="2:4" x14ac:dyDescent="0.25">
      <c r="B270" s="24" t="s">
        <v>395</v>
      </c>
      <c r="C270" s="25">
        <f t="shared" ca="1" si="4"/>
        <v>45934</v>
      </c>
      <c r="D270" s="24" t="s">
        <v>1077</v>
      </c>
    </row>
    <row r="271" spans="2:4" x14ac:dyDescent="0.25">
      <c r="B271" s="24" t="s">
        <v>340</v>
      </c>
      <c r="C271" s="25">
        <f t="shared" ca="1" si="4"/>
        <v>45892</v>
      </c>
      <c r="D271" s="24" t="s">
        <v>1070</v>
      </c>
    </row>
    <row r="272" spans="2:4" x14ac:dyDescent="0.25">
      <c r="B272" s="24" t="s">
        <v>732</v>
      </c>
      <c r="C272" s="25">
        <f t="shared" ca="1" si="4"/>
        <v>46028</v>
      </c>
      <c r="D272" s="24" t="s">
        <v>1075</v>
      </c>
    </row>
    <row r="273" spans="2:4" x14ac:dyDescent="0.25">
      <c r="B273" s="24" t="s">
        <v>997</v>
      </c>
      <c r="C273" s="25">
        <f t="shared" ca="1" si="4"/>
        <v>45759</v>
      </c>
      <c r="D273" s="24" t="s">
        <v>1070</v>
      </c>
    </row>
    <row r="274" spans="2:4" x14ac:dyDescent="0.25">
      <c r="B274" s="24" t="s">
        <v>790</v>
      </c>
      <c r="C274" s="25">
        <f t="shared" ca="1" si="4"/>
        <v>46161</v>
      </c>
      <c r="D274" s="24" t="s">
        <v>1070</v>
      </c>
    </row>
    <row r="275" spans="2:4" x14ac:dyDescent="0.25">
      <c r="B275" s="24" t="s">
        <v>511</v>
      </c>
      <c r="C275" s="25">
        <f t="shared" ca="1" si="4"/>
        <v>45856</v>
      </c>
      <c r="D275" s="24" t="s">
        <v>1078</v>
      </c>
    </row>
    <row r="276" spans="2:4" x14ac:dyDescent="0.25">
      <c r="B276" s="24" t="s">
        <v>1046</v>
      </c>
      <c r="C276" s="25">
        <f t="shared" ca="1" si="4"/>
        <v>46159</v>
      </c>
      <c r="D276" s="24" t="s">
        <v>1080</v>
      </c>
    </row>
    <row r="277" spans="2:4" x14ac:dyDescent="0.25">
      <c r="B277" s="24" t="s">
        <v>182</v>
      </c>
      <c r="C277" s="25">
        <f t="shared" ca="1" si="4"/>
        <v>46160</v>
      </c>
      <c r="D277" s="24" t="s">
        <v>1070</v>
      </c>
    </row>
    <row r="278" spans="2:4" x14ac:dyDescent="0.25">
      <c r="B278" s="24" t="s">
        <v>579</v>
      </c>
      <c r="C278" s="25">
        <f t="shared" ca="1" si="4"/>
        <v>46017</v>
      </c>
      <c r="D278" s="24" t="s">
        <v>1073</v>
      </c>
    </row>
    <row r="279" spans="2:4" x14ac:dyDescent="0.25">
      <c r="B279" s="24" t="s">
        <v>254</v>
      </c>
      <c r="C279" s="25">
        <f t="shared" ca="1" si="4"/>
        <v>46044</v>
      </c>
      <c r="D279" s="24" t="s">
        <v>1078</v>
      </c>
    </row>
    <row r="280" spans="2:4" x14ac:dyDescent="0.25">
      <c r="B280" s="24" t="s">
        <v>784</v>
      </c>
      <c r="C280" s="25">
        <f t="shared" ca="1" si="4"/>
        <v>46032</v>
      </c>
      <c r="D280" s="24" t="s">
        <v>1076</v>
      </c>
    </row>
    <row r="281" spans="2:4" x14ac:dyDescent="0.25">
      <c r="B281" s="24" t="s">
        <v>106</v>
      </c>
      <c r="C281" s="25">
        <f t="shared" ca="1" si="4"/>
        <v>45662</v>
      </c>
      <c r="D281" s="24" t="s">
        <v>1074</v>
      </c>
    </row>
    <row r="282" spans="2:4" x14ac:dyDescent="0.25">
      <c r="B282" s="24" t="s">
        <v>1115</v>
      </c>
      <c r="C282" s="25">
        <f t="shared" ca="1" si="4"/>
        <v>46015</v>
      </c>
      <c r="D282" s="24" t="s">
        <v>1078</v>
      </c>
    </row>
    <row r="283" spans="2:4" x14ac:dyDescent="0.25">
      <c r="B283" s="24" t="s">
        <v>657</v>
      </c>
      <c r="C283" s="25">
        <f t="shared" ca="1" si="4"/>
        <v>45858</v>
      </c>
      <c r="D283" s="24" t="s">
        <v>1069</v>
      </c>
    </row>
    <row r="284" spans="2:4" x14ac:dyDescent="0.25">
      <c r="B284" s="24" t="s">
        <v>1052</v>
      </c>
      <c r="C284" s="25">
        <f t="shared" ca="1" si="4"/>
        <v>45974</v>
      </c>
      <c r="D284" s="24" t="s">
        <v>1077</v>
      </c>
    </row>
    <row r="285" spans="2:4" x14ac:dyDescent="0.25">
      <c r="B285" s="24" t="s">
        <v>159</v>
      </c>
      <c r="C285" s="25">
        <f t="shared" ca="1" si="4"/>
        <v>46065</v>
      </c>
      <c r="D285" s="24" t="s">
        <v>1071</v>
      </c>
    </row>
    <row r="286" spans="2:4" x14ac:dyDescent="0.25">
      <c r="B286" s="24" t="s">
        <v>680</v>
      </c>
      <c r="C286" s="25">
        <f t="shared" ca="1" si="4"/>
        <v>46031</v>
      </c>
      <c r="D286" s="24" t="s">
        <v>1071</v>
      </c>
    </row>
    <row r="287" spans="2:4" x14ac:dyDescent="0.25">
      <c r="B287" s="24" t="s">
        <v>995</v>
      </c>
      <c r="C287" s="25">
        <f t="shared" ca="1" si="4"/>
        <v>45982</v>
      </c>
      <c r="D287" s="24" t="s">
        <v>1076</v>
      </c>
    </row>
    <row r="288" spans="2:4" x14ac:dyDescent="0.25">
      <c r="B288" s="24" t="s">
        <v>108</v>
      </c>
      <c r="C288" s="25">
        <f t="shared" ca="1" si="4"/>
        <v>45989</v>
      </c>
      <c r="D288" s="24" t="s">
        <v>1072</v>
      </c>
    </row>
    <row r="289" spans="2:4" x14ac:dyDescent="0.25">
      <c r="B289" s="24" t="s">
        <v>109</v>
      </c>
      <c r="C289" s="25">
        <f t="shared" ca="1" si="4"/>
        <v>45681</v>
      </c>
      <c r="D289" s="24" t="s">
        <v>1078</v>
      </c>
    </row>
    <row r="290" spans="2:4" x14ac:dyDescent="0.25">
      <c r="B290" s="24" t="s">
        <v>250</v>
      </c>
      <c r="C290" s="25">
        <f t="shared" ca="1" si="4"/>
        <v>45787</v>
      </c>
      <c r="D290" s="24" t="s">
        <v>1071</v>
      </c>
    </row>
    <row r="291" spans="2:4" x14ac:dyDescent="0.25">
      <c r="B291" s="24" t="s">
        <v>191</v>
      </c>
      <c r="C291" s="25">
        <f t="shared" ca="1" si="4"/>
        <v>45754</v>
      </c>
      <c r="D291" s="24" t="s">
        <v>1076</v>
      </c>
    </row>
    <row r="292" spans="2:4" x14ac:dyDescent="0.25">
      <c r="B292" s="24" t="s">
        <v>1041</v>
      </c>
      <c r="C292" s="25">
        <f t="shared" ca="1" si="4"/>
        <v>45882</v>
      </c>
      <c r="D292" s="24" t="s">
        <v>1072</v>
      </c>
    </row>
    <row r="293" spans="2:4" x14ac:dyDescent="0.25">
      <c r="B293" s="24" t="s">
        <v>597</v>
      </c>
      <c r="C293" s="25">
        <f t="shared" ca="1" si="4"/>
        <v>45903</v>
      </c>
      <c r="D293" s="24" t="s">
        <v>1070</v>
      </c>
    </row>
    <row r="294" spans="2:4" x14ac:dyDescent="0.25">
      <c r="B294" s="24" t="s">
        <v>655</v>
      </c>
      <c r="C294" s="25">
        <f t="shared" ca="1" si="4"/>
        <v>46157</v>
      </c>
      <c r="D294" s="24" t="s">
        <v>1078</v>
      </c>
    </row>
    <row r="295" spans="2:4" x14ac:dyDescent="0.25">
      <c r="B295" s="24" t="s">
        <v>235</v>
      </c>
      <c r="C295" s="25">
        <f t="shared" ca="1" si="4"/>
        <v>45847</v>
      </c>
      <c r="D295" s="24" t="s">
        <v>1080</v>
      </c>
    </row>
    <row r="296" spans="2:4" x14ac:dyDescent="0.25">
      <c r="B296" s="24" t="s">
        <v>187</v>
      </c>
      <c r="C296" s="25">
        <f t="shared" ca="1" si="4"/>
        <v>45751</v>
      </c>
      <c r="D296" s="24" t="s">
        <v>1076</v>
      </c>
    </row>
    <row r="297" spans="2:4" x14ac:dyDescent="0.25">
      <c r="B297" s="24" t="s">
        <v>689</v>
      </c>
      <c r="C297" s="25">
        <f t="shared" ca="1" si="4"/>
        <v>45860</v>
      </c>
      <c r="D297" s="24" t="s">
        <v>1075</v>
      </c>
    </row>
    <row r="298" spans="2:4" x14ac:dyDescent="0.25">
      <c r="B298" s="24" t="s">
        <v>344</v>
      </c>
      <c r="C298" s="25">
        <f t="shared" ca="1" si="4"/>
        <v>46070</v>
      </c>
      <c r="D298" s="24" t="s">
        <v>1075</v>
      </c>
    </row>
    <row r="299" spans="2:4" x14ac:dyDescent="0.25">
      <c r="B299" s="24" t="s">
        <v>810</v>
      </c>
      <c r="C299" s="25">
        <f t="shared" ca="1" si="4"/>
        <v>46099</v>
      </c>
      <c r="D299" s="24" t="s">
        <v>1075</v>
      </c>
    </row>
    <row r="300" spans="2:4" x14ac:dyDescent="0.25">
      <c r="B300" s="24" t="s">
        <v>644</v>
      </c>
      <c r="C300" s="25">
        <f t="shared" ca="1" si="4"/>
        <v>45760</v>
      </c>
      <c r="D300" s="24" t="s">
        <v>1070</v>
      </c>
    </row>
    <row r="301" spans="2:4" x14ac:dyDescent="0.25">
      <c r="B301" s="24" t="s">
        <v>325</v>
      </c>
      <c r="C301" s="25">
        <f t="shared" ca="1" si="4"/>
        <v>46125</v>
      </c>
      <c r="D301" s="24" t="s">
        <v>1080</v>
      </c>
    </row>
    <row r="302" spans="2:4" x14ac:dyDescent="0.25">
      <c r="B302" s="24" t="s">
        <v>705</v>
      </c>
      <c r="C302" s="25">
        <f t="shared" ca="1" si="4"/>
        <v>45890</v>
      </c>
      <c r="D302" s="24" t="s">
        <v>1076</v>
      </c>
    </row>
    <row r="303" spans="2:4" x14ac:dyDescent="0.25">
      <c r="B303" s="24" t="s">
        <v>766</v>
      </c>
      <c r="C303" s="25">
        <f t="shared" ca="1" si="4"/>
        <v>45973</v>
      </c>
      <c r="D303" s="24" t="s">
        <v>1074</v>
      </c>
    </row>
    <row r="304" spans="2:4" x14ac:dyDescent="0.25">
      <c r="B304" s="24" t="s">
        <v>797</v>
      </c>
      <c r="C304" s="25">
        <f t="shared" ca="1" si="4"/>
        <v>46081</v>
      </c>
      <c r="D304" s="24" t="s">
        <v>1076</v>
      </c>
    </row>
    <row r="305" spans="2:4" x14ac:dyDescent="0.25">
      <c r="B305" s="24" t="s">
        <v>797</v>
      </c>
      <c r="C305" s="25">
        <f t="shared" ca="1" si="4"/>
        <v>46153</v>
      </c>
      <c r="D305" s="24" t="s">
        <v>1075</v>
      </c>
    </row>
    <row r="306" spans="2:4" x14ac:dyDescent="0.25">
      <c r="B306" s="24" t="s">
        <v>706</v>
      </c>
      <c r="C306" s="25">
        <f t="shared" ca="1" si="4"/>
        <v>45778</v>
      </c>
      <c r="D306" s="24" t="s">
        <v>1079</v>
      </c>
    </row>
    <row r="307" spans="2:4" x14ac:dyDescent="0.25">
      <c r="B307" s="24" t="s">
        <v>551</v>
      </c>
      <c r="C307" s="25">
        <f t="shared" ca="1" si="4"/>
        <v>45972</v>
      </c>
      <c r="D307" s="24" t="s">
        <v>1077</v>
      </c>
    </row>
    <row r="308" spans="2:4" x14ac:dyDescent="0.25">
      <c r="B308" s="24" t="s">
        <v>779</v>
      </c>
      <c r="C308" s="25">
        <f t="shared" ca="1" si="4"/>
        <v>45876</v>
      </c>
      <c r="D308" s="24" t="s">
        <v>1071</v>
      </c>
    </row>
    <row r="309" spans="2:4" x14ac:dyDescent="0.25">
      <c r="B309" s="24" t="s">
        <v>368</v>
      </c>
      <c r="C309" s="25">
        <f t="shared" ca="1" si="4"/>
        <v>45806</v>
      </c>
      <c r="D309" s="24" t="s">
        <v>1072</v>
      </c>
    </row>
    <row r="310" spans="2:4" x14ac:dyDescent="0.25">
      <c r="B310" s="24" t="s">
        <v>302</v>
      </c>
      <c r="C310" s="25">
        <f t="shared" ca="1" si="4"/>
        <v>46170</v>
      </c>
      <c r="D310" s="24" t="s">
        <v>1074</v>
      </c>
    </row>
    <row r="311" spans="2:4" x14ac:dyDescent="0.25">
      <c r="B311" s="24" t="s">
        <v>749</v>
      </c>
      <c r="C311" s="25">
        <f t="shared" ca="1" si="4"/>
        <v>46028</v>
      </c>
      <c r="D311" s="24" t="s">
        <v>1074</v>
      </c>
    </row>
    <row r="312" spans="2:4" x14ac:dyDescent="0.25">
      <c r="B312" s="24" t="s">
        <v>981</v>
      </c>
      <c r="C312" s="25">
        <f t="shared" ca="1" si="4"/>
        <v>46008</v>
      </c>
      <c r="D312" s="24" t="s">
        <v>1075</v>
      </c>
    </row>
    <row r="313" spans="2:4" x14ac:dyDescent="0.25">
      <c r="B313" s="24" t="s">
        <v>605</v>
      </c>
      <c r="C313" s="25">
        <f t="shared" ca="1" si="4"/>
        <v>45831</v>
      </c>
      <c r="D313" s="24" t="s">
        <v>1072</v>
      </c>
    </row>
    <row r="314" spans="2:4" x14ac:dyDescent="0.25">
      <c r="B314" s="24" t="s">
        <v>928</v>
      </c>
      <c r="C314" s="25">
        <f t="shared" ca="1" si="4"/>
        <v>46021</v>
      </c>
      <c r="D314" s="24" t="s">
        <v>1070</v>
      </c>
    </row>
    <row r="315" spans="2:4" x14ac:dyDescent="0.25">
      <c r="B315" s="24" t="s">
        <v>621</v>
      </c>
      <c r="C315" s="25">
        <f t="shared" ca="1" si="4"/>
        <v>46050</v>
      </c>
      <c r="D315" s="24" t="s">
        <v>1074</v>
      </c>
    </row>
    <row r="316" spans="2:4" x14ac:dyDescent="0.25">
      <c r="B316" s="24" t="s">
        <v>589</v>
      </c>
      <c r="C316" s="25">
        <f t="shared" ca="1" si="4"/>
        <v>45925</v>
      </c>
      <c r="D316" s="24" t="s">
        <v>1069</v>
      </c>
    </row>
    <row r="317" spans="2:4" x14ac:dyDescent="0.25">
      <c r="B317" s="24" t="s">
        <v>1042</v>
      </c>
      <c r="C317" s="25">
        <f t="shared" ca="1" si="4"/>
        <v>46132</v>
      </c>
      <c r="D317" s="24" t="s">
        <v>1069</v>
      </c>
    </row>
    <row r="318" spans="2:4" x14ac:dyDescent="0.25">
      <c r="B318" s="24" t="s">
        <v>133</v>
      </c>
      <c r="C318" s="25">
        <f t="shared" ca="1" si="4"/>
        <v>45865</v>
      </c>
      <c r="D318" s="24" t="s">
        <v>1069</v>
      </c>
    </row>
    <row r="319" spans="2:4" x14ac:dyDescent="0.25">
      <c r="B319" s="24" t="s">
        <v>538</v>
      </c>
      <c r="C319" s="25">
        <f t="shared" ca="1" si="4"/>
        <v>46005</v>
      </c>
      <c r="D319" s="24" t="s">
        <v>1076</v>
      </c>
    </row>
    <row r="320" spans="2:4" x14ac:dyDescent="0.25">
      <c r="B320" s="24" t="s">
        <v>1001</v>
      </c>
      <c r="C320" s="25">
        <f t="shared" ca="1" si="4"/>
        <v>45879</v>
      </c>
      <c r="D320" s="24" t="s">
        <v>1075</v>
      </c>
    </row>
    <row r="321" spans="2:4" x14ac:dyDescent="0.25">
      <c r="B321" s="24" t="s">
        <v>528</v>
      </c>
      <c r="C321" s="25">
        <f t="shared" ca="1" si="4"/>
        <v>46141</v>
      </c>
      <c r="D321" s="24" t="s">
        <v>1074</v>
      </c>
    </row>
    <row r="322" spans="2:4" x14ac:dyDescent="0.25">
      <c r="B322" s="24" t="s">
        <v>847</v>
      </c>
      <c r="C322" s="25">
        <f t="shared" ca="1" si="4"/>
        <v>45781</v>
      </c>
      <c r="D322" s="24" t="s">
        <v>1071</v>
      </c>
    </row>
    <row r="323" spans="2:4" x14ac:dyDescent="0.25">
      <c r="B323" s="24" t="s">
        <v>521</v>
      </c>
      <c r="C323" s="25">
        <f t="shared" ca="1" si="4"/>
        <v>45775</v>
      </c>
      <c r="D323" s="24" t="s">
        <v>1069</v>
      </c>
    </row>
    <row r="324" spans="2:4" x14ac:dyDescent="0.25">
      <c r="B324" s="24" t="s">
        <v>458</v>
      </c>
      <c r="C324" s="25">
        <f t="shared" ca="1" si="4"/>
        <v>46150</v>
      </c>
      <c r="D324" s="24" t="s">
        <v>1074</v>
      </c>
    </row>
    <row r="325" spans="2:4" x14ac:dyDescent="0.25">
      <c r="B325" s="24" t="s">
        <v>866</v>
      </c>
      <c r="C325" s="25">
        <f t="shared" ca="1" si="4"/>
        <v>45673</v>
      </c>
      <c r="D325" s="24" t="s">
        <v>1080</v>
      </c>
    </row>
    <row r="326" spans="2:4" x14ac:dyDescent="0.25">
      <c r="B326" s="24" t="s">
        <v>159</v>
      </c>
      <c r="C326" s="25">
        <f t="shared" ca="1" si="4"/>
        <v>45878</v>
      </c>
      <c r="D326" s="24" t="s">
        <v>1076</v>
      </c>
    </row>
    <row r="327" spans="2:4" x14ac:dyDescent="0.25">
      <c r="B327" s="24" t="s">
        <v>730</v>
      </c>
      <c r="C327" s="25">
        <f t="shared" ca="1" si="4"/>
        <v>46161</v>
      </c>
      <c r="D327" s="24" t="s">
        <v>1078</v>
      </c>
    </row>
    <row r="328" spans="2:4" x14ac:dyDescent="0.25">
      <c r="B328" s="24" t="s">
        <v>389</v>
      </c>
      <c r="C328" s="25">
        <f t="shared" ca="1" si="4"/>
        <v>46144</v>
      </c>
      <c r="D328" s="24" t="s">
        <v>1074</v>
      </c>
    </row>
    <row r="329" spans="2:4" x14ac:dyDescent="0.25">
      <c r="B329" s="24" t="s">
        <v>250</v>
      </c>
      <c r="C329" s="25">
        <f t="shared" ca="1" si="4"/>
        <v>45704</v>
      </c>
      <c r="D329" s="24" t="s">
        <v>1069</v>
      </c>
    </row>
    <row r="330" spans="2:4" x14ac:dyDescent="0.25">
      <c r="B330" s="24" t="s">
        <v>544</v>
      </c>
      <c r="C330" s="25">
        <f t="shared" ref="C330:C393" ca="1" si="5">RANDBETWEEN(DATE(2025,1,1),DATE(2026,5,30))</f>
        <v>45949</v>
      </c>
      <c r="D330" s="24" t="s">
        <v>1074</v>
      </c>
    </row>
    <row r="331" spans="2:4" x14ac:dyDescent="0.25">
      <c r="B331" s="24" t="s">
        <v>972</v>
      </c>
      <c r="C331" s="25">
        <f t="shared" ca="1" si="5"/>
        <v>45745</v>
      </c>
      <c r="D331" s="24" t="s">
        <v>1074</v>
      </c>
    </row>
    <row r="332" spans="2:4" x14ac:dyDescent="0.25">
      <c r="B332" s="24" t="s">
        <v>1039</v>
      </c>
      <c r="C332" s="25">
        <f t="shared" ca="1" si="5"/>
        <v>45845</v>
      </c>
      <c r="D332" s="24" t="s">
        <v>1070</v>
      </c>
    </row>
    <row r="333" spans="2:4" x14ac:dyDescent="0.25">
      <c r="B333" s="24" t="s">
        <v>689</v>
      </c>
      <c r="C333" s="25">
        <f t="shared" ca="1" si="5"/>
        <v>45716</v>
      </c>
      <c r="D333" s="24" t="s">
        <v>1077</v>
      </c>
    </row>
    <row r="334" spans="2:4" x14ac:dyDescent="0.25">
      <c r="B334" s="24" t="s">
        <v>582</v>
      </c>
      <c r="C334" s="25">
        <f t="shared" ca="1" si="5"/>
        <v>45744</v>
      </c>
      <c r="D334" s="24" t="s">
        <v>1070</v>
      </c>
    </row>
    <row r="335" spans="2:4" x14ac:dyDescent="0.25">
      <c r="B335" s="24" t="s">
        <v>218</v>
      </c>
      <c r="C335" s="25">
        <f t="shared" ca="1" si="5"/>
        <v>46098</v>
      </c>
      <c r="D335" s="24" t="s">
        <v>1079</v>
      </c>
    </row>
    <row r="336" spans="2:4" x14ac:dyDescent="0.25">
      <c r="B336" s="24" t="s">
        <v>871</v>
      </c>
      <c r="C336" s="25">
        <f t="shared" ca="1" si="5"/>
        <v>46004</v>
      </c>
      <c r="D336" s="24" t="s">
        <v>1073</v>
      </c>
    </row>
    <row r="337" spans="2:4" x14ac:dyDescent="0.25">
      <c r="B337" s="24" t="s">
        <v>674</v>
      </c>
      <c r="C337" s="25">
        <f t="shared" ca="1" si="5"/>
        <v>45863</v>
      </c>
      <c r="D337" s="24" t="s">
        <v>1076</v>
      </c>
    </row>
    <row r="338" spans="2:4" x14ac:dyDescent="0.25">
      <c r="B338" s="24" t="s">
        <v>340</v>
      </c>
      <c r="C338" s="25">
        <f t="shared" ca="1" si="5"/>
        <v>46130</v>
      </c>
      <c r="D338" s="24" t="s">
        <v>1069</v>
      </c>
    </row>
    <row r="339" spans="2:4" x14ac:dyDescent="0.25">
      <c r="B339" s="24" t="s">
        <v>988</v>
      </c>
      <c r="C339" s="25">
        <f t="shared" ca="1" si="5"/>
        <v>45799</v>
      </c>
      <c r="D339" s="24" t="s">
        <v>1070</v>
      </c>
    </row>
    <row r="340" spans="2:4" x14ac:dyDescent="0.25">
      <c r="B340" s="24" t="s">
        <v>208</v>
      </c>
      <c r="C340" s="25">
        <f t="shared" ca="1" si="5"/>
        <v>45952</v>
      </c>
      <c r="D340" s="24" t="s">
        <v>1070</v>
      </c>
    </row>
    <row r="341" spans="2:4" x14ac:dyDescent="0.25">
      <c r="B341" s="24" t="s">
        <v>538</v>
      </c>
      <c r="C341" s="25">
        <f t="shared" ca="1" si="5"/>
        <v>45726</v>
      </c>
      <c r="D341" s="24" t="s">
        <v>1080</v>
      </c>
    </row>
    <row r="342" spans="2:4" x14ac:dyDescent="0.25">
      <c r="B342" s="24" t="s">
        <v>871</v>
      </c>
      <c r="C342" s="25">
        <f t="shared" ca="1" si="5"/>
        <v>45959</v>
      </c>
      <c r="D342" s="24" t="s">
        <v>1080</v>
      </c>
    </row>
    <row r="343" spans="2:4" x14ac:dyDescent="0.25">
      <c r="B343" s="24" t="s">
        <v>1103</v>
      </c>
      <c r="C343" s="25">
        <f t="shared" ca="1" si="5"/>
        <v>46113</v>
      </c>
      <c r="D343" s="24" t="s">
        <v>1072</v>
      </c>
    </row>
    <row r="344" spans="2:4" x14ac:dyDescent="0.25">
      <c r="B344" s="24" t="s">
        <v>515</v>
      </c>
      <c r="C344" s="25">
        <f t="shared" ca="1" si="5"/>
        <v>45785</v>
      </c>
      <c r="D344" s="24" t="s">
        <v>1075</v>
      </c>
    </row>
    <row r="345" spans="2:4" x14ac:dyDescent="0.25">
      <c r="B345" s="24" t="s">
        <v>997</v>
      </c>
      <c r="C345" s="25">
        <f t="shared" ca="1" si="5"/>
        <v>45900</v>
      </c>
      <c r="D345" s="24" t="s">
        <v>1070</v>
      </c>
    </row>
    <row r="346" spans="2:4" x14ac:dyDescent="0.25">
      <c r="B346" s="24" t="s">
        <v>805</v>
      </c>
      <c r="C346" s="25">
        <f t="shared" ca="1" si="5"/>
        <v>46150</v>
      </c>
      <c r="D346" s="24" t="s">
        <v>1070</v>
      </c>
    </row>
    <row r="347" spans="2:4" x14ac:dyDescent="0.25">
      <c r="B347" s="24" t="s">
        <v>799</v>
      </c>
      <c r="C347" s="25">
        <f t="shared" ca="1" si="5"/>
        <v>46144</v>
      </c>
      <c r="D347" s="24" t="s">
        <v>1071</v>
      </c>
    </row>
    <row r="348" spans="2:4" x14ac:dyDescent="0.25">
      <c r="B348" s="24" t="s">
        <v>126</v>
      </c>
      <c r="C348" s="25">
        <f t="shared" ca="1" si="5"/>
        <v>46124</v>
      </c>
      <c r="D348" s="24" t="s">
        <v>1072</v>
      </c>
    </row>
    <row r="349" spans="2:4" x14ac:dyDescent="0.25">
      <c r="B349" s="24" t="s">
        <v>706</v>
      </c>
      <c r="C349" s="25">
        <f t="shared" ca="1" si="5"/>
        <v>46038</v>
      </c>
      <c r="D349" s="24" t="s">
        <v>1069</v>
      </c>
    </row>
    <row r="350" spans="2:4" x14ac:dyDescent="0.25">
      <c r="B350" s="24" t="s">
        <v>739</v>
      </c>
      <c r="C350" s="25">
        <f t="shared" ca="1" si="5"/>
        <v>45980</v>
      </c>
      <c r="D350" s="24" t="s">
        <v>1070</v>
      </c>
    </row>
    <row r="351" spans="2:4" x14ac:dyDescent="0.25">
      <c r="B351" s="24" t="s">
        <v>691</v>
      </c>
      <c r="C351" s="25">
        <f t="shared" ca="1" si="5"/>
        <v>45779</v>
      </c>
      <c r="D351" s="24" t="s">
        <v>1080</v>
      </c>
    </row>
    <row r="352" spans="2:4" x14ac:dyDescent="0.25">
      <c r="B352" s="24" t="s">
        <v>560</v>
      </c>
      <c r="C352" s="25">
        <f t="shared" ca="1" si="5"/>
        <v>46087</v>
      </c>
      <c r="D352" s="24" t="s">
        <v>1073</v>
      </c>
    </row>
    <row r="353" spans="2:4" x14ac:dyDescent="0.25">
      <c r="B353" s="24" t="s">
        <v>657</v>
      </c>
      <c r="C353" s="25">
        <f t="shared" ca="1" si="5"/>
        <v>45678</v>
      </c>
      <c r="D353" s="24" t="s">
        <v>1079</v>
      </c>
    </row>
    <row r="354" spans="2:4" x14ac:dyDescent="0.25">
      <c r="B354" s="24" t="s">
        <v>799</v>
      </c>
      <c r="C354" s="25">
        <f t="shared" ca="1" si="5"/>
        <v>45698</v>
      </c>
      <c r="D354" s="24" t="s">
        <v>1074</v>
      </c>
    </row>
    <row r="355" spans="2:4" x14ac:dyDescent="0.25">
      <c r="B355" s="24" t="s">
        <v>883</v>
      </c>
      <c r="C355" s="25">
        <f t="shared" ca="1" si="5"/>
        <v>46129</v>
      </c>
      <c r="D355" s="24" t="s">
        <v>1074</v>
      </c>
    </row>
    <row r="356" spans="2:4" x14ac:dyDescent="0.25">
      <c r="B356" s="24" t="s">
        <v>180</v>
      </c>
      <c r="C356" s="25">
        <f t="shared" ca="1" si="5"/>
        <v>45876</v>
      </c>
      <c r="D356" s="24" t="s">
        <v>1079</v>
      </c>
    </row>
    <row r="357" spans="2:4" x14ac:dyDescent="0.25">
      <c r="B357" s="24" t="s">
        <v>756</v>
      </c>
      <c r="C357" s="25">
        <f t="shared" ca="1" si="5"/>
        <v>45791</v>
      </c>
      <c r="D357" s="24" t="s">
        <v>1072</v>
      </c>
    </row>
    <row r="358" spans="2:4" x14ac:dyDescent="0.25">
      <c r="B358" s="24" t="s">
        <v>146</v>
      </c>
      <c r="C358" s="25">
        <f t="shared" ca="1" si="5"/>
        <v>46087</v>
      </c>
      <c r="D358" s="24" t="s">
        <v>1076</v>
      </c>
    </row>
    <row r="359" spans="2:4" x14ac:dyDescent="0.25">
      <c r="B359" s="24" t="s">
        <v>678</v>
      </c>
      <c r="C359" s="25">
        <f t="shared" ca="1" si="5"/>
        <v>46127</v>
      </c>
      <c r="D359" s="24" t="s">
        <v>1070</v>
      </c>
    </row>
    <row r="360" spans="2:4" x14ac:dyDescent="0.25">
      <c r="B360" s="24" t="s">
        <v>537</v>
      </c>
      <c r="C360" s="25">
        <f t="shared" ca="1" si="5"/>
        <v>46024</v>
      </c>
      <c r="D360" s="24" t="s">
        <v>1076</v>
      </c>
    </row>
    <row r="361" spans="2:4" x14ac:dyDescent="0.25">
      <c r="B361" s="24" t="s">
        <v>315</v>
      </c>
      <c r="C361" s="25">
        <f t="shared" ca="1" si="5"/>
        <v>45780</v>
      </c>
      <c r="D361" s="24" t="s">
        <v>1076</v>
      </c>
    </row>
    <row r="362" spans="2:4" x14ac:dyDescent="0.25">
      <c r="B362" s="24" t="s">
        <v>402</v>
      </c>
      <c r="C362" s="25">
        <f t="shared" ca="1" si="5"/>
        <v>45990</v>
      </c>
      <c r="D362" s="24" t="s">
        <v>1076</v>
      </c>
    </row>
    <row r="363" spans="2:4" x14ac:dyDescent="0.25">
      <c r="B363" s="24" t="s">
        <v>983</v>
      </c>
      <c r="C363" s="25">
        <f t="shared" ca="1" si="5"/>
        <v>45754</v>
      </c>
      <c r="D363" s="24" t="s">
        <v>1074</v>
      </c>
    </row>
    <row r="364" spans="2:4" x14ac:dyDescent="0.25">
      <c r="B364" s="24" t="s">
        <v>1000</v>
      </c>
      <c r="C364" s="25">
        <f t="shared" ca="1" si="5"/>
        <v>45871</v>
      </c>
      <c r="D364" s="24" t="s">
        <v>1072</v>
      </c>
    </row>
    <row r="365" spans="2:4" x14ac:dyDescent="0.25">
      <c r="B365" s="24" t="s">
        <v>491</v>
      </c>
      <c r="C365" s="25">
        <f t="shared" ca="1" si="5"/>
        <v>45707</v>
      </c>
      <c r="D365" s="24" t="s">
        <v>1072</v>
      </c>
    </row>
    <row r="366" spans="2:4" x14ac:dyDescent="0.25">
      <c r="B366" s="24" t="s">
        <v>270</v>
      </c>
      <c r="C366" s="25">
        <f t="shared" ca="1" si="5"/>
        <v>46091</v>
      </c>
      <c r="D366" s="24" t="s">
        <v>1069</v>
      </c>
    </row>
    <row r="367" spans="2:4" x14ac:dyDescent="0.25">
      <c r="B367" s="24" t="s">
        <v>890</v>
      </c>
      <c r="C367" s="25">
        <f t="shared" ca="1" si="5"/>
        <v>45817</v>
      </c>
      <c r="D367" s="24" t="s">
        <v>1079</v>
      </c>
    </row>
    <row r="368" spans="2:4" x14ac:dyDescent="0.25">
      <c r="B368" s="24" t="s">
        <v>222</v>
      </c>
      <c r="C368" s="25">
        <f t="shared" ca="1" si="5"/>
        <v>45972</v>
      </c>
      <c r="D368" s="24" t="s">
        <v>1074</v>
      </c>
    </row>
    <row r="369" spans="2:4" x14ac:dyDescent="0.25">
      <c r="B369" s="24" t="s">
        <v>872</v>
      </c>
      <c r="C369" s="25">
        <f t="shared" ca="1" si="5"/>
        <v>45682</v>
      </c>
      <c r="D369" s="24" t="s">
        <v>1073</v>
      </c>
    </row>
    <row r="370" spans="2:4" x14ac:dyDescent="0.25">
      <c r="B370" s="24" t="s">
        <v>913</v>
      </c>
      <c r="C370" s="25">
        <f t="shared" ca="1" si="5"/>
        <v>45764</v>
      </c>
      <c r="D370" s="24" t="s">
        <v>1071</v>
      </c>
    </row>
    <row r="371" spans="2:4" x14ac:dyDescent="0.25">
      <c r="B371" s="24" t="s">
        <v>114</v>
      </c>
      <c r="C371" s="25">
        <f t="shared" ca="1" si="5"/>
        <v>46038</v>
      </c>
      <c r="D371" s="24" t="s">
        <v>1078</v>
      </c>
    </row>
    <row r="372" spans="2:4" x14ac:dyDescent="0.25">
      <c r="B372" s="24" t="s">
        <v>529</v>
      </c>
      <c r="C372" s="25">
        <f t="shared" ca="1" si="5"/>
        <v>45838</v>
      </c>
      <c r="D372" s="24" t="s">
        <v>1076</v>
      </c>
    </row>
    <row r="373" spans="2:4" x14ac:dyDescent="0.25">
      <c r="B373" s="24" t="s">
        <v>939</v>
      </c>
      <c r="C373" s="25">
        <f t="shared" ca="1" si="5"/>
        <v>45695</v>
      </c>
      <c r="D373" s="24" t="s">
        <v>1069</v>
      </c>
    </row>
    <row r="374" spans="2:4" x14ac:dyDescent="0.25">
      <c r="B374" s="24" t="s">
        <v>580</v>
      </c>
      <c r="C374" s="25">
        <f t="shared" ca="1" si="5"/>
        <v>45679</v>
      </c>
      <c r="D374" s="24" t="s">
        <v>1078</v>
      </c>
    </row>
    <row r="375" spans="2:4" x14ac:dyDescent="0.25">
      <c r="B375" s="24" t="s">
        <v>462</v>
      </c>
      <c r="C375" s="25">
        <f t="shared" ca="1" si="5"/>
        <v>45933</v>
      </c>
      <c r="D375" s="24" t="s">
        <v>1073</v>
      </c>
    </row>
    <row r="376" spans="2:4" x14ac:dyDescent="0.25">
      <c r="B376" s="24" t="s">
        <v>607</v>
      </c>
      <c r="C376" s="25">
        <f t="shared" ca="1" si="5"/>
        <v>46009</v>
      </c>
      <c r="D376" s="24" t="s">
        <v>1080</v>
      </c>
    </row>
    <row r="377" spans="2:4" x14ac:dyDescent="0.25">
      <c r="B377" s="24" t="s">
        <v>551</v>
      </c>
      <c r="C377" s="25">
        <f t="shared" ca="1" si="5"/>
        <v>45866</v>
      </c>
      <c r="D377" s="24" t="s">
        <v>1075</v>
      </c>
    </row>
    <row r="378" spans="2:4" x14ac:dyDescent="0.25">
      <c r="B378" s="24" t="s">
        <v>949</v>
      </c>
      <c r="C378" s="25">
        <f t="shared" ca="1" si="5"/>
        <v>45918</v>
      </c>
      <c r="D378" s="24" t="s">
        <v>1069</v>
      </c>
    </row>
    <row r="379" spans="2:4" x14ac:dyDescent="0.25">
      <c r="B379" s="24" t="s">
        <v>460</v>
      </c>
      <c r="C379" s="25">
        <f t="shared" ca="1" si="5"/>
        <v>45883</v>
      </c>
      <c r="D379" s="24" t="s">
        <v>1075</v>
      </c>
    </row>
    <row r="380" spans="2:4" x14ac:dyDescent="0.25">
      <c r="B380" s="24" t="s">
        <v>861</v>
      </c>
      <c r="C380" s="25">
        <f t="shared" ca="1" si="5"/>
        <v>45756</v>
      </c>
      <c r="D380" s="24" t="s">
        <v>1079</v>
      </c>
    </row>
    <row r="381" spans="2:4" x14ac:dyDescent="0.25">
      <c r="B381" s="24" t="s">
        <v>440</v>
      </c>
      <c r="C381" s="25">
        <f t="shared" ca="1" si="5"/>
        <v>46069</v>
      </c>
      <c r="D381" s="24" t="s">
        <v>1077</v>
      </c>
    </row>
    <row r="382" spans="2:4" x14ac:dyDescent="0.25">
      <c r="B382" s="24" t="s">
        <v>790</v>
      </c>
      <c r="C382" s="25">
        <f t="shared" ca="1" si="5"/>
        <v>46031</v>
      </c>
      <c r="D382" s="24" t="s">
        <v>1080</v>
      </c>
    </row>
    <row r="383" spans="2:4" x14ac:dyDescent="0.25">
      <c r="B383" s="24" t="s">
        <v>724</v>
      </c>
      <c r="C383" s="25">
        <f t="shared" ca="1" si="5"/>
        <v>45709</v>
      </c>
      <c r="D383" s="24" t="s">
        <v>1069</v>
      </c>
    </row>
    <row r="384" spans="2:4" x14ac:dyDescent="0.25">
      <c r="B384" s="24" t="s">
        <v>982</v>
      </c>
      <c r="C384" s="25">
        <f t="shared" ca="1" si="5"/>
        <v>45969</v>
      </c>
      <c r="D384" s="24" t="s">
        <v>1070</v>
      </c>
    </row>
    <row r="385" spans="2:4" x14ac:dyDescent="0.25">
      <c r="B385" s="24" t="s">
        <v>741</v>
      </c>
      <c r="C385" s="25">
        <f t="shared" ca="1" si="5"/>
        <v>46007</v>
      </c>
      <c r="D385" s="24" t="s">
        <v>1080</v>
      </c>
    </row>
    <row r="386" spans="2:4" x14ac:dyDescent="0.25">
      <c r="B386" s="24" t="s">
        <v>347</v>
      </c>
      <c r="C386" s="25">
        <f t="shared" ca="1" si="5"/>
        <v>46016</v>
      </c>
      <c r="D386" s="24" t="s">
        <v>1077</v>
      </c>
    </row>
    <row r="387" spans="2:4" x14ac:dyDescent="0.25">
      <c r="B387" s="24" t="s">
        <v>544</v>
      </c>
      <c r="C387" s="25">
        <f t="shared" ca="1" si="5"/>
        <v>45750</v>
      </c>
      <c r="D387" s="24" t="s">
        <v>1080</v>
      </c>
    </row>
    <row r="388" spans="2:4" x14ac:dyDescent="0.25">
      <c r="B388" s="24" t="s">
        <v>430</v>
      </c>
      <c r="C388" s="25">
        <f t="shared" ca="1" si="5"/>
        <v>46025</v>
      </c>
      <c r="D388" s="24" t="s">
        <v>1074</v>
      </c>
    </row>
    <row r="389" spans="2:4" x14ac:dyDescent="0.25">
      <c r="B389" s="24" t="s">
        <v>509</v>
      </c>
      <c r="C389" s="25">
        <f t="shared" ca="1" si="5"/>
        <v>46157</v>
      </c>
      <c r="D389" s="24" t="s">
        <v>1075</v>
      </c>
    </row>
    <row r="390" spans="2:4" x14ac:dyDescent="0.25">
      <c r="B390" s="24" t="s">
        <v>858</v>
      </c>
      <c r="C390" s="25">
        <f t="shared" ca="1" si="5"/>
        <v>45914</v>
      </c>
      <c r="D390" s="24" t="s">
        <v>1072</v>
      </c>
    </row>
    <row r="391" spans="2:4" x14ac:dyDescent="0.25">
      <c r="B391" s="24" t="s">
        <v>322</v>
      </c>
      <c r="C391" s="25">
        <f t="shared" ca="1" si="5"/>
        <v>45672</v>
      </c>
      <c r="D391" s="24" t="s">
        <v>1070</v>
      </c>
    </row>
    <row r="392" spans="2:4" x14ac:dyDescent="0.25">
      <c r="B392" s="24" t="s">
        <v>877</v>
      </c>
      <c r="C392" s="25">
        <f t="shared" ca="1" si="5"/>
        <v>46114</v>
      </c>
      <c r="D392" s="24" t="s">
        <v>1076</v>
      </c>
    </row>
    <row r="393" spans="2:4" x14ac:dyDescent="0.25">
      <c r="B393" s="24" t="s">
        <v>151</v>
      </c>
      <c r="C393" s="25">
        <f t="shared" ca="1" si="5"/>
        <v>46116</v>
      </c>
      <c r="D393" s="24" t="s">
        <v>1076</v>
      </c>
    </row>
    <row r="394" spans="2:4" x14ac:dyDescent="0.25">
      <c r="B394" s="24" t="s">
        <v>161</v>
      </c>
      <c r="C394" s="25">
        <f t="shared" ref="C394:C457" ca="1" si="6">RANDBETWEEN(DATE(2025,1,1),DATE(2026,5,30))</f>
        <v>45723</v>
      </c>
      <c r="D394" s="24" t="s">
        <v>1072</v>
      </c>
    </row>
    <row r="395" spans="2:4" x14ac:dyDescent="0.25">
      <c r="B395" s="24" t="s">
        <v>111</v>
      </c>
      <c r="C395" s="25">
        <f t="shared" ca="1" si="6"/>
        <v>46102</v>
      </c>
      <c r="D395" s="24" t="s">
        <v>1080</v>
      </c>
    </row>
    <row r="396" spans="2:4" x14ac:dyDescent="0.25">
      <c r="B396" s="24" t="s">
        <v>840</v>
      </c>
      <c r="C396" s="25">
        <f t="shared" ca="1" si="6"/>
        <v>46038</v>
      </c>
      <c r="D396" s="24" t="s">
        <v>1078</v>
      </c>
    </row>
    <row r="397" spans="2:4" x14ac:dyDescent="0.25">
      <c r="B397" s="24" t="s">
        <v>949</v>
      </c>
      <c r="C397" s="25">
        <f t="shared" ca="1" si="6"/>
        <v>45835</v>
      </c>
      <c r="D397" s="24" t="s">
        <v>1076</v>
      </c>
    </row>
    <row r="398" spans="2:4" x14ac:dyDescent="0.25">
      <c r="B398" s="24" t="s">
        <v>987</v>
      </c>
      <c r="C398" s="25">
        <f t="shared" ca="1" si="6"/>
        <v>45882</v>
      </c>
      <c r="D398" s="24" t="s">
        <v>1072</v>
      </c>
    </row>
    <row r="399" spans="2:4" x14ac:dyDescent="0.25">
      <c r="B399" s="24" t="s">
        <v>1115</v>
      </c>
      <c r="C399" s="25">
        <f t="shared" ca="1" si="6"/>
        <v>45811</v>
      </c>
      <c r="D399" s="24" t="s">
        <v>1072</v>
      </c>
    </row>
    <row r="400" spans="2:4" x14ac:dyDescent="0.25">
      <c r="B400" s="24" t="s">
        <v>1088</v>
      </c>
      <c r="C400" s="25">
        <f t="shared" ca="1" si="6"/>
        <v>45955</v>
      </c>
      <c r="D400" s="24" t="s">
        <v>1080</v>
      </c>
    </row>
    <row r="401" spans="2:4" x14ac:dyDescent="0.25">
      <c r="B401" s="24" t="s">
        <v>660</v>
      </c>
      <c r="C401" s="25">
        <f t="shared" ca="1" si="6"/>
        <v>45695</v>
      </c>
      <c r="D401" s="24" t="s">
        <v>1074</v>
      </c>
    </row>
    <row r="402" spans="2:4" x14ac:dyDescent="0.25">
      <c r="B402" s="24" t="s">
        <v>717</v>
      </c>
      <c r="C402" s="25">
        <f t="shared" ca="1" si="6"/>
        <v>45740</v>
      </c>
      <c r="D402" s="24" t="s">
        <v>1071</v>
      </c>
    </row>
    <row r="403" spans="2:4" x14ac:dyDescent="0.25">
      <c r="B403" s="24" t="s">
        <v>126</v>
      </c>
      <c r="C403" s="25">
        <f t="shared" ca="1" si="6"/>
        <v>45994</v>
      </c>
      <c r="D403" s="24" t="s">
        <v>1069</v>
      </c>
    </row>
    <row r="404" spans="2:4" x14ac:dyDescent="0.25">
      <c r="B404" s="24" t="s">
        <v>1035</v>
      </c>
      <c r="C404" s="25">
        <f t="shared" ca="1" si="6"/>
        <v>45750</v>
      </c>
      <c r="D404" s="24" t="s">
        <v>1075</v>
      </c>
    </row>
    <row r="405" spans="2:4" x14ac:dyDescent="0.25">
      <c r="B405" s="24" t="s">
        <v>837</v>
      </c>
      <c r="C405" s="25">
        <f t="shared" ca="1" si="6"/>
        <v>45771</v>
      </c>
      <c r="D405" s="24" t="s">
        <v>1075</v>
      </c>
    </row>
    <row r="406" spans="2:4" x14ac:dyDescent="0.25">
      <c r="B406" s="24" t="s">
        <v>648</v>
      </c>
      <c r="C406" s="25">
        <f t="shared" ca="1" si="6"/>
        <v>45730</v>
      </c>
      <c r="D406" s="24" t="s">
        <v>1072</v>
      </c>
    </row>
    <row r="407" spans="2:4" x14ac:dyDescent="0.25">
      <c r="B407" s="24" t="s">
        <v>167</v>
      </c>
      <c r="C407" s="25">
        <f t="shared" ca="1" si="6"/>
        <v>46146</v>
      </c>
      <c r="D407" s="24" t="s">
        <v>1071</v>
      </c>
    </row>
    <row r="408" spans="2:4" x14ac:dyDescent="0.25">
      <c r="B408" s="24" t="s">
        <v>525</v>
      </c>
      <c r="C408" s="25">
        <f t="shared" ca="1" si="6"/>
        <v>45863</v>
      </c>
      <c r="D408" s="24" t="s">
        <v>1076</v>
      </c>
    </row>
    <row r="409" spans="2:4" x14ac:dyDescent="0.25">
      <c r="B409" s="24" t="s">
        <v>488</v>
      </c>
      <c r="C409" s="25">
        <f t="shared" ca="1" si="6"/>
        <v>45883</v>
      </c>
      <c r="D409" s="24" t="s">
        <v>1073</v>
      </c>
    </row>
    <row r="410" spans="2:4" x14ac:dyDescent="0.25">
      <c r="B410" s="24" t="s">
        <v>630</v>
      </c>
      <c r="C410" s="25">
        <f t="shared" ca="1" si="6"/>
        <v>45843</v>
      </c>
      <c r="D410" s="24" t="s">
        <v>1071</v>
      </c>
    </row>
    <row r="411" spans="2:4" x14ac:dyDescent="0.25">
      <c r="B411" s="24" t="s">
        <v>823</v>
      </c>
      <c r="C411" s="25">
        <f t="shared" ca="1" si="6"/>
        <v>46143</v>
      </c>
      <c r="D411" s="24" t="s">
        <v>1071</v>
      </c>
    </row>
    <row r="412" spans="2:4" x14ac:dyDescent="0.25">
      <c r="B412" s="24" t="s">
        <v>111</v>
      </c>
      <c r="C412" s="25">
        <f t="shared" ca="1" si="6"/>
        <v>45855</v>
      </c>
      <c r="D412" s="24" t="s">
        <v>1079</v>
      </c>
    </row>
    <row r="413" spans="2:4" x14ac:dyDescent="0.25">
      <c r="B413" s="24" t="s">
        <v>465</v>
      </c>
      <c r="C413" s="25">
        <f t="shared" ca="1" si="6"/>
        <v>45986</v>
      </c>
      <c r="D413" s="24" t="s">
        <v>1077</v>
      </c>
    </row>
    <row r="414" spans="2:4" x14ac:dyDescent="0.25">
      <c r="B414" s="24" t="s">
        <v>528</v>
      </c>
      <c r="C414" s="25">
        <f t="shared" ca="1" si="6"/>
        <v>46094</v>
      </c>
      <c r="D414" s="24" t="s">
        <v>1069</v>
      </c>
    </row>
    <row r="415" spans="2:4" x14ac:dyDescent="0.25">
      <c r="B415" s="24" t="s">
        <v>879</v>
      </c>
      <c r="C415" s="25">
        <f t="shared" ca="1" si="6"/>
        <v>46076</v>
      </c>
      <c r="D415" s="24" t="s">
        <v>1075</v>
      </c>
    </row>
    <row r="416" spans="2:4" x14ac:dyDescent="0.25">
      <c r="B416" s="24" t="s">
        <v>559</v>
      </c>
      <c r="C416" s="25">
        <f t="shared" ca="1" si="6"/>
        <v>46112</v>
      </c>
      <c r="D416" s="24" t="s">
        <v>1077</v>
      </c>
    </row>
    <row r="417" spans="2:4" x14ac:dyDescent="0.25">
      <c r="B417" s="24" t="s">
        <v>1048</v>
      </c>
      <c r="C417" s="25">
        <f t="shared" ca="1" si="6"/>
        <v>45696</v>
      </c>
      <c r="D417" s="24" t="s">
        <v>1078</v>
      </c>
    </row>
    <row r="418" spans="2:4" x14ac:dyDescent="0.25">
      <c r="B418" s="24" t="s">
        <v>712</v>
      </c>
      <c r="C418" s="25">
        <f t="shared" ca="1" si="6"/>
        <v>45778</v>
      </c>
      <c r="D418" s="24" t="s">
        <v>1071</v>
      </c>
    </row>
    <row r="419" spans="2:4" x14ac:dyDescent="0.25">
      <c r="B419" s="24" t="s">
        <v>724</v>
      </c>
      <c r="C419" s="25">
        <f t="shared" ca="1" si="6"/>
        <v>46147</v>
      </c>
      <c r="D419" s="24" t="s">
        <v>1074</v>
      </c>
    </row>
    <row r="420" spans="2:4" x14ac:dyDescent="0.25">
      <c r="B420" s="24" t="s">
        <v>475</v>
      </c>
      <c r="C420" s="25">
        <f t="shared" ca="1" si="6"/>
        <v>45873</v>
      </c>
      <c r="D420" s="24" t="s">
        <v>1080</v>
      </c>
    </row>
    <row r="421" spans="2:4" x14ac:dyDescent="0.25">
      <c r="B421" s="24" t="s">
        <v>369</v>
      </c>
      <c r="C421" s="25">
        <f t="shared" ca="1" si="6"/>
        <v>45702</v>
      </c>
      <c r="D421" s="24" t="s">
        <v>1077</v>
      </c>
    </row>
    <row r="422" spans="2:4" x14ac:dyDescent="0.25">
      <c r="B422" s="24" t="s">
        <v>588</v>
      </c>
      <c r="C422" s="25">
        <f t="shared" ca="1" si="6"/>
        <v>45727</v>
      </c>
      <c r="D422" s="24" t="s">
        <v>1070</v>
      </c>
    </row>
    <row r="423" spans="2:4" x14ac:dyDescent="0.25">
      <c r="B423" s="24" t="s">
        <v>882</v>
      </c>
      <c r="C423" s="25">
        <f t="shared" ca="1" si="6"/>
        <v>45685</v>
      </c>
      <c r="D423" s="24" t="s">
        <v>1069</v>
      </c>
    </row>
    <row r="424" spans="2:4" x14ac:dyDescent="0.25">
      <c r="B424" s="24" t="s">
        <v>677</v>
      </c>
      <c r="C424" s="25">
        <f t="shared" ca="1" si="6"/>
        <v>46167</v>
      </c>
      <c r="D424" s="24" t="s">
        <v>1077</v>
      </c>
    </row>
    <row r="425" spans="2:4" x14ac:dyDescent="0.25">
      <c r="B425" s="24" t="s">
        <v>980</v>
      </c>
      <c r="C425" s="25">
        <f t="shared" ca="1" si="6"/>
        <v>46024</v>
      </c>
      <c r="D425" s="24" t="s">
        <v>1075</v>
      </c>
    </row>
    <row r="426" spans="2:4" x14ac:dyDescent="0.25">
      <c r="B426" s="24" t="s">
        <v>1087</v>
      </c>
      <c r="C426" s="25">
        <f t="shared" ca="1" si="6"/>
        <v>46043</v>
      </c>
      <c r="D426" s="24" t="s">
        <v>1079</v>
      </c>
    </row>
    <row r="427" spans="2:4" x14ac:dyDescent="0.25">
      <c r="B427" s="24" t="s">
        <v>551</v>
      </c>
      <c r="C427" s="25">
        <f t="shared" ca="1" si="6"/>
        <v>45989</v>
      </c>
      <c r="D427" s="24" t="s">
        <v>1072</v>
      </c>
    </row>
    <row r="428" spans="2:4" x14ac:dyDescent="0.25">
      <c r="B428" s="24" t="s">
        <v>780</v>
      </c>
      <c r="C428" s="25">
        <f t="shared" ca="1" si="6"/>
        <v>46066</v>
      </c>
      <c r="D428" s="24" t="s">
        <v>1072</v>
      </c>
    </row>
    <row r="429" spans="2:4" x14ac:dyDescent="0.25">
      <c r="B429" s="24" t="s">
        <v>357</v>
      </c>
      <c r="C429" s="25">
        <f t="shared" ca="1" si="6"/>
        <v>45674</v>
      </c>
      <c r="D429" s="24" t="s">
        <v>1074</v>
      </c>
    </row>
    <row r="430" spans="2:4" x14ac:dyDescent="0.25">
      <c r="B430" s="24" t="s">
        <v>1051</v>
      </c>
      <c r="C430" s="25">
        <f t="shared" ca="1" si="6"/>
        <v>45694</v>
      </c>
      <c r="D430" s="24" t="s">
        <v>1075</v>
      </c>
    </row>
    <row r="431" spans="2:4" x14ac:dyDescent="0.25">
      <c r="B431" s="24" t="s">
        <v>1041</v>
      </c>
      <c r="C431" s="25">
        <f t="shared" ca="1" si="6"/>
        <v>46016</v>
      </c>
      <c r="D431" s="24" t="s">
        <v>1080</v>
      </c>
    </row>
    <row r="432" spans="2:4" x14ac:dyDescent="0.25">
      <c r="B432" s="24" t="s">
        <v>655</v>
      </c>
      <c r="C432" s="25">
        <f t="shared" ca="1" si="6"/>
        <v>45954</v>
      </c>
      <c r="D432" s="24" t="s">
        <v>1077</v>
      </c>
    </row>
    <row r="433" spans="2:4" x14ac:dyDescent="0.25">
      <c r="B433" s="24" t="s">
        <v>281</v>
      </c>
      <c r="C433" s="25">
        <f t="shared" ca="1" si="6"/>
        <v>45872</v>
      </c>
      <c r="D433" s="24" t="s">
        <v>1071</v>
      </c>
    </row>
    <row r="434" spans="2:4" x14ac:dyDescent="0.25">
      <c r="B434" s="24" t="s">
        <v>971</v>
      </c>
      <c r="C434" s="25">
        <f t="shared" ca="1" si="6"/>
        <v>45903</v>
      </c>
      <c r="D434" s="24" t="s">
        <v>1075</v>
      </c>
    </row>
    <row r="435" spans="2:4" x14ac:dyDescent="0.25">
      <c r="B435" s="24" t="s">
        <v>293</v>
      </c>
      <c r="C435" s="25">
        <f t="shared" ca="1" si="6"/>
        <v>45912</v>
      </c>
      <c r="D435" s="24" t="s">
        <v>1078</v>
      </c>
    </row>
    <row r="436" spans="2:4" x14ac:dyDescent="0.25">
      <c r="B436" s="24" t="s">
        <v>923</v>
      </c>
      <c r="C436" s="25">
        <f t="shared" ca="1" si="6"/>
        <v>45972</v>
      </c>
      <c r="D436" s="24" t="s">
        <v>1077</v>
      </c>
    </row>
    <row r="437" spans="2:4" x14ac:dyDescent="0.25">
      <c r="B437" s="24" t="s">
        <v>477</v>
      </c>
      <c r="C437" s="25">
        <f t="shared" ca="1" si="6"/>
        <v>46143</v>
      </c>
      <c r="D437" s="24" t="s">
        <v>1072</v>
      </c>
    </row>
    <row r="438" spans="2:4" x14ac:dyDescent="0.25">
      <c r="B438" s="24" t="s">
        <v>343</v>
      </c>
      <c r="C438" s="25">
        <f t="shared" ca="1" si="6"/>
        <v>45849</v>
      </c>
      <c r="D438" s="24" t="s">
        <v>1079</v>
      </c>
    </row>
    <row r="439" spans="2:4" x14ac:dyDescent="0.25">
      <c r="B439" s="24" t="s">
        <v>423</v>
      </c>
      <c r="C439" s="25">
        <f t="shared" ca="1" si="6"/>
        <v>45998</v>
      </c>
      <c r="D439" s="24" t="s">
        <v>1076</v>
      </c>
    </row>
    <row r="440" spans="2:4" x14ac:dyDescent="0.25">
      <c r="B440" s="24" t="s">
        <v>512</v>
      </c>
      <c r="C440" s="25">
        <f t="shared" ca="1" si="6"/>
        <v>46040</v>
      </c>
      <c r="D440" s="24" t="s">
        <v>1070</v>
      </c>
    </row>
    <row r="441" spans="2:4" x14ac:dyDescent="0.25">
      <c r="B441" s="24" t="s">
        <v>1093</v>
      </c>
      <c r="C441" s="25">
        <f t="shared" ca="1" si="6"/>
        <v>45955</v>
      </c>
      <c r="D441" s="24" t="s">
        <v>1079</v>
      </c>
    </row>
    <row r="442" spans="2:4" x14ac:dyDescent="0.25">
      <c r="B442" s="24" t="s">
        <v>1106</v>
      </c>
      <c r="C442" s="25">
        <f t="shared" ca="1" si="6"/>
        <v>45883</v>
      </c>
      <c r="D442" s="24" t="s">
        <v>1070</v>
      </c>
    </row>
    <row r="443" spans="2:4" x14ac:dyDescent="0.25">
      <c r="B443" s="24" t="s">
        <v>180</v>
      </c>
      <c r="C443" s="25">
        <f t="shared" ca="1" si="6"/>
        <v>46036</v>
      </c>
      <c r="D443" s="24" t="s">
        <v>1072</v>
      </c>
    </row>
    <row r="444" spans="2:4" x14ac:dyDescent="0.25">
      <c r="B444" s="24" t="s">
        <v>1089</v>
      </c>
      <c r="C444" s="25">
        <f t="shared" ca="1" si="6"/>
        <v>45840</v>
      </c>
      <c r="D444" s="24" t="s">
        <v>1076</v>
      </c>
    </row>
    <row r="445" spans="2:4" x14ac:dyDescent="0.25">
      <c r="B445" s="24" t="s">
        <v>1046</v>
      </c>
      <c r="C445" s="25">
        <f t="shared" ca="1" si="6"/>
        <v>45813</v>
      </c>
      <c r="D445" s="24" t="s">
        <v>1073</v>
      </c>
    </row>
    <row r="446" spans="2:4" x14ac:dyDescent="0.25">
      <c r="B446" s="24" t="s">
        <v>199</v>
      </c>
      <c r="C446" s="25">
        <f t="shared" ca="1" si="6"/>
        <v>45969</v>
      </c>
      <c r="D446" s="24" t="s">
        <v>1078</v>
      </c>
    </row>
    <row r="447" spans="2:4" x14ac:dyDescent="0.25">
      <c r="B447" s="24" t="s">
        <v>426</v>
      </c>
      <c r="C447" s="25">
        <f t="shared" ca="1" si="6"/>
        <v>45675</v>
      </c>
      <c r="D447" s="24" t="s">
        <v>1075</v>
      </c>
    </row>
    <row r="448" spans="2:4" x14ac:dyDescent="0.25">
      <c r="B448" s="24" t="s">
        <v>510</v>
      </c>
      <c r="C448" s="25">
        <f t="shared" ca="1" si="6"/>
        <v>46085</v>
      </c>
      <c r="D448" s="24" t="s">
        <v>1077</v>
      </c>
    </row>
    <row r="449" spans="2:4" x14ac:dyDescent="0.25">
      <c r="B449" s="24" t="s">
        <v>776</v>
      </c>
      <c r="C449" s="25">
        <f t="shared" ca="1" si="6"/>
        <v>45861</v>
      </c>
      <c r="D449" s="24" t="s">
        <v>1078</v>
      </c>
    </row>
    <row r="450" spans="2:4" x14ac:dyDescent="0.25">
      <c r="B450" s="24" t="s">
        <v>185</v>
      </c>
      <c r="C450" s="25">
        <f t="shared" ca="1" si="6"/>
        <v>45786</v>
      </c>
      <c r="D450" s="24" t="s">
        <v>1072</v>
      </c>
    </row>
    <row r="451" spans="2:4" x14ac:dyDescent="0.25">
      <c r="B451" s="24" t="s">
        <v>692</v>
      </c>
      <c r="C451" s="25">
        <f t="shared" ca="1" si="6"/>
        <v>45679</v>
      </c>
      <c r="D451" s="24" t="s">
        <v>1079</v>
      </c>
    </row>
    <row r="452" spans="2:4" x14ac:dyDescent="0.25">
      <c r="B452" s="24" t="s">
        <v>559</v>
      </c>
      <c r="C452" s="25">
        <f t="shared" ca="1" si="6"/>
        <v>45820</v>
      </c>
      <c r="D452" s="24" t="s">
        <v>1072</v>
      </c>
    </row>
    <row r="453" spans="2:4" x14ac:dyDescent="0.25">
      <c r="B453" s="24" t="s">
        <v>582</v>
      </c>
      <c r="C453" s="25">
        <f t="shared" ca="1" si="6"/>
        <v>45713</v>
      </c>
      <c r="D453" s="24" t="s">
        <v>1071</v>
      </c>
    </row>
    <row r="454" spans="2:4" x14ac:dyDescent="0.25">
      <c r="B454" s="24" t="s">
        <v>554</v>
      </c>
      <c r="C454" s="25">
        <f t="shared" ca="1" si="6"/>
        <v>45687</v>
      </c>
      <c r="D454" s="24" t="s">
        <v>1069</v>
      </c>
    </row>
    <row r="455" spans="2:4" x14ac:dyDescent="0.25">
      <c r="B455" s="24" t="s">
        <v>650</v>
      </c>
      <c r="C455" s="25">
        <f t="shared" ca="1" si="6"/>
        <v>45766</v>
      </c>
      <c r="D455" s="24" t="s">
        <v>1071</v>
      </c>
    </row>
    <row r="456" spans="2:4" x14ac:dyDescent="0.25">
      <c r="B456" s="24" t="s">
        <v>180</v>
      </c>
      <c r="C456" s="25">
        <f t="shared" ca="1" si="6"/>
        <v>45767</v>
      </c>
      <c r="D456" s="24" t="s">
        <v>1079</v>
      </c>
    </row>
    <row r="457" spans="2:4" x14ac:dyDescent="0.25">
      <c r="B457" s="24" t="s">
        <v>117</v>
      </c>
      <c r="C457" s="25">
        <f t="shared" ca="1" si="6"/>
        <v>45738</v>
      </c>
      <c r="D457" s="24" t="s">
        <v>1076</v>
      </c>
    </row>
    <row r="458" spans="2:4" x14ac:dyDescent="0.25">
      <c r="B458" s="24" t="s">
        <v>363</v>
      </c>
      <c r="C458" s="25">
        <f t="shared" ref="C458:C521" ca="1" si="7">RANDBETWEEN(DATE(2025,1,1),DATE(2026,5,30))</f>
        <v>46114</v>
      </c>
      <c r="D458" s="24" t="s">
        <v>1074</v>
      </c>
    </row>
    <row r="459" spans="2:4" x14ac:dyDescent="0.25">
      <c r="B459" s="24" t="s">
        <v>595</v>
      </c>
      <c r="C459" s="25">
        <f t="shared" ca="1" si="7"/>
        <v>46153</v>
      </c>
      <c r="D459" s="24" t="s">
        <v>1077</v>
      </c>
    </row>
    <row r="460" spans="2:4" x14ac:dyDescent="0.25">
      <c r="B460" s="24" t="s">
        <v>1105</v>
      </c>
      <c r="C460" s="25">
        <f t="shared" ca="1" si="7"/>
        <v>45676</v>
      </c>
      <c r="D460" s="24" t="s">
        <v>1080</v>
      </c>
    </row>
    <row r="461" spans="2:4" x14ac:dyDescent="0.25">
      <c r="B461" s="24" t="s">
        <v>909</v>
      </c>
      <c r="C461" s="25">
        <f t="shared" ca="1" si="7"/>
        <v>45791</v>
      </c>
      <c r="D461" s="24" t="s">
        <v>1071</v>
      </c>
    </row>
    <row r="462" spans="2:4" x14ac:dyDescent="0.25">
      <c r="B462" s="24" t="s">
        <v>634</v>
      </c>
      <c r="C462" s="25">
        <f t="shared" ca="1" si="7"/>
        <v>45788</v>
      </c>
      <c r="D462" s="24" t="s">
        <v>1071</v>
      </c>
    </row>
    <row r="463" spans="2:4" x14ac:dyDescent="0.25">
      <c r="B463" s="24" t="s">
        <v>961</v>
      </c>
      <c r="C463" s="25">
        <f t="shared" ca="1" si="7"/>
        <v>45742</v>
      </c>
      <c r="D463" s="24" t="s">
        <v>1078</v>
      </c>
    </row>
    <row r="464" spans="2:4" x14ac:dyDescent="0.25">
      <c r="B464" s="24" t="s">
        <v>276</v>
      </c>
      <c r="C464" s="25">
        <f t="shared" ca="1" si="7"/>
        <v>45719</v>
      </c>
      <c r="D464" s="24" t="s">
        <v>1080</v>
      </c>
    </row>
    <row r="465" spans="2:4" x14ac:dyDescent="0.25">
      <c r="B465" s="24" t="s">
        <v>955</v>
      </c>
      <c r="C465" s="25">
        <f t="shared" ca="1" si="7"/>
        <v>46068</v>
      </c>
      <c r="D465" s="24" t="s">
        <v>1075</v>
      </c>
    </row>
    <row r="466" spans="2:4" x14ac:dyDescent="0.25">
      <c r="B466" s="24" t="s">
        <v>945</v>
      </c>
      <c r="C466" s="25">
        <f t="shared" ca="1" si="7"/>
        <v>45730</v>
      </c>
      <c r="D466" s="24" t="s">
        <v>1071</v>
      </c>
    </row>
    <row r="467" spans="2:4" x14ac:dyDescent="0.25">
      <c r="B467" s="24" t="s">
        <v>855</v>
      </c>
      <c r="C467" s="25">
        <f t="shared" ca="1" si="7"/>
        <v>45678</v>
      </c>
      <c r="D467" s="24" t="s">
        <v>1073</v>
      </c>
    </row>
    <row r="468" spans="2:4" x14ac:dyDescent="0.25">
      <c r="B468" s="24" t="s">
        <v>509</v>
      </c>
      <c r="C468" s="25">
        <f t="shared" ca="1" si="7"/>
        <v>46130</v>
      </c>
      <c r="D468" s="24" t="s">
        <v>1071</v>
      </c>
    </row>
    <row r="469" spans="2:4" x14ac:dyDescent="0.25">
      <c r="B469" s="24" t="s">
        <v>102</v>
      </c>
      <c r="C469" s="25">
        <f t="shared" ca="1" si="7"/>
        <v>46157</v>
      </c>
      <c r="D469" s="24" t="s">
        <v>1072</v>
      </c>
    </row>
    <row r="470" spans="2:4" x14ac:dyDescent="0.25">
      <c r="B470" s="24" t="s">
        <v>886</v>
      </c>
      <c r="C470" s="25">
        <f t="shared" ca="1" si="7"/>
        <v>46011</v>
      </c>
      <c r="D470" s="24" t="s">
        <v>1073</v>
      </c>
    </row>
    <row r="471" spans="2:4" x14ac:dyDescent="0.25">
      <c r="B471" s="24" t="s">
        <v>496</v>
      </c>
      <c r="C471" s="25">
        <f t="shared" ca="1" si="7"/>
        <v>46115</v>
      </c>
      <c r="D471" s="24" t="s">
        <v>1080</v>
      </c>
    </row>
    <row r="472" spans="2:4" x14ac:dyDescent="0.25">
      <c r="B472" s="24" t="s">
        <v>812</v>
      </c>
      <c r="C472" s="25">
        <f t="shared" ca="1" si="7"/>
        <v>45701</v>
      </c>
      <c r="D472" s="24" t="s">
        <v>1079</v>
      </c>
    </row>
    <row r="473" spans="2:4" x14ac:dyDescent="0.25">
      <c r="B473" s="24" t="s">
        <v>531</v>
      </c>
      <c r="C473" s="25">
        <f t="shared" ca="1" si="7"/>
        <v>45932</v>
      </c>
      <c r="D473" s="24" t="s">
        <v>1072</v>
      </c>
    </row>
    <row r="474" spans="2:4" x14ac:dyDescent="0.25">
      <c r="B474" s="24" t="s">
        <v>550</v>
      </c>
      <c r="C474" s="25">
        <f t="shared" ca="1" si="7"/>
        <v>45684</v>
      </c>
      <c r="D474" s="24" t="s">
        <v>1069</v>
      </c>
    </row>
    <row r="475" spans="2:4" x14ac:dyDescent="0.25">
      <c r="B475" s="24" t="s">
        <v>728</v>
      </c>
      <c r="C475" s="25">
        <f t="shared" ca="1" si="7"/>
        <v>45761</v>
      </c>
      <c r="D475" s="24" t="s">
        <v>1077</v>
      </c>
    </row>
    <row r="476" spans="2:4" x14ac:dyDescent="0.25">
      <c r="B476" s="24" t="s">
        <v>984</v>
      </c>
      <c r="C476" s="25">
        <f t="shared" ca="1" si="7"/>
        <v>45902</v>
      </c>
      <c r="D476" s="24" t="s">
        <v>1075</v>
      </c>
    </row>
    <row r="477" spans="2:4" x14ac:dyDescent="0.25">
      <c r="B477" s="24" t="s">
        <v>409</v>
      </c>
      <c r="C477" s="25">
        <f t="shared" ca="1" si="7"/>
        <v>45779</v>
      </c>
      <c r="D477" s="24" t="s">
        <v>1076</v>
      </c>
    </row>
    <row r="478" spans="2:4" x14ac:dyDescent="0.25">
      <c r="B478" s="24" t="s">
        <v>1045</v>
      </c>
      <c r="C478" s="25">
        <f t="shared" ca="1" si="7"/>
        <v>45945</v>
      </c>
      <c r="D478" s="24" t="s">
        <v>1077</v>
      </c>
    </row>
    <row r="479" spans="2:4" x14ac:dyDescent="0.25">
      <c r="B479" s="24" t="s">
        <v>583</v>
      </c>
      <c r="C479" s="25">
        <f t="shared" ca="1" si="7"/>
        <v>46055</v>
      </c>
      <c r="D479" s="24" t="s">
        <v>1073</v>
      </c>
    </row>
    <row r="480" spans="2:4" x14ac:dyDescent="0.25">
      <c r="B480" s="24" t="s">
        <v>103</v>
      </c>
      <c r="C480" s="25">
        <f t="shared" ca="1" si="7"/>
        <v>45825</v>
      </c>
      <c r="D480" s="24" t="s">
        <v>1077</v>
      </c>
    </row>
    <row r="481" spans="2:4" x14ac:dyDescent="0.25">
      <c r="B481" s="24" t="s">
        <v>239</v>
      </c>
      <c r="C481" s="25">
        <f t="shared" ca="1" si="7"/>
        <v>45672</v>
      </c>
      <c r="D481" s="24" t="s">
        <v>1071</v>
      </c>
    </row>
    <row r="482" spans="2:4" x14ac:dyDescent="0.25">
      <c r="B482" s="24" t="s">
        <v>964</v>
      </c>
      <c r="C482" s="25">
        <f t="shared" ca="1" si="7"/>
        <v>45800</v>
      </c>
      <c r="D482" s="24" t="s">
        <v>1071</v>
      </c>
    </row>
    <row r="483" spans="2:4" x14ac:dyDescent="0.25">
      <c r="B483" s="24" t="s">
        <v>691</v>
      </c>
      <c r="C483" s="25">
        <f t="shared" ca="1" si="7"/>
        <v>45785</v>
      </c>
      <c r="D483" s="24" t="s">
        <v>1073</v>
      </c>
    </row>
    <row r="484" spans="2:4" x14ac:dyDescent="0.25">
      <c r="B484" s="24" t="s">
        <v>925</v>
      </c>
      <c r="C484" s="25">
        <f t="shared" ca="1" si="7"/>
        <v>46090</v>
      </c>
      <c r="D484" s="24" t="s">
        <v>1077</v>
      </c>
    </row>
    <row r="485" spans="2:4" x14ac:dyDescent="0.25">
      <c r="B485" s="24" t="s">
        <v>414</v>
      </c>
      <c r="C485" s="25">
        <f t="shared" ca="1" si="7"/>
        <v>46031</v>
      </c>
      <c r="D485" s="24" t="s">
        <v>1080</v>
      </c>
    </row>
    <row r="486" spans="2:4" x14ac:dyDescent="0.25">
      <c r="B486" s="24" t="s">
        <v>1002</v>
      </c>
      <c r="C486" s="25">
        <f t="shared" ca="1" si="7"/>
        <v>45689</v>
      </c>
      <c r="D486" s="24" t="s">
        <v>1071</v>
      </c>
    </row>
    <row r="487" spans="2:4" x14ac:dyDescent="0.25">
      <c r="B487" s="24" t="s">
        <v>845</v>
      </c>
      <c r="C487" s="25">
        <f t="shared" ca="1" si="7"/>
        <v>45841</v>
      </c>
      <c r="D487" s="24" t="s">
        <v>1077</v>
      </c>
    </row>
    <row r="488" spans="2:4" x14ac:dyDescent="0.25">
      <c r="B488" s="24" t="s">
        <v>608</v>
      </c>
      <c r="C488" s="25">
        <f t="shared" ca="1" si="7"/>
        <v>45658</v>
      </c>
      <c r="D488" s="24" t="s">
        <v>1076</v>
      </c>
    </row>
    <row r="489" spans="2:4" x14ac:dyDescent="0.25">
      <c r="B489" s="24" t="s">
        <v>735</v>
      </c>
      <c r="C489" s="25">
        <f t="shared" ca="1" si="7"/>
        <v>45915</v>
      </c>
      <c r="D489" s="24" t="s">
        <v>1070</v>
      </c>
    </row>
    <row r="490" spans="2:4" x14ac:dyDescent="0.25">
      <c r="B490" s="24" t="s">
        <v>316</v>
      </c>
      <c r="C490" s="25">
        <f t="shared" ca="1" si="7"/>
        <v>45745</v>
      </c>
      <c r="D490" s="24" t="s">
        <v>1077</v>
      </c>
    </row>
    <row r="491" spans="2:4" x14ac:dyDescent="0.25">
      <c r="B491" s="24" t="s">
        <v>488</v>
      </c>
      <c r="C491" s="25">
        <f t="shared" ca="1" si="7"/>
        <v>45947</v>
      </c>
      <c r="D491" s="24" t="s">
        <v>1076</v>
      </c>
    </row>
    <row r="492" spans="2:4" x14ac:dyDescent="0.25">
      <c r="B492" s="24" t="s">
        <v>960</v>
      </c>
      <c r="C492" s="25">
        <f t="shared" ca="1" si="7"/>
        <v>46094</v>
      </c>
      <c r="D492" s="24" t="s">
        <v>1077</v>
      </c>
    </row>
    <row r="493" spans="2:4" x14ac:dyDescent="0.25">
      <c r="B493" s="24" t="s">
        <v>897</v>
      </c>
      <c r="C493" s="25">
        <f t="shared" ca="1" si="7"/>
        <v>45737</v>
      </c>
      <c r="D493" s="24" t="s">
        <v>1075</v>
      </c>
    </row>
    <row r="494" spans="2:4" x14ac:dyDescent="0.25">
      <c r="B494" s="24" t="s">
        <v>1050</v>
      </c>
      <c r="C494" s="25">
        <f t="shared" ca="1" si="7"/>
        <v>45662</v>
      </c>
      <c r="D494" s="24" t="s">
        <v>1074</v>
      </c>
    </row>
    <row r="495" spans="2:4" x14ac:dyDescent="0.25">
      <c r="B495" s="24" t="s">
        <v>173</v>
      </c>
      <c r="C495" s="25">
        <f t="shared" ca="1" si="7"/>
        <v>45676</v>
      </c>
      <c r="D495" s="24" t="s">
        <v>1073</v>
      </c>
    </row>
    <row r="496" spans="2:4" x14ac:dyDescent="0.25">
      <c r="B496" s="24" t="s">
        <v>147</v>
      </c>
      <c r="C496" s="25">
        <f t="shared" ca="1" si="7"/>
        <v>46111</v>
      </c>
      <c r="D496" s="24" t="s">
        <v>1072</v>
      </c>
    </row>
    <row r="497" spans="2:4" x14ac:dyDescent="0.25">
      <c r="B497" s="24" t="s">
        <v>974</v>
      </c>
      <c r="C497" s="25">
        <f t="shared" ca="1" si="7"/>
        <v>46158</v>
      </c>
      <c r="D497" s="24" t="s">
        <v>1070</v>
      </c>
    </row>
    <row r="498" spans="2:4" x14ac:dyDescent="0.25">
      <c r="B498" s="24" t="s">
        <v>882</v>
      </c>
      <c r="C498" s="25">
        <f t="shared" ca="1" si="7"/>
        <v>45943</v>
      </c>
      <c r="D498" s="24" t="s">
        <v>1075</v>
      </c>
    </row>
    <row r="499" spans="2:4" x14ac:dyDescent="0.25">
      <c r="B499" s="24" t="s">
        <v>107</v>
      </c>
      <c r="C499" s="25">
        <f t="shared" ca="1" si="7"/>
        <v>45864</v>
      </c>
      <c r="D499" s="24" t="s">
        <v>1070</v>
      </c>
    </row>
    <row r="500" spans="2:4" x14ac:dyDescent="0.25">
      <c r="B500" s="24" t="s">
        <v>986</v>
      </c>
      <c r="C500" s="25">
        <f t="shared" ca="1" si="7"/>
        <v>45905</v>
      </c>
      <c r="D500" s="24" t="s">
        <v>1079</v>
      </c>
    </row>
    <row r="501" spans="2:4" x14ac:dyDescent="0.25">
      <c r="B501" s="24" t="s">
        <v>934</v>
      </c>
      <c r="C501" s="25">
        <f t="shared" ca="1" si="7"/>
        <v>46100</v>
      </c>
      <c r="D501" s="24" t="s">
        <v>1073</v>
      </c>
    </row>
    <row r="502" spans="2:4" x14ac:dyDescent="0.25">
      <c r="B502" s="24" t="s">
        <v>568</v>
      </c>
      <c r="C502" s="25">
        <f t="shared" ca="1" si="7"/>
        <v>45854</v>
      </c>
      <c r="D502" s="24" t="s">
        <v>1078</v>
      </c>
    </row>
    <row r="503" spans="2:4" x14ac:dyDescent="0.25">
      <c r="B503" s="24" t="s">
        <v>631</v>
      </c>
      <c r="C503" s="25">
        <f t="shared" ca="1" si="7"/>
        <v>45841</v>
      </c>
      <c r="D503" s="24" t="s">
        <v>1073</v>
      </c>
    </row>
    <row r="504" spans="2:4" x14ac:dyDescent="0.25">
      <c r="B504" s="24" t="s">
        <v>695</v>
      </c>
      <c r="C504" s="25">
        <f t="shared" ca="1" si="7"/>
        <v>45893</v>
      </c>
      <c r="D504" s="24" t="s">
        <v>1073</v>
      </c>
    </row>
    <row r="505" spans="2:4" x14ac:dyDescent="0.25">
      <c r="B505" s="24" t="s">
        <v>150</v>
      </c>
      <c r="C505" s="25">
        <f t="shared" ca="1" si="7"/>
        <v>45721</v>
      </c>
      <c r="D505" s="24" t="s">
        <v>1075</v>
      </c>
    </row>
    <row r="506" spans="2:4" x14ac:dyDescent="0.25">
      <c r="B506" s="24" t="s">
        <v>302</v>
      </c>
      <c r="C506" s="25">
        <f t="shared" ca="1" si="7"/>
        <v>45762</v>
      </c>
      <c r="D506" s="24" t="s">
        <v>1080</v>
      </c>
    </row>
    <row r="507" spans="2:4" x14ac:dyDescent="0.25">
      <c r="B507" s="24" t="s">
        <v>759</v>
      </c>
      <c r="C507" s="25">
        <f t="shared" ca="1" si="7"/>
        <v>45916</v>
      </c>
      <c r="D507" s="24" t="s">
        <v>1073</v>
      </c>
    </row>
    <row r="508" spans="2:4" x14ac:dyDescent="0.25">
      <c r="B508" s="24" t="s">
        <v>168</v>
      </c>
      <c r="C508" s="25">
        <f t="shared" ca="1" si="7"/>
        <v>46134</v>
      </c>
      <c r="D508" s="24" t="s">
        <v>1073</v>
      </c>
    </row>
    <row r="509" spans="2:4" x14ac:dyDescent="0.25">
      <c r="B509" s="24" t="s">
        <v>817</v>
      </c>
      <c r="C509" s="25">
        <f t="shared" ca="1" si="7"/>
        <v>45922</v>
      </c>
      <c r="D509" s="24" t="s">
        <v>1072</v>
      </c>
    </row>
    <row r="510" spans="2:4" x14ac:dyDescent="0.25">
      <c r="B510" s="24" t="s">
        <v>314</v>
      </c>
      <c r="C510" s="25">
        <f t="shared" ca="1" si="7"/>
        <v>46018</v>
      </c>
      <c r="D510" s="24" t="s">
        <v>1070</v>
      </c>
    </row>
    <row r="511" spans="2:4" x14ac:dyDescent="0.25">
      <c r="B511" s="24" t="s">
        <v>619</v>
      </c>
      <c r="C511" s="25">
        <f t="shared" ca="1" si="7"/>
        <v>45777</v>
      </c>
      <c r="D511" s="24" t="s">
        <v>1077</v>
      </c>
    </row>
    <row r="512" spans="2:4" x14ac:dyDescent="0.25">
      <c r="B512" s="24" t="s">
        <v>560</v>
      </c>
      <c r="C512" s="25">
        <f t="shared" ca="1" si="7"/>
        <v>46013</v>
      </c>
      <c r="D512" s="24" t="s">
        <v>1073</v>
      </c>
    </row>
    <row r="513" spans="2:4" x14ac:dyDescent="0.25">
      <c r="B513" s="24" t="s">
        <v>632</v>
      </c>
      <c r="C513" s="25">
        <f t="shared" ca="1" si="7"/>
        <v>45929</v>
      </c>
      <c r="D513" s="24" t="s">
        <v>1071</v>
      </c>
    </row>
    <row r="514" spans="2:4" x14ac:dyDescent="0.25">
      <c r="B514" s="24" t="s">
        <v>364</v>
      </c>
      <c r="C514" s="25">
        <f t="shared" ca="1" si="7"/>
        <v>45959</v>
      </c>
      <c r="D514" s="24" t="s">
        <v>1076</v>
      </c>
    </row>
    <row r="515" spans="2:4" x14ac:dyDescent="0.25">
      <c r="B515" s="24" t="s">
        <v>965</v>
      </c>
      <c r="C515" s="25">
        <f t="shared" ca="1" si="7"/>
        <v>46094</v>
      </c>
      <c r="D515" s="24" t="s">
        <v>1076</v>
      </c>
    </row>
    <row r="516" spans="2:4" x14ac:dyDescent="0.25">
      <c r="B516" s="24" t="s">
        <v>843</v>
      </c>
      <c r="C516" s="25">
        <f t="shared" ca="1" si="7"/>
        <v>46098</v>
      </c>
      <c r="D516" s="24" t="s">
        <v>1072</v>
      </c>
    </row>
    <row r="517" spans="2:4" x14ac:dyDescent="0.25">
      <c r="B517" s="24" t="s">
        <v>109</v>
      </c>
      <c r="C517" s="25">
        <f t="shared" ca="1" si="7"/>
        <v>45832</v>
      </c>
      <c r="D517" s="24" t="s">
        <v>1074</v>
      </c>
    </row>
    <row r="518" spans="2:4" x14ac:dyDescent="0.25">
      <c r="B518" s="24" t="s">
        <v>224</v>
      </c>
      <c r="C518" s="25">
        <f t="shared" ca="1" si="7"/>
        <v>45728</v>
      </c>
      <c r="D518" s="24" t="s">
        <v>1077</v>
      </c>
    </row>
    <row r="519" spans="2:4" x14ac:dyDescent="0.25">
      <c r="B519" s="24" t="s">
        <v>737</v>
      </c>
      <c r="C519" s="25">
        <f t="shared" ca="1" si="7"/>
        <v>46009</v>
      </c>
      <c r="D519" s="24" t="s">
        <v>1072</v>
      </c>
    </row>
    <row r="520" spans="2:4" x14ac:dyDescent="0.25">
      <c r="B520" s="24" t="s">
        <v>251</v>
      </c>
      <c r="C520" s="25">
        <f t="shared" ca="1" si="7"/>
        <v>45666</v>
      </c>
      <c r="D520" s="24" t="s">
        <v>1080</v>
      </c>
    </row>
    <row r="521" spans="2:4" x14ac:dyDescent="0.25">
      <c r="B521" s="24" t="s">
        <v>149</v>
      </c>
      <c r="C521" s="25">
        <f t="shared" ca="1" si="7"/>
        <v>45795</v>
      </c>
      <c r="D521" s="24" t="s">
        <v>1072</v>
      </c>
    </row>
    <row r="522" spans="2:4" x14ac:dyDescent="0.25">
      <c r="B522" s="24" t="s">
        <v>171</v>
      </c>
      <c r="C522" s="25">
        <f t="shared" ref="C522:C585" ca="1" si="8">RANDBETWEEN(DATE(2025,1,1),DATE(2026,5,30))</f>
        <v>46084</v>
      </c>
      <c r="D522" s="24" t="s">
        <v>1079</v>
      </c>
    </row>
    <row r="523" spans="2:4" x14ac:dyDescent="0.25">
      <c r="B523" s="24" t="s">
        <v>473</v>
      </c>
      <c r="C523" s="25">
        <f t="shared" ca="1" si="8"/>
        <v>45765</v>
      </c>
      <c r="D523" s="24" t="s">
        <v>1073</v>
      </c>
    </row>
    <row r="524" spans="2:4" x14ac:dyDescent="0.25">
      <c r="B524" s="24" t="s">
        <v>713</v>
      </c>
      <c r="C524" s="25">
        <f t="shared" ca="1" si="8"/>
        <v>45912</v>
      </c>
      <c r="D524" s="24" t="s">
        <v>1070</v>
      </c>
    </row>
    <row r="525" spans="2:4" x14ac:dyDescent="0.25">
      <c r="B525" s="24" t="s">
        <v>567</v>
      </c>
      <c r="C525" s="25">
        <f t="shared" ca="1" si="8"/>
        <v>46104</v>
      </c>
      <c r="D525" s="24" t="s">
        <v>1078</v>
      </c>
    </row>
    <row r="526" spans="2:4" x14ac:dyDescent="0.25">
      <c r="B526" s="24" t="s">
        <v>499</v>
      </c>
      <c r="C526" s="25">
        <f t="shared" ca="1" si="8"/>
        <v>46002</v>
      </c>
      <c r="D526" s="24" t="s">
        <v>1079</v>
      </c>
    </row>
    <row r="527" spans="2:4" x14ac:dyDescent="0.25">
      <c r="B527" s="24" t="s">
        <v>851</v>
      </c>
      <c r="C527" s="25">
        <f t="shared" ca="1" si="8"/>
        <v>46058</v>
      </c>
      <c r="D527" s="24" t="s">
        <v>1080</v>
      </c>
    </row>
    <row r="528" spans="2:4" x14ac:dyDescent="0.25">
      <c r="B528" s="24" t="s">
        <v>517</v>
      </c>
      <c r="C528" s="25">
        <f t="shared" ca="1" si="8"/>
        <v>45677</v>
      </c>
      <c r="D528" s="24" t="s">
        <v>1076</v>
      </c>
    </row>
    <row r="529" spans="2:4" x14ac:dyDescent="0.25">
      <c r="B529" s="24" t="s">
        <v>583</v>
      </c>
      <c r="C529" s="25">
        <f t="shared" ca="1" si="8"/>
        <v>46157</v>
      </c>
      <c r="D529" s="24" t="s">
        <v>1078</v>
      </c>
    </row>
    <row r="530" spans="2:4" x14ac:dyDescent="0.25">
      <c r="B530" s="24" t="s">
        <v>1048</v>
      </c>
      <c r="C530" s="25">
        <f t="shared" ca="1" si="8"/>
        <v>45855</v>
      </c>
      <c r="D530" s="24" t="s">
        <v>1072</v>
      </c>
    </row>
    <row r="531" spans="2:4" x14ac:dyDescent="0.25">
      <c r="B531" s="24" t="s">
        <v>246</v>
      </c>
      <c r="C531" s="25">
        <f t="shared" ca="1" si="8"/>
        <v>45735</v>
      </c>
      <c r="D531" s="24" t="s">
        <v>1074</v>
      </c>
    </row>
    <row r="532" spans="2:4" x14ac:dyDescent="0.25">
      <c r="B532" s="24" t="s">
        <v>649</v>
      </c>
      <c r="C532" s="25">
        <f t="shared" ca="1" si="8"/>
        <v>45795</v>
      </c>
      <c r="D532" s="24" t="s">
        <v>1069</v>
      </c>
    </row>
    <row r="533" spans="2:4" x14ac:dyDescent="0.25">
      <c r="B533" s="24" t="s">
        <v>288</v>
      </c>
      <c r="C533" s="25">
        <f t="shared" ca="1" si="8"/>
        <v>45687</v>
      </c>
      <c r="D533" s="24" t="s">
        <v>1075</v>
      </c>
    </row>
    <row r="534" spans="2:4" x14ac:dyDescent="0.25">
      <c r="B534" s="24" t="s">
        <v>609</v>
      </c>
      <c r="C534" s="25">
        <f t="shared" ca="1" si="8"/>
        <v>45724</v>
      </c>
      <c r="D534" s="24" t="s">
        <v>1075</v>
      </c>
    </row>
    <row r="535" spans="2:4" x14ac:dyDescent="0.25">
      <c r="B535" s="24" t="s">
        <v>1112</v>
      </c>
      <c r="C535" s="25">
        <f t="shared" ca="1" si="8"/>
        <v>45847</v>
      </c>
      <c r="D535" s="24" t="s">
        <v>1080</v>
      </c>
    </row>
    <row r="536" spans="2:4" x14ac:dyDescent="0.25">
      <c r="B536" s="24" t="s">
        <v>403</v>
      </c>
      <c r="C536" s="25">
        <f t="shared" ca="1" si="8"/>
        <v>45853</v>
      </c>
      <c r="D536" s="24" t="s">
        <v>1070</v>
      </c>
    </row>
    <row r="537" spans="2:4" x14ac:dyDescent="0.25">
      <c r="B537" s="24" t="s">
        <v>151</v>
      </c>
      <c r="C537" s="25">
        <f t="shared" ca="1" si="8"/>
        <v>45758</v>
      </c>
      <c r="D537" s="24" t="s">
        <v>1075</v>
      </c>
    </row>
    <row r="538" spans="2:4" x14ac:dyDescent="0.25">
      <c r="B538" s="24" t="s">
        <v>565</v>
      </c>
      <c r="C538" s="25">
        <f t="shared" ca="1" si="8"/>
        <v>46036</v>
      </c>
      <c r="D538" s="24" t="s">
        <v>1076</v>
      </c>
    </row>
    <row r="539" spans="2:4" x14ac:dyDescent="0.25">
      <c r="B539" s="24" t="s">
        <v>516</v>
      </c>
      <c r="C539" s="25">
        <f t="shared" ca="1" si="8"/>
        <v>45884</v>
      </c>
      <c r="D539" s="24" t="s">
        <v>1071</v>
      </c>
    </row>
    <row r="540" spans="2:4" x14ac:dyDescent="0.25">
      <c r="B540" s="24" t="s">
        <v>794</v>
      </c>
      <c r="C540" s="25">
        <f t="shared" ca="1" si="8"/>
        <v>45761</v>
      </c>
      <c r="D540" s="24" t="s">
        <v>1072</v>
      </c>
    </row>
    <row r="541" spans="2:4" x14ac:dyDescent="0.25">
      <c r="B541" s="24" t="s">
        <v>541</v>
      </c>
      <c r="C541" s="25">
        <f t="shared" ca="1" si="8"/>
        <v>45942</v>
      </c>
      <c r="D541" s="24" t="s">
        <v>1069</v>
      </c>
    </row>
    <row r="542" spans="2:4" x14ac:dyDescent="0.25">
      <c r="B542" s="24" t="s">
        <v>270</v>
      </c>
      <c r="C542" s="25">
        <f t="shared" ca="1" si="8"/>
        <v>45806</v>
      </c>
      <c r="D542" s="24" t="s">
        <v>1078</v>
      </c>
    </row>
    <row r="543" spans="2:4" x14ac:dyDescent="0.25">
      <c r="B543" s="24" t="s">
        <v>778</v>
      </c>
      <c r="C543" s="25">
        <f t="shared" ca="1" si="8"/>
        <v>46087</v>
      </c>
      <c r="D543" s="24" t="s">
        <v>1072</v>
      </c>
    </row>
    <row r="544" spans="2:4" x14ac:dyDescent="0.25">
      <c r="B544" s="24" t="s">
        <v>170</v>
      </c>
      <c r="C544" s="25">
        <f t="shared" ca="1" si="8"/>
        <v>45876</v>
      </c>
      <c r="D544" s="24" t="s">
        <v>1073</v>
      </c>
    </row>
    <row r="545" spans="2:4" x14ac:dyDescent="0.25">
      <c r="B545" s="24" t="s">
        <v>248</v>
      </c>
      <c r="C545" s="25">
        <f t="shared" ca="1" si="8"/>
        <v>45807</v>
      </c>
      <c r="D545" s="24" t="s">
        <v>1069</v>
      </c>
    </row>
    <row r="546" spans="2:4" x14ac:dyDescent="0.25">
      <c r="B546" s="24" t="s">
        <v>580</v>
      </c>
      <c r="C546" s="25">
        <f t="shared" ca="1" si="8"/>
        <v>46099</v>
      </c>
      <c r="D546" s="24" t="s">
        <v>1079</v>
      </c>
    </row>
    <row r="547" spans="2:4" x14ac:dyDescent="0.25">
      <c r="B547" s="24" t="s">
        <v>784</v>
      </c>
      <c r="C547" s="25">
        <f t="shared" ca="1" si="8"/>
        <v>46022</v>
      </c>
      <c r="D547" s="24" t="s">
        <v>1071</v>
      </c>
    </row>
    <row r="548" spans="2:4" x14ac:dyDescent="0.25">
      <c r="B548" s="24" t="s">
        <v>556</v>
      </c>
      <c r="C548" s="25">
        <f t="shared" ca="1" si="8"/>
        <v>46129</v>
      </c>
      <c r="D548" s="24" t="s">
        <v>1077</v>
      </c>
    </row>
    <row r="549" spans="2:4" x14ac:dyDescent="0.25">
      <c r="B549" s="24" t="s">
        <v>888</v>
      </c>
      <c r="C549" s="25">
        <f t="shared" ca="1" si="8"/>
        <v>45731</v>
      </c>
      <c r="D549" s="24" t="s">
        <v>1074</v>
      </c>
    </row>
    <row r="550" spans="2:4" x14ac:dyDescent="0.25">
      <c r="B550" s="24" t="s">
        <v>414</v>
      </c>
      <c r="C550" s="25">
        <f t="shared" ca="1" si="8"/>
        <v>45707</v>
      </c>
      <c r="D550" s="24" t="s">
        <v>1073</v>
      </c>
    </row>
    <row r="551" spans="2:4" x14ac:dyDescent="0.25">
      <c r="B551" s="24" t="s">
        <v>569</v>
      </c>
      <c r="C551" s="25">
        <f t="shared" ca="1" si="8"/>
        <v>45869</v>
      </c>
      <c r="D551" s="24" t="s">
        <v>1079</v>
      </c>
    </row>
    <row r="552" spans="2:4" x14ac:dyDescent="0.25">
      <c r="B552" s="24" t="s">
        <v>329</v>
      </c>
      <c r="C552" s="25">
        <f t="shared" ca="1" si="8"/>
        <v>46165</v>
      </c>
      <c r="D552" s="24" t="s">
        <v>1075</v>
      </c>
    </row>
    <row r="553" spans="2:4" x14ac:dyDescent="0.25">
      <c r="B553" s="24" t="s">
        <v>555</v>
      </c>
      <c r="C553" s="25">
        <f t="shared" ca="1" si="8"/>
        <v>46126</v>
      </c>
      <c r="D553" s="24" t="s">
        <v>1076</v>
      </c>
    </row>
    <row r="554" spans="2:4" x14ac:dyDescent="0.25">
      <c r="B554" s="24" t="s">
        <v>172</v>
      </c>
      <c r="C554" s="25">
        <f t="shared" ca="1" si="8"/>
        <v>46059</v>
      </c>
      <c r="D554" s="24" t="s">
        <v>1071</v>
      </c>
    </row>
    <row r="555" spans="2:4" x14ac:dyDescent="0.25">
      <c r="B555" s="24" t="s">
        <v>795</v>
      </c>
      <c r="C555" s="25">
        <f t="shared" ca="1" si="8"/>
        <v>46153</v>
      </c>
      <c r="D555" s="24" t="s">
        <v>1080</v>
      </c>
    </row>
    <row r="556" spans="2:4" x14ac:dyDescent="0.25">
      <c r="B556" s="24" t="s">
        <v>565</v>
      </c>
      <c r="C556" s="25">
        <f t="shared" ca="1" si="8"/>
        <v>46118</v>
      </c>
      <c r="D556" s="24" t="s">
        <v>1079</v>
      </c>
    </row>
    <row r="557" spans="2:4" x14ac:dyDescent="0.25">
      <c r="B557" s="24" t="s">
        <v>160</v>
      </c>
      <c r="C557" s="25">
        <f t="shared" ca="1" si="8"/>
        <v>46068</v>
      </c>
      <c r="D557" s="24" t="s">
        <v>1071</v>
      </c>
    </row>
    <row r="558" spans="2:4" x14ac:dyDescent="0.25">
      <c r="B558" s="24" t="s">
        <v>268</v>
      </c>
      <c r="C558" s="25">
        <f t="shared" ca="1" si="8"/>
        <v>46068</v>
      </c>
      <c r="D558" s="24" t="s">
        <v>1079</v>
      </c>
    </row>
    <row r="559" spans="2:4" x14ac:dyDescent="0.25">
      <c r="B559" s="24" t="s">
        <v>310</v>
      </c>
      <c r="C559" s="25">
        <f t="shared" ca="1" si="8"/>
        <v>45804</v>
      </c>
      <c r="D559" s="24" t="s">
        <v>1075</v>
      </c>
    </row>
    <row r="560" spans="2:4" x14ac:dyDescent="0.25">
      <c r="B560" s="24" t="s">
        <v>651</v>
      </c>
      <c r="C560" s="25">
        <f t="shared" ca="1" si="8"/>
        <v>46061</v>
      </c>
      <c r="D560" s="24" t="s">
        <v>1075</v>
      </c>
    </row>
    <row r="561" spans="2:4" x14ac:dyDescent="0.25">
      <c r="B561" s="24" t="s">
        <v>1000</v>
      </c>
      <c r="C561" s="25">
        <f t="shared" ca="1" si="8"/>
        <v>45888</v>
      </c>
      <c r="D561" s="24" t="s">
        <v>1075</v>
      </c>
    </row>
    <row r="562" spans="2:4" x14ac:dyDescent="0.25">
      <c r="B562" s="24" t="s">
        <v>643</v>
      </c>
      <c r="C562" s="25">
        <f t="shared" ca="1" si="8"/>
        <v>45685</v>
      </c>
      <c r="D562" s="24" t="s">
        <v>1071</v>
      </c>
    </row>
    <row r="563" spans="2:4" x14ac:dyDescent="0.25">
      <c r="B563" s="24" t="s">
        <v>537</v>
      </c>
      <c r="C563" s="25">
        <f t="shared" ca="1" si="8"/>
        <v>46065</v>
      </c>
      <c r="D563" s="24" t="s">
        <v>1072</v>
      </c>
    </row>
    <row r="564" spans="2:4" x14ac:dyDescent="0.25">
      <c r="B564" s="24" t="s">
        <v>717</v>
      </c>
      <c r="C564" s="25">
        <f t="shared" ca="1" si="8"/>
        <v>45931</v>
      </c>
      <c r="D564" s="24" t="s">
        <v>1076</v>
      </c>
    </row>
    <row r="565" spans="2:4" x14ac:dyDescent="0.25">
      <c r="B565" s="24" t="s">
        <v>358</v>
      </c>
      <c r="C565" s="25">
        <f t="shared" ca="1" si="8"/>
        <v>45738</v>
      </c>
      <c r="D565" s="24" t="s">
        <v>1070</v>
      </c>
    </row>
    <row r="566" spans="2:4" x14ac:dyDescent="0.25">
      <c r="B566" s="24" t="s">
        <v>278</v>
      </c>
      <c r="C566" s="25">
        <f t="shared" ca="1" si="8"/>
        <v>46118</v>
      </c>
      <c r="D566" s="24" t="s">
        <v>1074</v>
      </c>
    </row>
    <row r="567" spans="2:4" x14ac:dyDescent="0.25">
      <c r="B567" s="24" t="s">
        <v>111</v>
      </c>
      <c r="C567" s="25">
        <f t="shared" ca="1" si="8"/>
        <v>45863</v>
      </c>
      <c r="D567" s="24" t="s">
        <v>1078</v>
      </c>
    </row>
    <row r="568" spans="2:4" x14ac:dyDescent="0.25">
      <c r="B568" s="24" t="s">
        <v>180</v>
      </c>
      <c r="C568" s="25">
        <f t="shared" ca="1" si="8"/>
        <v>46056</v>
      </c>
      <c r="D568" s="24" t="s">
        <v>1072</v>
      </c>
    </row>
    <row r="569" spans="2:4" x14ac:dyDescent="0.25">
      <c r="B569" s="24" t="s">
        <v>779</v>
      </c>
      <c r="C569" s="25">
        <f t="shared" ca="1" si="8"/>
        <v>45943</v>
      </c>
      <c r="D569" s="24" t="s">
        <v>1075</v>
      </c>
    </row>
    <row r="570" spans="2:4" x14ac:dyDescent="0.25">
      <c r="B570" s="24" t="s">
        <v>609</v>
      </c>
      <c r="C570" s="25">
        <f t="shared" ca="1" si="8"/>
        <v>45797</v>
      </c>
      <c r="D570" s="24" t="s">
        <v>1074</v>
      </c>
    </row>
    <row r="571" spans="2:4" x14ac:dyDescent="0.25">
      <c r="B571" s="24" t="s">
        <v>243</v>
      </c>
      <c r="C571" s="25">
        <f t="shared" ca="1" si="8"/>
        <v>45665</v>
      </c>
      <c r="D571" s="24" t="s">
        <v>1069</v>
      </c>
    </row>
    <row r="572" spans="2:4" x14ac:dyDescent="0.25">
      <c r="B572" s="24" t="s">
        <v>177</v>
      </c>
      <c r="C572" s="25">
        <f t="shared" ca="1" si="8"/>
        <v>45779</v>
      </c>
      <c r="D572" s="24" t="s">
        <v>1074</v>
      </c>
    </row>
    <row r="573" spans="2:4" x14ac:dyDescent="0.25">
      <c r="B573" s="24" t="s">
        <v>798</v>
      </c>
      <c r="C573" s="25">
        <f t="shared" ca="1" si="8"/>
        <v>45903</v>
      </c>
      <c r="D573" s="24" t="s">
        <v>1073</v>
      </c>
    </row>
    <row r="574" spans="2:4" x14ac:dyDescent="0.25">
      <c r="B574" s="24" t="s">
        <v>157</v>
      </c>
      <c r="C574" s="25">
        <f t="shared" ca="1" si="8"/>
        <v>45753</v>
      </c>
      <c r="D574" s="24" t="s">
        <v>1070</v>
      </c>
    </row>
    <row r="575" spans="2:4" x14ac:dyDescent="0.25">
      <c r="B575" s="24" t="s">
        <v>329</v>
      </c>
      <c r="C575" s="25">
        <f t="shared" ca="1" si="8"/>
        <v>45848</v>
      </c>
      <c r="D575" s="24" t="s">
        <v>1072</v>
      </c>
    </row>
    <row r="576" spans="2:4" x14ac:dyDescent="0.25">
      <c r="B576" s="24" t="s">
        <v>156</v>
      </c>
      <c r="C576" s="25">
        <f t="shared" ca="1" si="8"/>
        <v>45829</v>
      </c>
      <c r="D576" s="24" t="s">
        <v>1075</v>
      </c>
    </row>
    <row r="577" spans="2:4" x14ac:dyDescent="0.25">
      <c r="B577" s="24" t="s">
        <v>308</v>
      </c>
      <c r="C577" s="25">
        <f t="shared" ca="1" si="8"/>
        <v>45914</v>
      </c>
      <c r="D577" s="24" t="s">
        <v>1069</v>
      </c>
    </row>
    <row r="578" spans="2:4" x14ac:dyDescent="0.25">
      <c r="B578" s="24" t="s">
        <v>880</v>
      </c>
      <c r="C578" s="25">
        <f t="shared" ca="1" si="8"/>
        <v>45827</v>
      </c>
      <c r="D578" s="24" t="s">
        <v>1080</v>
      </c>
    </row>
    <row r="579" spans="2:4" x14ac:dyDescent="0.25">
      <c r="B579" s="24" t="s">
        <v>390</v>
      </c>
      <c r="C579" s="25">
        <f t="shared" ca="1" si="8"/>
        <v>45837</v>
      </c>
      <c r="D579" s="24" t="s">
        <v>1071</v>
      </c>
    </row>
    <row r="580" spans="2:4" x14ac:dyDescent="0.25">
      <c r="B580" s="24" t="s">
        <v>309</v>
      </c>
      <c r="C580" s="25">
        <f t="shared" ca="1" si="8"/>
        <v>45877</v>
      </c>
      <c r="D580" s="24" t="s">
        <v>1071</v>
      </c>
    </row>
    <row r="581" spans="2:4" x14ac:dyDescent="0.25">
      <c r="B581" s="24" t="s">
        <v>1087</v>
      </c>
      <c r="C581" s="25">
        <f t="shared" ca="1" si="8"/>
        <v>45804</v>
      </c>
      <c r="D581" s="24" t="s">
        <v>1079</v>
      </c>
    </row>
    <row r="582" spans="2:4" x14ac:dyDescent="0.25">
      <c r="B582" s="24" t="s">
        <v>842</v>
      </c>
      <c r="C582" s="25">
        <f t="shared" ca="1" si="8"/>
        <v>45779</v>
      </c>
      <c r="D582" s="24" t="s">
        <v>1069</v>
      </c>
    </row>
    <row r="583" spans="2:4" x14ac:dyDescent="0.25">
      <c r="B583" s="24" t="s">
        <v>584</v>
      </c>
      <c r="C583" s="25">
        <f t="shared" ca="1" si="8"/>
        <v>45909</v>
      </c>
      <c r="D583" s="24" t="s">
        <v>1073</v>
      </c>
    </row>
    <row r="584" spans="2:4" x14ac:dyDescent="0.25">
      <c r="B584" s="24" t="s">
        <v>110</v>
      </c>
      <c r="C584" s="25">
        <f t="shared" ca="1" si="8"/>
        <v>46089</v>
      </c>
      <c r="D584" s="24" t="s">
        <v>1077</v>
      </c>
    </row>
    <row r="585" spans="2:4" x14ac:dyDescent="0.25">
      <c r="B585" s="24" t="s">
        <v>246</v>
      </c>
      <c r="C585" s="25">
        <f t="shared" ca="1" si="8"/>
        <v>46078</v>
      </c>
      <c r="D585" s="24" t="s">
        <v>1074</v>
      </c>
    </row>
    <row r="586" spans="2:4" x14ac:dyDescent="0.25">
      <c r="B586" s="24" t="s">
        <v>563</v>
      </c>
      <c r="C586" s="25">
        <f t="shared" ref="C586:C649" ca="1" si="9">RANDBETWEEN(DATE(2025,1,1),DATE(2026,5,30))</f>
        <v>45896</v>
      </c>
      <c r="D586" s="24" t="s">
        <v>1079</v>
      </c>
    </row>
    <row r="587" spans="2:4" x14ac:dyDescent="0.25">
      <c r="B587" s="24" t="s">
        <v>721</v>
      </c>
      <c r="C587" s="25">
        <f t="shared" ca="1" si="9"/>
        <v>45840</v>
      </c>
      <c r="D587" s="24" t="s">
        <v>1071</v>
      </c>
    </row>
    <row r="588" spans="2:4" x14ac:dyDescent="0.25">
      <c r="B588" s="24" t="s">
        <v>761</v>
      </c>
      <c r="C588" s="25">
        <f t="shared" ca="1" si="9"/>
        <v>46137</v>
      </c>
      <c r="D588" s="24" t="s">
        <v>1072</v>
      </c>
    </row>
    <row r="589" spans="2:4" x14ac:dyDescent="0.25">
      <c r="B589" s="24" t="s">
        <v>899</v>
      </c>
      <c r="C589" s="25">
        <f t="shared" ca="1" si="9"/>
        <v>45791</v>
      </c>
      <c r="D589" s="24" t="s">
        <v>1077</v>
      </c>
    </row>
    <row r="590" spans="2:4" x14ac:dyDescent="0.25">
      <c r="B590" s="24" t="s">
        <v>580</v>
      </c>
      <c r="C590" s="25">
        <f t="shared" ca="1" si="9"/>
        <v>45923</v>
      </c>
      <c r="D590" s="24" t="s">
        <v>1078</v>
      </c>
    </row>
    <row r="591" spans="2:4" x14ac:dyDescent="0.25">
      <c r="B591" s="24" t="s">
        <v>744</v>
      </c>
      <c r="C591" s="25">
        <f t="shared" ca="1" si="9"/>
        <v>45668</v>
      </c>
      <c r="D591" s="24" t="s">
        <v>1069</v>
      </c>
    </row>
    <row r="592" spans="2:4" x14ac:dyDescent="0.25">
      <c r="B592" s="24" t="s">
        <v>793</v>
      </c>
      <c r="C592" s="25">
        <f t="shared" ca="1" si="9"/>
        <v>45736</v>
      </c>
      <c r="D592" s="24" t="s">
        <v>1069</v>
      </c>
    </row>
    <row r="593" spans="2:4" x14ac:dyDescent="0.25">
      <c r="B593" s="24" t="s">
        <v>519</v>
      </c>
      <c r="C593" s="25">
        <f t="shared" ca="1" si="9"/>
        <v>46098</v>
      </c>
      <c r="D593" s="24" t="s">
        <v>1073</v>
      </c>
    </row>
    <row r="594" spans="2:4" x14ac:dyDescent="0.25">
      <c r="B594" s="24" t="s">
        <v>956</v>
      </c>
      <c r="C594" s="25">
        <f t="shared" ca="1" si="9"/>
        <v>45890</v>
      </c>
      <c r="D594" s="24" t="s">
        <v>1069</v>
      </c>
    </row>
    <row r="595" spans="2:4" x14ac:dyDescent="0.25">
      <c r="B595" s="24" t="s">
        <v>250</v>
      </c>
      <c r="C595" s="25">
        <f t="shared" ca="1" si="9"/>
        <v>45955</v>
      </c>
      <c r="D595" s="24" t="s">
        <v>1076</v>
      </c>
    </row>
    <row r="596" spans="2:4" x14ac:dyDescent="0.25">
      <c r="B596" s="24" t="s">
        <v>459</v>
      </c>
      <c r="C596" s="25">
        <f t="shared" ca="1" si="9"/>
        <v>45762</v>
      </c>
      <c r="D596" s="24" t="s">
        <v>1080</v>
      </c>
    </row>
    <row r="597" spans="2:4" x14ac:dyDescent="0.25">
      <c r="B597" s="24" t="s">
        <v>415</v>
      </c>
      <c r="C597" s="25">
        <f t="shared" ca="1" si="9"/>
        <v>46130</v>
      </c>
      <c r="D597" s="24" t="s">
        <v>1079</v>
      </c>
    </row>
    <row r="598" spans="2:4" x14ac:dyDescent="0.25">
      <c r="B598" s="24" t="s">
        <v>794</v>
      </c>
      <c r="C598" s="25">
        <f t="shared" ca="1" si="9"/>
        <v>45847</v>
      </c>
      <c r="D598" s="24" t="s">
        <v>1071</v>
      </c>
    </row>
    <row r="599" spans="2:4" x14ac:dyDescent="0.25">
      <c r="B599" s="24" t="s">
        <v>920</v>
      </c>
      <c r="C599" s="25">
        <f t="shared" ca="1" si="9"/>
        <v>45855</v>
      </c>
      <c r="D599" s="24" t="s">
        <v>1074</v>
      </c>
    </row>
    <row r="600" spans="2:4" x14ac:dyDescent="0.25">
      <c r="B600" s="24" t="s">
        <v>272</v>
      </c>
      <c r="C600" s="25">
        <f t="shared" ca="1" si="9"/>
        <v>46069</v>
      </c>
      <c r="D600" s="24" t="s">
        <v>1073</v>
      </c>
    </row>
    <row r="601" spans="2:4" x14ac:dyDescent="0.25">
      <c r="B601" s="24" t="s">
        <v>325</v>
      </c>
      <c r="C601" s="25">
        <f t="shared" ca="1" si="9"/>
        <v>45972</v>
      </c>
      <c r="D601" s="24" t="s">
        <v>1079</v>
      </c>
    </row>
    <row r="602" spans="2:4" x14ac:dyDescent="0.25">
      <c r="B602" s="24" t="s">
        <v>676</v>
      </c>
      <c r="C602" s="25">
        <f t="shared" ca="1" si="9"/>
        <v>46129</v>
      </c>
      <c r="D602" s="24" t="s">
        <v>1072</v>
      </c>
    </row>
    <row r="603" spans="2:4" x14ac:dyDescent="0.25">
      <c r="B603" s="24" t="s">
        <v>184</v>
      </c>
      <c r="C603" s="25">
        <f t="shared" ca="1" si="9"/>
        <v>46052</v>
      </c>
      <c r="D603" s="24" t="s">
        <v>1074</v>
      </c>
    </row>
    <row r="604" spans="2:4" x14ac:dyDescent="0.25">
      <c r="B604" s="24" t="s">
        <v>516</v>
      </c>
      <c r="C604" s="25">
        <f t="shared" ca="1" si="9"/>
        <v>45706</v>
      </c>
      <c r="D604" s="24" t="s">
        <v>1076</v>
      </c>
    </row>
    <row r="605" spans="2:4" x14ac:dyDescent="0.25">
      <c r="B605" s="24" t="s">
        <v>859</v>
      </c>
      <c r="C605" s="25">
        <f t="shared" ca="1" si="9"/>
        <v>45990</v>
      </c>
      <c r="D605" s="24" t="s">
        <v>1076</v>
      </c>
    </row>
    <row r="606" spans="2:4" x14ac:dyDescent="0.25">
      <c r="B606" s="24" t="s">
        <v>223</v>
      </c>
      <c r="C606" s="25">
        <f t="shared" ca="1" si="9"/>
        <v>46130</v>
      </c>
      <c r="D606" s="24" t="s">
        <v>1073</v>
      </c>
    </row>
    <row r="607" spans="2:4" x14ac:dyDescent="0.25">
      <c r="B607" s="24" t="s">
        <v>490</v>
      </c>
      <c r="C607" s="25">
        <f t="shared" ca="1" si="9"/>
        <v>45809</v>
      </c>
      <c r="D607" s="24" t="s">
        <v>1076</v>
      </c>
    </row>
    <row r="608" spans="2:4" x14ac:dyDescent="0.25">
      <c r="B608" s="24" t="s">
        <v>760</v>
      </c>
      <c r="C608" s="25">
        <f t="shared" ca="1" si="9"/>
        <v>46165</v>
      </c>
      <c r="D608" s="24" t="s">
        <v>1072</v>
      </c>
    </row>
    <row r="609" spans="2:4" x14ac:dyDescent="0.25">
      <c r="B609" s="24" t="s">
        <v>1097</v>
      </c>
      <c r="C609" s="25">
        <f t="shared" ca="1" si="9"/>
        <v>45825</v>
      </c>
      <c r="D609" s="24" t="s">
        <v>1077</v>
      </c>
    </row>
    <row r="610" spans="2:4" x14ac:dyDescent="0.25">
      <c r="B610" s="24" t="s">
        <v>534</v>
      </c>
      <c r="C610" s="25">
        <f t="shared" ca="1" si="9"/>
        <v>45901</v>
      </c>
      <c r="D610" s="24" t="s">
        <v>1073</v>
      </c>
    </row>
    <row r="611" spans="2:4" x14ac:dyDescent="0.25">
      <c r="B611" s="24" t="s">
        <v>1002</v>
      </c>
      <c r="C611" s="25">
        <f t="shared" ca="1" si="9"/>
        <v>46079</v>
      </c>
      <c r="D611" s="24" t="s">
        <v>1080</v>
      </c>
    </row>
    <row r="612" spans="2:4" x14ac:dyDescent="0.25">
      <c r="B612" s="24" t="s">
        <v>344</v>
      </c>
      <c r="C612" s="25">
        <f t="shared" ca="1" si="9"/>
        <v>46084</v>
      </c>
      <c r="D612" s="24" t="s">
        <v>1080</v>
      </c>
    </row>
    <row r="613" spans="2:4" x14ac:dyDescent="0.25">
      <c r="B613" s="24" t="s">
        <v>819</v>
      </c>
      <c r="C613" s="25">
        <f t="shared" ca="1" si="9"/>
        <v>45906</v>
      </c>
      <c r="D613" s="24" t="s">
        <v>1079</v>
      </c>
    </row>
    <row r="614" spans="2:4" x14ac:dyDescent="0.25">
      <c r="B614" s="24" t="s">
        <v>775</v>
      </c>
      <c r="C614" s="25">
        <f t="shared" ca="1" si="9"/>
        <v>45678</v>
      </c>
      <c r="D614" s="24" t="s">
        <v>1076</v>
      </c>
    </row>
    <row r="615" spans="2:4" x14ac:dyDescent="0.25">
      <c r="B615" s="24" t="s">
        <v>1050</v>
      </c>
      <c r="C615" s="25">
        <f t="shared" ca="1" si="9"/>
        <v>45983</v>
      </c>
      <c r="D615" s="24" t="s">
        <v>1077</v>
      </c>
    </row>
    <row r="616" spans="2:4" x14ac:dyDescent="0.25">
      <c r="B616" s="24" t="s">
        <v>815</v>
      </c>
      <c r="C616" s="25">
        <f t="shared" ca="1" si="9"/>
        <v>45987</v>
      </c>
      <c r="D616" s="24" t="s">
        <v>1070</v>
      </c>
    </row>
    <row r="617" spans="2:4" x14ac:dyDescent="0.25">
      <c r="B617" s="24" t="s">
        <v>440</v>
      </c>
      <c r="C617" s="25">
        <f t="shared" ca="1" si="9"/>
        <v>46110</v>
      </c>
      <c r="D617" s="24" t="s">
        <v>1079</v>
      </c>
    </row>
    <row r="618" spans="2:4" x14ac:dyDescent="0.25">
      <c r="B618" s="24" t="s">
        <v>612</v>
      </c>
      <c r="C618" s="25">
        <f t="shared" ca="1" si="9"/>
        <v>45680</v>
      </c>
      <c r="D618" s="24" t="s">
        <v>1079</v>
      </c>
    </row>
    <row r="619" spans="2:4" x14ac:dyDescent="0.25">
      <c r="B619" s="24" t="s">
        <v>496</v>
      </c>
      <c r="C619" s="25">
        <f t="shared" ca="1" si="9"/>
        <v>45902</v>
      </c>
      <c r="D619" s="24" t="s">
        <v>1073</v>
      </c>
    </row>
    <row r="620" spans="2:4" x14ac:dyDescent="0.25">
      <c r="B620" s="24" t="s">
        <v>570</v>
      </c>
      <c r="C620" s="25">
        <f t="shared" ca="1" si="9"/>
        <v>45962</v>
      </c>
      <c r="D620" s="24" t="s">
        <v>1070</v>
      </c>
    </row>
    <row r="621" spans="2:4" x14ac:dyDescent="0.25">
      <c r="B621" s="24" t="s">
        <v>1114</v>
      </c>
      <c r="C621" s="25">
        <f t="shared" ca="1" si="9"/>
        <v>46133</v>
      </c>
      <c r="D621" s="24" t="s">
        <v>1069</v>
      </c>
    </row>
    <row r="622" spans="2:4" x14ac:dyDescent="0.25">
      <c r="B622" s="24" t="s">
        <v>702</v>
      </c>
      <c r="C622" s="25">
        <f t="shared" ca="1" si="9"/>
        <v>45696</v>
      </c>
      <c r="D622" s="24" t="s">
        <v>1071</v>
      </c>
    </row>
    <row r="623" spans="2:4" x14ac:dyDescent="0.25">
      <c r="B623" s="24" t="s">
        <v>449</v>
      </c>
      <c r="C623" s="25">
        <f t="shared" ca="1" si="9"/>
        <v>45749</v>
      </c>
      <c r="D623" s="24" t="s">
        <v>1072</v>
      </c>
    </row>
    <row r="624" spans="2:4" x14ac:dyDescent="0.25">
      <c r="B624" s="24" t="s">
        <v>212</v>
      </c>
      <c r="C624" s="25">
        <f t="shared" ca="1" si="9"/>
        <v>45726</v>
      </c>
      <c r="D624" s="24" t="s">
        <v>1072</v>
      </c>
    </row>
    <row r="625" spans="2:4" x14ac:dyDescent="0.25">
      <c r="B625" s="24" t="s">
        <v>359</v>
      </c>
      <c r="C625" s="25">
        <f t="shared" ca="1" si="9"/>
        <v>46110</v>
      </c>
      <c r="D625" s="24" t="s">
        <v>1071</v>
      </c>
    </row>
    <row r="626" spans="2:4" x14ac:dyDescent="0.25">
      <c r="B626" s="24" t="s">
        <v>256</v>
      </c>
      <c r="C626" s="25">
        <f t="shared" ca="1" si="9"/>
        <v>46095</v>
      </c>
      <c r="D626" s="24" t="s">
        <v>1079</v>
      </c>
    </row>
    <row r="627" spans="2:4" x14ac:dyDescent="0.25">
      <c r="B627" s="24" t="s">
        <v>604</v>
      </c>
      <c r="C627" s="25">
        <f t="shared" ca="1" si="9"/>
        <v>45925</v>
      </c>
      <c r="D627" s="24" t="s">
        <v>1080</v>
      </c>
    </row>
    <row r="628" spans="2:4" x14ac:dyDescent="0.25">
      <c r="B628" s="24" t="s">
        <v>116</v>
      </c>
      <c r="C628" s="25">
        <f t="shared" ca="1" si="9"/>
        <v>45835</v>
      </c>
      <c r="D628" s="24" t="s">
        <v>1077</v>
      </c>
    </row>
    <row r="629" spans="2:4" x14ac:dyDescent="0.25">
      <c r="B629" s="24" t="s">
        <v>701</v>
      </c>
      <c r="C629" s="25">
        <f t="shared" ca="1" si="9"/>
        <v>45892</v>
      </c>
      <c r="D629" s="24" t="s">
        <v>1080</v>
      </c>
    </row>
    <row r="630" spans="2:4" x14ac:dyDescent="0.25">
      <c r="B630" s="24" t="s">
        <v>450</v>
      </c>
      <c r="C630" s="25">
        <f t="shared" ca="1" si="9"/>
        <v>46148</v>
      </c>
      <c r="D630" s="24" t="s">
        <v>1072</v>
      </c>
    </row>
    <row r="631" spans="2:4" x14ac:dyDescent="0.25">
      <c r="B631" s="24" t="s">
        <v>815</v>
      </c>
      <c r="C631" s="25">
        <f t="shared" ca="1" si="9"/>
        <v>46007</v>
      </c>
      <c r="D631" s="24" t="s">
        <v>1073</v>
      </c>
    </row>
    <row r="632" spans="2:4" x14ac:dyDescent="0.25">
      <c r="B632" s="24" t="s">
        <v>920</v>
      </c>
      <c r="C632" s="25">
        <f t="shared" ca="1" si="9"/>
        <v>45815</v>
      </c>
      <c r="D632" s="24" t="s">
        <v>1077</v>
      </c>
    </row>
    <row r="633" spans="2:4" x14ac:dyDescent="0.25">
      <c r="B633" s="24" t="s">
        <v>985</v>
      </c>
      <c r="C633" s="25">
        <f t="shared" ca="1" si="9"/>
        <v>45883</v>
      </c>
      <c r="D633" s="24" t="s">
        <v>1079</v>
      </c>
    </row>
    <row r="634" spans="2:4" x14ac:dyDescent="0.25">
      <c r="B634" s="24" t="s">
        <v>1033</v>
      </c>
      <c r="C634" s="25">
        <f t="shared" ca="1" si="9"/>
        <v>45896</v>
      </c>
      <c r="D634" s="24" t="s">
        <v>1074</v>
      </c>
    </row>
    <row r="635" spans="2:4" x14ac:dyDescent="0.25">
      <c r="B635" s="24" t="s">
        <v>585</v>
      </c>
      <c r="C635" s="25">
        <f t="shared" ca="1" si="9"/>
        <v>46017</v>
      </c>
      <c r="D635" s="24" t="s">
        <v>1077</v>
      </c>
    </row>
    <row r="636" spans="2:4" x14ac:dyDescent="0.25">
      <c r="B636" s="24" t="s">
        <v>1116</v>
      </c>
      <c r="C636" s="25">
        <f t="shared" ca="1" si="9"/>
        <v>46125</v>
      </c>
      <c r="D636" s="24" t="s">
        <v>1076</v>
      </c>
    </row>
    <row r="637" spans="2:4" x14ac:dyDescent="0.25">
      <c r="B637" s="24" t="s">
        <v>966</v>
      </c>
      <c r="C637" s="25">
        <f t="shared" ca="1" si="9"/>
        <v>46055</v>
      </c>
      <c r="D637" s="24" t="s">
        <v>1069</v>
      </c>
    </row>
    <row r="638" spans="2:4" x14ac:dyDescent="0.25">
      <c r="B638" s="24" t="s">
        <v>707</v>
      </c>
      <c r="C638" s="25">
        <f t="shared" ca="1" si="9"/>
        <v>45916</v>
      </c>
      <c r="D638" s="24" t="s">
        <v>1071</v>
      </c>
    </row>
    <row r="639" spans="2:4" x14ac:dyDescent="0.25">
      <c r="B639" s="24" t="s">
        <v>530</v>
      </c>
      <c r="C639" s="25">
        <f t="shared" ca="1" si="9"/>
        <v>45898</v>
      </c>
      <c r="D639" s="24" t="s">
        <v>1078</v>
      </c>
    </row>
    <row r="640" spans="2:4" x14ac:dyDescent="0.25">
      <c r="B640" s="24" t="s">
        <v>275</v>
      </c>
      <c r="C640" s="25">
        <f t="shared" ca="1" si="9"/>
        <v>46068</v>
      </c>
      <c r="D640" s="24" t="s">
        <v>1080</v>
      </c>
    </row>
    <row r="641" spans="2:4" x14ac:dyDescent="0.25">
      <c r="B641" s="24" t="s">
        <v>781</v>
      </c>
      <c r="C641" s="25">
        <f t="shared" ca="1" si="9"/>
        <v>46122</v>
      </c>
      <c r="D641" s="24" t="s">
        <v>1069</v>
      </c>
    </row>
    <row r="642" spans="2:4" x14ac:dyDescent="0.25">
      <c r="B642" s="24" t="s">
        <v>761</v>
      </c>
      <c r="C642" s="25">
        <f t="shared" ca="1" si="9"/>
        <v>45765</v>
      </c>
      <c r="D642" s="24" t="s">
        <v>1079</v>
      </c>
    </row>
    <row r="643" spans="2:4" x14ac:dyDescent="0.25">
      <c r="B643" s="24" t="s">
        <v>915</v>
      </c>
      <c r="C643" s="25">
        <f t="shared" ca="1" si="9"/>
        <v>46084</v>
      </c>
      <c r="D643" s="24" t="s">
        <v>1079</v>
      </c>
    </row>
    <row r="644" spans="2:4" x14ac:dyDescent="0.25">
      <c r="B644" s="24" t="s">
        <v>905</v>
      </c>
      <c r="C644" s="25">
        <f t="shared" ca="1" si="9"/>
        <v>46136</v>
      </c>
      <c r="D644" s="24" t="s">
        <v>1071</v>
      </c>
    </row>
    <row r="645" spans="2:4" x14ac:dyDescent="0.25">
      <c r="B645" s="24" t="s">
        <v>457</v>
      </c>
      <c r="C645" s="25">
        <f t="shared" ca="1" si="9"/>
        <v>45936</v>
      </c>
      <c r="D645" s="24" t="s">
        <v>1077</v>
      </c>
    </row>
    <row r="646" spans="2:4" x14ac:dyDescent="0.25">
      <c r="B646" s="24" t="s">
        <v>458</v>
      </c>
      <c r="C646" s="25">
        <f t="shared" ca="1" si="9"/>
        <v>45934</v>
      </c>
      <c r="D646" s="24" t="s">
        <v>1075</v>
      </c>
    </row>
    <row r="647" spans="2:4" x14ac:dyDescent="0.25">
      <c r="B647" s="24" t="s">
        <v>191</v>
      </c>
      <c r="C647" s="25">
        <f t="shared" ca="1" si="9"/>
        <v>45809</v>
      </c>
      <c r="D647" s="24" t="s">
        <v>1073</v>
      </c>
    </row>
    <row r="648" spans="2:4" x14ac:dyDescent="0.25">
      <c r="B648" s="24" t="s">
        <v>736</v>
      </c>
      <c r="C648" s="25">
        <f t="shared" ca="1" si="9"/>
        <v>45675</v>
      </c>
      <c r="D648" s="24" t="s">
        <v>1072</v>
      </c>
    </row>
    <row r="649" spans="2:4" x14ac:dyDescent="0.25">
      <c r="B649" s="24" t="s">
        <v>406</v>
      </c>
      <c r="C649" s="25">
        <f t="shared" ca="1" si="9"/>
        <v>46088</v>
      </c>
      <c r="D649" s="24" t="s">
        <v>1072</v>
      </c>
    </row>
    <row r="650" spans="2:4" x14ac:dyDescent="0.25">
      <c r="B650" s="24" t="s">
        <v>562</v>
      </c>
      <c r="C650" s="25">
        <f t="shared" ref="C650:C713" ca="1" si="10">RANDBETWEEN(DATE(2025,1,1),DATE(2026,5,30))</f>
        <v>45896</v>
      </c>
      <c r="D650" s="24" t="s">
        <v>1078</v>
      </c>
    </row>
    <row r="651" spans="2:4" x14ac:dyDescent="0.25">
      <c r="B651" s="24" t="s">
        <v>363</v>
      </c>
      <c r="C651" s="25">
        <f t="shared" ca="1" si="10"/>
        <v>46103</v>
      </c>
      <c r="D651" s="24" t="s">
        <v>1078</v>
      </c>
    </row>
    <row r="652" spans="2:4" x14ac:dyDescent="0.25">
      <c r="B652" s="24" t="s">
        <v>235</v>
      </c>
      <c r="C652" s="25">
        <f t="shared" ca="1" si="10"/>
        <v>45948</v>
      </c>
      <c r="D652" s="24" t="s">
        <v>1069</v>
      </c>
    </row>
    <row r="653" spans="2:4" x14ac:dyDescent="0.25">
      <c r="B653" s="24" t="s">
        <v>931</v>
      </c>
      <c r="C653" s="25">
        <f t="shared" ca="1" si="10"/>
        <v>45693</v>
      </c>
      <c r="D653" s="24" t="s">
        <v>1069</v>
      </c>
    </row>
    <row r="654" spans="2:4" x14ac:dyDescent="0.25">
      <c r="B654" s="24" t="s">
        <v>878</v>
      </c>
      <c r="C654" s="25">
        <f t="shared" ca="1" si="10"/>
        <v>45897</v>
      </c>
      <c r="D654" s="24" t="s">
        <v>1073</v>
      </c>
    </row>
    <row r="655" spans="2:4" x14ac:dyDescent="0.25">
      <c r="B655" s="24" t="s">
        <v>642</v>
      </c>
      <c r="C655" s="25">
        <f t="shared" ca="1" si="10"/>
        <v>45703</v>
      </c>
      <c r="D655" s="24" t="s">
        <v>1071</v>
      </c>
    </row>
    <row r="656" spans="2:4" x14ac:dyDescent="0.25">
      <c r="B656" s="24" t="s">
        <v>127</v>
      </c>
      <c r="C656" s="25">
        <f t="shared" ca="1" si="10"/>
        <v>45753</v>
      </c>
      <c r="D656" s="24" t="s">
        <v>1074</v>
      </c>
    </row>
    <row r="657" spans="2:4" x14ac:dyDescent="0.25">
      <c r="B657" s="24" t="s">
        <v>764</v>
      </c>
      <c r="C657" s="25">
        <f t="shared" ca="1" si="10"/>
        <v>45693</v>
      </c>
      <c r="D657" s="24" t="s">
        <v>1069</v>
      </c>
    </row>
    <row r="658" spans="2:4" x14ac:dyDescent="0.25">
      <c r="B658" s="24" t="s">
        <v>738</v>
      </c>
      <c r="C658" s="25">
        <f t="shared" ca="1" si="10"/>
        <v>45874</v>
      </c>
      <c r="D658" s="24" t="s">
        <v>1080</v>
      </c>
    </row>
    <row r="659" spans="2:4" x14ac:dyDescent="0.25">
      <c r="B659" s="24" t="s">
        <v>868</v>
      </c>
      <c r="C659" s="25">
        <f t="shared" ca="1" si="10"/>
        <v>46111</v>
      </c>
      <c r="D659" s="24" t="s">
        <v>1070</v>
      </c>
    </row>
    <row r="660" spans="2:4" x14ac:dyDescent="0.25">
      <c r="B660" s="24" t="s">
        <v>911</v>
      </c>
      <c r="C660" s="25">
        <f t="shared" ca="1" si="10"/>
        <v>45984</v>
      </c>
      <c r="D660" s="24" t="s">
        <v>1077</v>
      </c>
    </row>
    <row r="661" spans="2:4" x14ac:dyDescent="0.25">
      <c r="B661" s="24" t="s">
        <v>485</v>
      </c>
      <c r="C661" s="25">
        <f t="shared" ca="1" si="10"/>
        <v>45922</v>
      </c>
      <c r="D661" s="24" t="s">
        <v>1077</v>
      </c>
    </row>
    <row r="662" spans="2:4" x14ac:dyDescent="0.25">
      <c r="B662" s="24" t="s">
        <v>464</v>
      </c>
      <c r="C662" s="25">
        <f t="shared" ca="1" si="10"/>
        <v>45679</v>
      </c>
      <c r="D662" s="24" t="s">
        <v>1079</v>
      </c>
    </row>
    <row r="663" spans="2:4" x14ac:dyDescent="0.25">
      <c r="B663" s="24" t="s">
        <v>1039</v>
      </c>
      <c r="C663" s="25">
        <f t="shared" ca="1" si="10"/>
        <v>46128</v>
      </c>
      <c r="D663" s="24" t="s">
        <v>1075</v>
      </c>
    </row>
    <row r="664" spans="2:4" x14ac:dyDescent="0.25">
      <c r="B664" s="24" t="s">
        <v>418</v>
      </c>
      <c r="C664" s="25">
        <f t="shared" ca="1" si="10"/>
        <v>45747</v>
      </c>
      <c r="D664" s="24" t="s">
        <v>1069</v>
      </c>
    </row>
    <row r="665" spans="2:4" x14ac:dyDescent="0.25">
      <c r="B665" s="24" t="s">
        <v>1094</v>
      </c>
      <c r="C665" s="25">
        <f t="shared" ca="1" si="10"/>
        <v>45969</v>
      </c>
      <c r="D665" s="24" t="s">
        <v>1076</v>
      </c>
    </row>
    <row r="666" spans="2:4" x14ac:dyDescent="0.25">
      <c r="B666" s="24" t="s">
        <v>882</v>
      </c>
      <c r="C666" s="25">
        <f t="shared" ca="1" si="10"/>
        <v>46114</v>
      </c>
      <c r="D666" s="24" t="s">
        <v>1074</v>
      </c>
    </row>
    <row r="667" spans="2:4" x14ac:dyDescent="0.25">
      <c r="B667" s="24" t="s">
        <v>712</v>
      </c>
      <c r="C667" s="25">
        <f t="shared" ca="1" si="10"/>
        <v>45813</v>
      </c>
      <c r="D667" s="24" t="s">
        <v>1072</v>
      </c>
    </row>
    <row r="668" spans="2:4" x14ac:dyDescent="0.25">
      <c r="B668" s="24" t="s">
        <v>150</v>
      </c>
      <c r="C668" s="25">
        <f t="shared" ca="1" si="10"/>
        <v>45741</v>
      </c>
      <c r="D668" s="24" t="s">
        <v>1078</v>
      </c>
    </row>
    <row r="669" spans="2:4" x14ac:dyDescent="0.25">
      <c r="B669" s="24" t="s">
        <v>389</v>
      </c>
      <c r="C669" s="25">
        <f t="shared" ca="1" si="10"/>
        <v>45848</v>
      </c>
      <c r="D669" s="24" t="s">
        <v>1070</v>
      </c>
    </row>
    <row r="670" spans="2:4" x14ac:dyDescent="0.25">
      <c r="B670" s="24" t="s">
        <v>880</v>
      </c>
      <c r="C670" s="25">
        <f t="shared" ca="1" si="10"/>
        <v>45658</v>
      </c>
      <c r="D670" s="24" t="s">
        <v>1078</v>
      </c>
    </row>
    <row r="671" spans="2:4" x14ac:dyDescent="0.25">
      <c r="B671" s="24" t="s">
        <v>693</v>
      </c>
      <c r="C671" s="25">
        <f t="shared" ca="1" si="10"/>
        <v>45850</v>
      </c>
      <c r="D671" s="24" t="s">
        <v>1077</v>
      </c>
    </row>
    <row r="672" spans="2:4" x14ac:dyDescent="0.25">
      <c r="B672" s="24" t="s">
        <v>896</v>
      </c>
      <c r="C672" s="25">
        <f t="shared" ca="1" si="10"/>
        <v>45744</v>
      </c>
      <c r="D672" s="24" t="s">
        <v>1073</v>
      </c>
    </row>
    <row r="673" spans="2:4" x14ac:dyDescent="0.25">
      <c r="B673" s="24" t="s">
        <v>706</v>
      </c>
      <c r="C673" s="25">
        <f t="shared" ca="1" si="10"/>
        <v>45829</v>
      </c>
      <c r="D673" s="24" t="s">
        <v>1080</v>
      </c>
    </row>
    <row r="674" spans="2:4" x14ac:dyDescent="0.25">
      <c r="B674" s="24" t="s">
        <v>828</v>
      </c>
      <c r="C674" s="25">
        <f t="shared" ca="1" si="10"/>
        <v>45848</v>
      </c>
      <c r="D674" s="24" t="s">
        <v>1075</v>
      </c>
    </row>
    <row r="675" spans="2:4" x14ac:dyDescent="0.25">
      <c r="B675" s="24" t="s">
        <v>371</v>
      </c>
      <c r="C675" s="25">
        <f t="shared" ca="1" si="10"/>
        <v>46036</v>
      </c>
      <c r="D675" s="24" t="s">
        <v>1077</v>
      </c>
    </row>
    <row r="676" spans="2:4" x14ac:dyDescent="0.25">
      <c r="B676" s="24" t="s">
        <v>287</v>
      </c>
      <c r="C676" s="25">
        <f t="shared" ca="1" si="10"/>
        <v>45892</v>
      </c>
      <c r="D676" s="24" t="s">
        <v>1080</v>
      </c>
    </row>
    <row r="677" spans="2:4" x14ac:dyDescent="0.25">
      <c r="B677" s="24" t="s">
        <v>204</v>
      </c>
      <c r="C677" s="25">
        <f t="shared" ca="1" si="10"/>
        <v>46169</v>
      </c>
      <c r="D677" s="24" t="s">
        <v>1072</v>
      </c>
    </row>
    <row r="678" spans="2:4" x14ac:dyDescent="0.25">
      <c r="B678" s="24" t="s">
        <v>133</v>
      </c>
      <c r="C678" s="25">
        <f t="shared" ca="1" si="10"/>
        <v>45879</v>
      </c>
      <c r="D678" s="24" t="s">
        <v>1075</v>
      </c>
    </row>
    <row r="679" spans="2:4" x14ac:dyDescent="0.25">
      <c r="B679" s="24" t="s">
        <v>271</v>
      </c>
      <c r="C679" s="25">
        <f t="shared" ca="1" si="10"/>
        <v>46008</v>
      </c>
      <c r="D679" s="24" t="s">
        <v>1069</v>
      </c>
    </row>
    <row r="680" spans="2:4" x14ac:dyDescent="0.25">
      <c r="B680" s="24" t="s">
        <v>116</v>
      </c>
      <c r="C680" s="25">
        <f t="shared" ca="1" si="10"/>
        <v>46066</v>
      </c>
      <c r="D680" s="24" t="s">
        <v>1072</v>
      </c>
    </row>
    <row r="681" spans="2:4" x14ac:dyDescent="0.25">
      <c r="B681" s="24" t="s">
        <v>389</v>
      </c>
      <c r="C681" s="25">
        <f t="shared" ca="1" si="10"/>
        <v>46092</v>
      </c>
      <c r="D681" s="24" t="s">
        <v>1071</v>
      </c>
    </row>
    <row r="682" spans="2:4" x14ac:dyDescent="0.25">
      <c r="B682" s="24" t="s">
        <v>658</v>
      </c>
      <c r="C682" s="25">
        <f t="shared" ca="1" si="10"/>
        <v>45721</v>
      </c>
      <c r="D682" s="24" t="s">
        <v>1071</v>
      </c>
    </row>
    <row r="683" spans="2:4" x14ac:dyDescent="0.25">
      <c r="B683" s="24" t="s">
        <v>566</v>
      </c>
      <c r="C683" s="25">
        <f t="shared" ca="1" si="10"/>
        <v>45942</v>
      </c>
      <c r="D683" s="24" t="s">
        <v>1075</v>
      </c>
    </row>
    <row r="684" spans="2:4" x14ac:dyDescent="0.25">
      <c r="B684" s="24" t="s">
        <v>975</v>
      </c>
      <c r="C684" s="25">
        <f t="shared" ca="1" si="10"/>
        <v>45675</v>
      </c>
      <c r="D684" s="24" t="s">
        <v>1077</v>
      </c>
    </row>
    <row r="685" spans="2:4" x14ac:dyDescent="0.25">
      <c r="B685" s="24" t="s">
        <v>712</v>
      </c>
      <c r="C685" s="25">
        <f t="shared" ca="1" si="10"/>
        <v>45948</v>
      </c>
      <c r="D685" s="24" t="s">
        <v>1076</v>
      </c>
    </row>
    <row r="686" spans="2:4" x14ac:dyDescent="0.25">
      <c r="B686" s="24" t="s">
        <v>378</v>
      </c>
      <c r="C686" s="25">
        <f t="shared" ca="1" si="10"/>
        <v>45680</v>
      </c>
      <c r="D686" s="24" t="s">
        <v>1072</v>
      </c>
    </row>
    <row r="687" spans="2:4" x14ac:dyDescent="0.25">
      <c r="B687" s="24" t="s">
        <v>592</v>
      </c>
      <c r="C687" s="25">
        <f t="shared" ca="1" si="10"/>
        <v>45828</v>
      </c>
      <c r="D687" s="24" t="s">
        <v>1077</v>
      </c>
    </row>
    <row r="688" spans="2:4" x14ac:dyDescent="0.25">
      <c r="B688" s="24" t="s">
        <v>783</v>
      </c>
      <c r="C688" s="25">
        <f t="shared" ca="1" si="10"/>
        <v>46012</v>
      </c>
      <c r="D688" s="24" t="s">
        <v>1077</v>
      </c>
    </row>
    <row r="689" spans="2:4" x14ac:dyDescent="0.25">
      <c r="B689" s="24" t="s">
        <v>1002</v>
      </c>
      <c r="C689" s="25">
        <f t="shared" ca="1" si="10"/>
        <v>45663</v>
      </c>
      <c r="D689" s="24" t="s">
        <v>1069</v>
      </c>
    </row>
    <row r="690" spans="2:4" x14ac:dyDescent="0.25">
      <c r="B690" s="24" t="s">
        <v>696</v>
      </c>
      <c r="C690" s="25">
        <f t="shared" ca="1" si="10"/>
        <v>45848</v>
      </c>
      <c r="D690" s="24" t="s">
        <v>1077</v>
      </c>
    </row>
    <row r="691" spans="2:4" x14ac:dyDescent="0.25">
      <c r="B691" s="24" t="s">
        <v>309</v>
      </c>
      <c r="C691" s="25">
        <f t="shared" ca="1" si="10"/>
        <v>45926</v>
      </c>
      <c r="D691" s="24" t="s">
        <v>1070</v>
      </c>
    </row>
    <row r="692" spans="2:4" x14ac:dyDescent="0.25">
      <c r="B692" s="24" t="s">
        <v>160</v>
      </c>
      <c r="C692" s="25">
        <f t="shared" ca="1" si="10"/>
        <v>46150</v>
      </c>
      <c r="D692" s="24" t="s">
        <v>1074</v>
      </c>
    </row>
    <row r="693" spans="2:4" x14ac:dyDescent="0.25">
      <c r="B693" s="24" t="s">
        <v>986</v>
      </c>
      <c r="C693" s="25">
        <f t="shared" ca="1" si="10"/>
        <v>45975</v>
      </c>
      <c r="D693" s="24" t="s">
        <v>1075</v>
      </c>
    </row>
    <row r="694" spans="2:4" x14ac:dyDescent="0.25">
      <c r="B694" s="24" t="s">
        <v>106</v>
      </c>
      <c r="C694" s="25">
        <f t="shared" ca="1" si="10"/>
        <v>45976</v>
      </c>
      <c r="D694" s="24" t="s">
        <v>1075</v>
      </c>
    </row>
    <row r="695" spans="2:4" x14ac:dyDescent="0.25">
      <c r="B695" s="24" t="s">
        <v>791</v>
      </c>
      <c r="C695" s="25">
        <f t="shared" ca="1" si="10"/>
        <v>45767</v>
      </c>
      <c r="D695" s="24" t="s">
        <v>1076</v>
      </c>
    </row>
    <row r="696" spans="2:4" x14ac:dyDescent="0.25">
      <c r="B696" s="24" t="s">
        <v>961</v>
      </c>
      <c r="C696" s="25">
        <f t="shared" ca="1" si="10"/>
        <v>45879</v>
      </c>
      <c r="D696" s="24" t="s">
        <v>1070</v>
      </c>
    </row>
    <row r="697" spans="2:4" x14ac:dyDescent="0.25">
      <c r="B697" s="24" t="s">
        <v>767</v>
      </c>
      <c r="C697" s="25">
        <f t="shared" ca="1" si="10"/>
        <v>45731</v>
      </c>
      <c r="D697" s="24" t="s">
        <v>1072</v>
      </c>
    </row>
    <row r="698" spans="2:4" x14ac:dyDescent="0.25">
      <c r="B698" s="24" t="s">
        <v>533</v>
      </c>
      <c r="C698" s="25">
        <f t="shared" ca="1" si="10"/>
        <v>46055</v>
      </c>
      <c r="D698" s="24" t="s">
        <v>1080</v>
      </c>
    </row>
    <row r="699" spans="2:4" x14ac:dyDescent="0.25">
      <c r="B699" s="24" t="s">
        <v>809</v>
      </c>
      <c r="C699" s="25">
        <f t="shared" ca="1" si="10"/>
        <v>45677</v>
      </c>
      <c r="D699" s="24" t="s">
        <v>1073</v>
      </c>
    </row>
    <row r="700" spans="2:4" x14ac:dyDescent="0.25">
      <c r="B700" s="24" t="s">
        <v>910</v>
      </c>
      <c r="C700" s="25">
        <f t="shared" ca="1" si="10"/>
        <v>46094</v>
      </c>
      <c r="D700" s="24" t="s">
        <v>1072</v>
      </c>
    </row>
    <row r="701" spans="2:4" x14ac:dyDescent="0.25">
      <c r="B701" s="24" t="s">
        <v>345</v>
      </c>
      <c r="C701" s="25">
        <f t="shared" ca="1" si="10"/>
        <v>45814</v>
      </c>
      <c r="D701" s="24" t="s">
        <v>1069</v>
      </c>
    </row>
    <row r="702" spans="2:4" x14ac:dyDescent="0.25">
      <c r="B702" s="24" t="s">
        <v>986</v>
      </c>
      <c r="C702" s="25">
        <f t="shared" ca="1" si="10"/>
        <v>46117</v>
      </c>
      <c r="D702" s="24" t="s">
        <v>1075</v>
      </c>
    </row>
    <row r="703" spans="2:4" x14ac:dyDescent="0.25">
      <c r="B703" s="24" t="s">
        <v>247</v>
      </c>
      <c r="C703" s="25">
        <f t="shared" ca="1" si="10"/>
        <v>46119</v>
      </c>
      <c r="D703" s="24" t="s">
        <v>1077</v>
      </c>
    </row>
    <row r="704" spans="2:4" x14ac:dyDescent="0.25">
      <c r="B704" s="24" t="s">
        <v>916</v>
      </c>
      <c r="C704" s="25">
        <f t="shared" ca="1" si="10"/>
        <v>45972</v>
      </c>
      <c r="D704" s="24" t="s">
        <v>1072</v>
      </c>
    </row>
    <row r="705" spans="2:4" x14ac:dyDescent="0.25">
      <c r="B705" s="24" t="s">
        <v>1114</v>
      </c>
      <c r="C705" s="25">
        <f t="shared" ca="1" si="10"/>
        <v>46113</v>
      </c>
      <c r="D705" s="24" t="s">
        <v>1079</v>
      </c>
    </row>
    <row r="706" spans="2:4" x14ac:dyDescent="0.25">
      <c r="B706" s="24" t="s">
        <v>980</v>
      </c>
      <c r="C706" s="25">
        <f t="shared" ca="1" si="10"/>
        <v>45670</v>
      </c>
      <c r="D706" s="24" t="s">
        <v>1071</v>
      </c>
    </row>
    <row r="707" spans="2:4" x14ac:dyDescent="0.25">
      <c r="B707" s="24" t="s">
        <v>590</v>
      </c>
      <c r="C707" s="25">
        <f t="shared" ca="1" si="10"/>
        <v>45846</v>
      </c>
      <c r="D707" s="24" t="s">
        <v>1069</v>
      </c>
    </row>
    <row r="708" spans="2:4" x14ac:dyDescent="0.25">
      <c r="B708" s="24" t="s">
        <v>683</v>
      </c>
      <c r="C708" s="25">
        <f t="shared" ca="1" si="10"/>
        <v>45956</v>
      </c>
      <c r="D708" s="24" t="s">
        <v>1072</v>
      </c>
    </row>
    <row r="709" spans="2:4" x14ac:dyDescent="0.25">
      <c r="B709" s="24" t="s">
        <v>302</v>
      </c>
      <c r="C709" s="25">
        <f t="shared" ca="1" si="10"/>
        <v>46121</v>
      </c>
      <c r="D709" s="24" t="s">
        <v>1072</v>
      </c>
    </row>
    <row r="710" spans="2:4" x14ac:dyDescent="0.25">
      <c r="B710" s="24" t="s">
        <v>1045</v>
      </c>
      <c r="C710" s="25">
        <f t="shared" ca="1" si="10"/>
        <v>45842</v>
      </c>
      <c r="D710" s="24" t="s">
        <v>1080</v>
      </c>
    </row>
    <row r="711" spans="2:4" x14ac:dyDescent="0.25">
      <c r="B711" s="24" t="s">
        <v>534</v>
      </c>
      <c r="C711" s="25">
        <f t="shared" ca="1" si="10"/>
        <v>45939</v>
      </c>
      <c r="D711" s="24" t="s">
        <v>1072</v>
      </c>
    </row>
    <row r="712" spans="2:4" x14ac:dyDescent="0.25">
      <c r="B712" s="24" t="s">
        <v>176</v>
      </c>
      <c r="C712" s="25">
        <f t="shared" ca="1" si="10"/>
        <v>45706</v>
      </c>
      <c r="D712" s="24" t="s">
        <v>1077</v>
      </c>
    </row>
    <row r="713" spans="2:4" x14ac:dyDescent="0.25">
      <c r="B713" s="24" t="s">
        <v>632</v>
      </c>
      <c r="C713" s="25">
        <f t="shared" ca="1" si="10"/>
        <v>45781</v>
      </c>
      <c r="D713" s="24" t="s">
        <v>1073</v>
      </c>
    </row>
    <row r="714" spans="2:4" x14ac:dyDescent="0.25">
      <c r="B714" s="24" t="s">
        <v>168</v>
      </c>
      <c r="C714" s="25">
        <f t="shared" ref="C714:C777" ca="1" si="11">RANDBETWEEN(DATE(2025,1,1),DATE(2026,5,30))</f>
        <v>45885</v>
      </c>
      <c r="D714" s="24" t="s">
        <v>1075</v>
      </c>
    </row>
    <row r="715" spans="2:4" x14ac:dyDescent="0.25">
      <c r="B715" s="24" t="s">
        <v>374</v>
      </c>
      <c r="C715" s="25">
        <f t="shared" ca="1" si="11"/>
        <v>45676</v>
      </c>
      <c r="D715" s="24" t="s">
        <v>1078</v>
      </c>
    </row>
    <row r="716" spans="2:4" x14ac:dyDescent="0.25">
      <c r="B716" s="24" t="s">
        <v>108</v>
      </c>
      <c r="C716" s="25">
        <f t="shared" ca="1" si="11"/>
        <v>45933</v>
      </c>
      <c r="D716" s="24" t="s">
        <v>1078</v>
      </c>
    </row>
    <row r="717" spans="2:4" x14ac:dyDescent="0.25">
      <c r="B717" s="24" t="s">
        <v>661</v>
      </c>
      <c r="C717" s="25">
        <f t="shared" ca="1" si="11"/>
        <v>45996</v>
      </c>
      <c r="D717" s="24" t="s">
        <v>1069</v>
      </c>
    </row>
    <row r="718" spans="2:4" x14ac:dyDescent="0.25">
      <c r="B718" s="24" t="s">
        <v>419</v>
      </c>
      <c r="C718" s="25">
        <f t="shared" ca="1" si="11"/>
        <v>46072</v>
      </c>
      <c r="D718" s="24" t="s">
        <v>1075</v>
      </c>
    </row>
    <row r="719" spans="2:4" x14ac:dyDescent="0.25">
      <c r="B719" s="24" t="s">
        <v>543</v>
      </c>
      <c r="C719" s="25">
        <f t="shared" ca="1" si="11"/>
        <v>45784</v>
      </c>
      <c r="D719" s="24" t="s">
        <v>1075</v>
      </c>
    </row>
    <row r="720" spans="2:4" x14ac:dyDescent="0.25">
      <c r="B720" s="24" t="s">
        <v>472</v>
      </c>
      <c r="C720" s="25">
        <f t="shared" ca="1" si="11"/>
        <v>45770</v>
      </c>
      <c r="D720" s="24" t="s">
        <v>1075</v>
      </c>
    </row>
    <row r="721" spans="2:4" x14ac:dyDescent="0.25">
      <c r="B721" s="24" t="s">
        <v>343</v>
      </c>
      <c r="C721" s="25">
        <f t="shared" ca="1" si="11"/>
        <v>45733</v>
      </c>
      <c r="D721" s="24" t="s">
        <v>1078</v>
      </c>
    </row>
    <row r="722" spans="2:4" x14ac:dyDescent="0.25">
      <c r="B722" s="24" t="s">
        <v>372</v>
      </c>
      <c r="C722" s="25">
        <f t="shared" ca="1" si="11"/>
        <v>46037</v>
      </c>
      <c r="D722" s="24" t="s">
        <v>1076</v>
      </c>
    </row>
    <row r="723" spans="2:4" x14ac:dyDescent="0.25">
      <c r="B723" s="24" t="s">
        <v>147</v>
      </c>
      <c r="C723" s="25">
        <f t="shared" ca="1" si="11"/>
        <v>46094</v>
      </c>
      <c r="D723" s="24" t="s">
        <v>1074</v>
      </c>
    </row>
    <row r="724" spans="2:4" x14ac:dyDescent="0.25">
      <c r="B724" s="24" t="s">
        <v>1081</v>
      </c>
      <c r="C724" s="25">
        <f t="shared" ca="1" si="11"/>
        <v>46118</v>
      </c>
      <c r="D724" s="24" t="s">
        <v>1080</v>
      </c>
    </row>
    <row r="725" spans="2:4" x14ac:dyDescent="0.25">
      <c r="B725" s="24" t="s">
        <v>498</v>
      </c>
      <c r="C725" s="25">
        <f t="shared" ca="1" si="11"/>
        <v>45990</v>
      </c>
      <c r="D725" s="24" t="s">
        <v>1079</v>
      </c>
    </row>
    <row r="726" spans="2:4" x14ac:dyDescent="0.25">
      <c r="B726" s="24" t="s">
        <v>596</v>
      </c>
      <c r="C726" s="25">
        <f t="shared" ca="1" si="11"/>
        <v>45862</v>
      </c>
      <c r="D726" s="24" t="s">
        <v>1072</v>
      </c>
    </row>
    <row r="727" spans="2:4" x14ac:dyDescent="0.25">
      <c r="B727" s="24" t="s">
        <v>384</v>
      </c>
      <c r="C727" s="25">
        <f t="shared" ca="1" si="11"/>
        <v>45721</v>
      </c>
      <c r="D727" s="24" t="s">
        <v>1077</v>
      </c>
    </row>
    <row r="728" spans="2:4" x14ac:dyDescent="0.25">
      <c r="B728" s="24" t="s">
        <v>843</v>
      </c>
      <c r="C728" s="25">
        <f t="shared" ca="1" si="11"/>
        <v>45731</v>
      </c>
      <c r="D728" s="24" t="s">
        <v>1078</v>
      </c>
    </row>
    <row r="729" spans="2:4" x14ac:dyDescent="0.25">
      <c r="B729" s="24" t="s">
        <v>378</v>
      </c>
      <c r="C729" s="25">
        <f t="shared" ca="1" si="11"/>
        <v>45715</v>
      </c>
      <c r="D729" s="24" t="s">
        <v>1075</v>
      </c>
    </row>
    <row r="730" spans="2:4" x14ac:dyDescent="0.25">
      <c r="B730" s="24" t="s">
        <v>207</v>
      </c>
      <c r="C730" s="25">
        <f t="shared" ca="1" si="11"/>
        <v>45979</v>
      </c>
      <c r="D730" s="24" t="s">
        <v>1069</v>
      </c>
    </row>
    <row r="731" spans="2:4" x14ac:dyDescent="0.25">
      <c r="B731" s="24" t="s">
        <v>144</v>
      </c>
      <c r="C731" s="25">
        <f t="shared" ca="1" si="11"/>
        <v>45659</v>
      </c>
      <c r="D731" s="24" t="s">
        <v>1070</v>
      </c>
    </row>
    <row r="732" spans="2:4" x14ac:dyDescent="0.25">
      <c r="B732" s="24" t="s">
        <v>673</v>
      </c>
      <c r="C732" s="25">
        <f t="shared" ca="1" si="11"/>
        <v>45700</v>
      </c>
      <c r="D732" s="24" t="s">
        <v>1079</v>
      </c>
    </row>
    <row r="733" spans="2:4" x14ac:dyDescent="0.25">
      <c r="B733" s="24" t="s">
        <v>104</v>
      </c>
      <c r="C733" s="25">
        <f t="shared" ca="1" si="11"/>
        <v>45999</v>
      </c>
      <c r="D733" s="24" t="s">
        <v>1070</v>
      </c>
    </row>
    <row r="734" spans="2:4" x14ac:dyDescent="0.25">
      <c r="B734" s="24" t="s">
        <v>292</v>
      </c>
      <c r="C734" s="25">
        <f t="shared" ca="1" si="11"/>
        <v>46119</v>
      </c>
      <c r="D734" s="24" t="s">
        <v>1072</v>
      </c>
    </row>
    <row r="735" spans="2:4" x14ac:dyDescent="0.25">
      <c r="B735" s="24" t="s">
        <v>412</v>
      </c>
      <c r="C735" s="25">
        <f t="shared" ca="1" si="11"/>
        <v>46106</v>
      </c>
      <c r="D735" s="24" t="s">
        <v>1072</v>
      </c>
    </row>
    <row r="736" spans="2:4" x14ac:dyDescent="0.25">
      <c r="B736" s="24" t="s">
        <v>578</v>
      </c>
      <c r="C736" s="25">
        <f t="shared" ca="1" si="11"/>
        <v>46052</v>
      </c>
      <c r="D736" s="24" t="s">
        <v>1077</v>
      </c>
    </row>
    <row r="737" spans="2:4" x14ac:dyDescent="0.25">
      <c r="B737" s="24" t="s">
        <v>178</v>
      </c>
      <c r="C737" s="25">
        <f t="shared" ca="1" si="11"/>
        <v>45744</v>
      </c>
      <c r="D737" s="24" t="s">
        <v>1079</v>
      </c>
    </row>
    <row r="738" spans="2:4" x14ac:dyDescent="0.25">
      <c r="B738" s="24" t="s">
        <v>486</v>
      </c>
      <c r="C738" s="25">
        <f t="shared" ca="1" si="11"/>
        <v>46147</v>
      </c>
      <c r="D738" s="24" t="s">
        <v>1077</v>
      </c>
    </row>
    <row r="739" spans="2:4" x14ac:dyDescent="0.25">
      <c r="B739" s="24" t="s">
        <v>841</v>
      </c>
      <c r="C739" s="25">
        <f t="shared" ca="1" si="11"/>
        <v>45892</v>
      </c>
      <c r="D739" s="24" t="s">
        <v>1069</v>
      </c>
    </row>
    <row r="740" spans="2:4" x14ac:dyDescent="0.25">
      <c r="B740" s="24" t="s">
        <v>387</v>
      </c>
      <c r="C740" s="25">
        <f t="shared" ca="1" si="11"/>
        <v>46043</v>
      </c>
      <c r="D740" s="24" t="s">
        <v>1077</v>
      </c>
    </row>
    <row r="741" spans="2:4" x14ac:dyDescent="0.25">
      <c r="B741" s="24" t="s">
        <v>995</v>
      </c>
      <c r="C741" s="25">
        <f t="shared" ca="1" si="11"/>
        <v>46075</v>
      </c>
      <c r="D741" s="24" t="s">
        <v>1073</v>
      </c>
    </row>
    <row r="742" spans="2:4" x14ac:dyDescent="0.25">
      <c r="B742" s="24" t="s">
        <v>441</v>
      </c>
      <c r="C742" s="25">
        <f t="shared" ca="1" si="11"/>
        <v>45824</v>
      </c>
      <c r="D742" s="24" t="s">
        <v>1075</v>
      </c>
    </row>
    <row r="743" spans="2:4" x14ac:dyDescent="0.25">
      <c r="B743" s="24" t="s">
        <v>250</v>
      </c>
      <c r="C743" s="25">
        <f t="shared" ca="1" si="11"/>
        <v>45919</v>
      </c>
      <c r="D743" s="24" t="s">
        <v>1070</v>
      </c>
    </row>
    <row r="744" spans="2:4" x14ac:dyDescent="0.25">
      <c r="B744" s="24" t="s">
        <v>184</v>
      </c>
      <c r="C744" s="25">
        <f t="shared" ca="1" si="11"/>
        <v>45736</v>
      </c>
      <c r="D744" s="24" t="s">
        <v>1077</v>
      </c>
    </row>
    <row r="745" spans="2:4" x14ac:dyDescent="0.25">
      <c r="B745" s="24" t="s">
        <v>403</v>
      </c>
      <c r="C745" s="25">
        <f t="shared" ca="1" si="11"/>
        <v>45782</v>
      </c>
      <c r="D745" s="24" t="s">
        <v>1079</v>
      </c>
    </row>
    <row r="746" spans="2:4" x14ac:dyDescent="0.25">
      <c r="B746" s="24" t="s">
        <v>313</v>
      </c>
      <c r="C746" s="25">
        <f t="shared" ca="1" si="11"/>
        <v>45708</v>
      </c>
      <c r="D746" s="24" t="s">
        <v>1070</v>
      </c>
    </row>
    <row r="747" spans="2:4" x14ac:dyDescent="0.25">
      <c r="B747" s="24" t="s">
        <v>1029</v>
      </c>
      <c r="C747" s="25">
        <f t="shared" ca="1" si="11"/>
        <v>45809</v>
      </c>
      <c r="D747" s="24" t="s">
        <v>1070</v>
      </c>
    </row>
    <row r="748" spans="2:4" x14ac:dyDescent="0.25">
      <c r="B748" s="24" t="s">
        <v>805</v>
      </c>
      <c r="C748" s="25">
        <f t="shared" ca="1" si="11"/>
        <v>45786</v>
      </c>
      <c r="D748" s="24" t="s">
        <v>1070</v>
      </c>
    </row>
    <row r="749" spans="2:4" x14ac:dyDescent="0.25">
      <c r="B749" s="24" t="s">
        <v>1046</v>
      </c>
      <c r="C749" s="25">
        <f t="shared" ca="1" si="11"/>
        <v>46090</v>
      </c>
      <c r="D749" s="24" t="s">
        <v>1080</v>
      </c>
    </row>
    <row r="750" spans="2:4" x14ac:dyDescent="0.25">
      <c r="B750" s="24" t="s">
        <v>270</v>
      </c>
      <c r="C750" s="25">
        <f t="shared" ca="1" si="11"/>
        <v>45778</v>
      </c>
      <c r="D750" s="24" t="s">
        <v>1077</v>
      </c>
    </row>
    <row r="751" spans="2:4" x14ac:dyDescent="0.25">
      <c r="B751" s="24" t="s">
        <v>739</v>
      </c>
      <c r="C751" s="25">
        <f t="shared" ca="1" si="11"/>
        <v>45900</v>
      </c>
      <c r="D751" s="24" t="s">
        <v>1078</v>
      </c>
    </row>
    <row r="752" spans="2:4" x14ac:dyDescent="0.25">
      <c r="B752" s="24" t="s">
        <v>413</v>
      </c>
      <c r="C752" s="25">
        <f t="shared" ca="1" si="11"/>
        <v>46117</v>
      </c>
      <c r="D752" s="24" t="s">
        <v>1074</v>
      </c>
    </row>
    <row r="753" spans="2:4" x14ac:dyDescent="0.25">
      <c r="B753" s="24" t="s">
        <v>979</v>
      </c>
      <c r="C753" s="25">
        <f t="shared" ca="1" si="11"/>
        <v>45823</v>
      </c>
      <c r="D753" s="24" t="s">
        <v>1079</v>
      </c>
    </row>
    <row r="754" spans="2:4" x14ac:dyDescent="0.25">
      <c r="B754" s="24" t="s">
        <v>987</v>
      </c>
      <c r="C754" s="25">
        <f t="shared" ca="1" si="11"/>
        <v>45703</v>
      </c>
      <c r="D754" s="24" t="s">
        <v>1078</v>
      </c>
    </row>
    <row r="755" spans="2:4" x14ac:dyDescent="0.25">
      <c r="B755" s="24" t="s">
        <v>628</v>
      </c>
      <c r="C755" s="25">
        <f t="shared" ca="1" si="11"/>
        <v>45835</v>
      </c>
      <c r="D755" s="24" t="s">
        <v>1080</v>
      </c>
    </row>
    <row r="756" spans="2:4" x14ac:dyDescent="0.25">
      <c r="B756" s="24" t="s">
        <v>848</v>
      </c>
      <c r="C756" s="25">
        <f t="shared" ca="1" si="11"/>
        <v>45963</v>
      </c>
      <c r="D756" s="24" t="s">
        <v>1073</v>
      </c>
    </row>
    <row r="757" spans="2:4" x14ac:dyDescent="0.25">
      <c r="B757" s="24" t="s">
        <v>239</v>
      </c>
      <c r="C757" s="25">
        <f t="shared" ca="1" si="11"/>
        <v>45886</v>
      </c>
      <c r="D757" s="24" t="s">
        <v>1075</v>
      </c>
    </row>
    <row r="758" spans="2:4" x14ac:dyDescent="0.25">
      <c r="B758" s="24" t="s">
        <v>225</v>
      </c>
      <c r="C758" s="25">
        <f t="shared" ca="1" si="11"/>
        <v>45865</v>
      </c>
      <c r="D758" s="24" t="s">
        <v>1078</v>
      </c>
    </row>
    <row r="759" spans="2:4" x14ac:dyDescent="0.25">
      <c r="B759" s="24" t="s">
        <v>1037</v>
      </c>
      <c r="C759" s="25">
        <f t="shared" ca="1" si="11"/>
        <v>46124</v>
      </c>
      <c r="D759" s="24" t="s">
        <v>1073</v>
      </c>
    </row>
    <row r="760" spans="2:4" x14ac:dyDescent="0.25">
      <c r="B760" s="24" t="s">
        <v>306</v>
      </c>
      <c r="C760" s="25">
        <f t="shared" ca="1" si="11"/>
        <v>45717</v>
      </c>
      <c r="D760" s="24" t="s">
        <v>1069</v>
      </c>
    </row>
    <row r="761" spans="2:4" x14ac:dyDescent="0.25">
      <c r="B761" s="24" t="s">
        <v>126</v>
      </c>
      <c r="C761" s="25">
        <f t="shared" ca="1" si="11"/>
        <v>46109</v>
      </c>
      <c r="D761" s="24" t="s">
        <v>1077</v>
      </c>
    </row>
    <row r="762" spans="2:4" x14ac:dyDescent="0.25">
      <c r="B762" s="24" t="s">
        <v>149</v>
      </c>
      <c r="C762" s="25">
        <f t="shared" ca="1" si="11"/>
        <v>46085</v>
      </c>
      <c r="D762" s="24" t="s">
        <v>1078</v>
      </c>
    </row>
    <row r="763" spans="2:4" x14ac:dyDescent="0.25">
      <c r="B763" s="24" t="s">
        <v>914</v>
      </c>
      <c r="C763" s="25">
        <f t="shared" ca="1" si="11"/>
        <v>46002</v>
      </c>
      <c r="D763" s="24" t="s">
        <v>1069</v>
      </c>
    </row>
    <row r="764" spans="2:4" x14ac:dyDescent="0.25">
      <c r="B764" s="24" t="s">
        <v>657</v>
      </c>
      <c r="C764" s="25">
        <f t="shared" ca="1" si="11"/>
        <v>45795</v>
      </c>
      <c r="D764" s="24" t="s">
        <v>1076</v>
      </c>
    </row>
    <row r="765" spans="2:4" x14ac:dyDescent="0.25">
      <c r="B765" s="24" t="s">
        <v>886</v>
      </c>
      <c r="C765" s="25">
        <f t="shared" ca="1" si="11"/>
        <v>45680</v>
      </c>
      <c r="D765" s="24" t="s">
        <v>1079</v>
      </c>
    </row>
    <row r="766" spans="2:4" x14ac:dyDescent="0.25">
      <c r="B766" s="24" t="s">
        <v>993</v>
      </c>
      <c r="C766" s="25">
        <f t="shared" ca="1" si="11"/>
        <v>45754</v>
      </c>
      <c r="D766" s="24" t="s">
        <v>1074</v>
      </c>
    </row>
    <row r="767" spans="2:4" x14ac:dyDescent="0.25">
      <c r="B767" s="24" t="s">
        <v>456</v>
      </c>
      <c r="C767" s="25">
        <f t="shared" ca="1" si="11"/>
        <v>46088</v>
      </c>
      <c r="D767" s="24" t="s">
        <v>1071</v>
      </c>
    </row>
    <row r="768" spans="2:4" x14ac:dyDescent="0.25">
      <c r="B768" s="24" t="s">
        <v>127</v>
      </c>
      <c r="C768" s="25">
        <f t="shared" ca="1" si="11"/>
        <v>45699</v>
      </c>
      <c r="D768" s="24" t="s">
        <v>1072</v>
      </c>
    </row>
    <row r="769" spans="2:4" x14ac:dyDescent="0.25">
      <c r="B769" s="24" t="s">
        <v>214</v>
      </c>
      <c r="C769" s="25">
        <f t="shared" ca="1" si="11"/>
        <v>45782</v>
      </c>
      <c r="D769" s="24" t="s">
        <v>1071</v>
      </c>
    </row>
    <row r="770" spans="2:4" x14ac:dyDescent="0.25">
      <c r="B770" s="24" t="s">
        <v>564</v>
      </c>
      <c r="C770" s="25">
        <f t="shared" ca="1" si="11"/>
        <v>45831</v>
      </c>
      <c r="D770" s="24" t="s">
        <v>1071</v>
      </c>
    </row>
    <row r="771" spans="2:4" x14ac:dyDescent="0.25">
      <c r="B771" s="24" t="s">
        <v>392</v>
      </c>
      <c r="C771" s="25">
        <f t="shared" ca="1" si="11"/>
        <v>45899</v>
      </c>
      <c r="D771" s="24" t="s">
        <v>1075</v>
      </c>
    </row>
    <row r="772" spans="2:4" x14ac:dyDescent="0.25">
      <c r="B772" s="24" t="s">
        <v>617</v>
      </c>
      <c r="C772" s="25">
        <f t="shared" ca="1" si="11"/>
        <v>46002</v>
      </c>
      <c r="D772" s="24" t="s">
        <v>1075</v>
      </c>
    </row>
    <row r="773" spans="2:4" x14ac:dyDescent="0.25">
      <c r="B773" s="24" t="s">
        <v>577</v>
      </c>
      <c r="C773" s="25">
        <f t="shared" ca="1" si="11"/>
        <v>45888</v>
      </c>
      <c r="D773" s="24" t="s">
        <v>1077</v>
      </c>
    </row>
    <row r="774" spans="2:4" x14ac:dyDescent="0.25">
      <c r="B774" s="24" t="s">
        <v>585</v>
      </c>
      <c r="C774" s="25">
        <f t="shared" ca="1" si="11"/>
        <v>46039</v>
      </c>
      <c r="D774" s="24" t="s">
        <v>1078</v>
      </c>
    </row>
    <row r="775" spans="2:4" x14ac:dyDescent="0.25">
      <c r="B775" s="24" t="s">
        <v>637</v>
      </c>
      <c r="C775" s="25">
        <f t="shared" ca="1" si="11"/>
        <v>46093</v>
      </c>
      <c r="D775" s="24" t="s">
        <v>1071</v>
      </c>
    </row>
    <row r="776" spans="2:4" x14ac:dyDescent="0.25">
      <c r="B776" s="24" t="s">
        <v>384</v>
      </c>
      <c r="C776" s="25">
        <f t="shared" ca="1" si="11"/>
        <v>45811</v>
      </c>
      <c r="D776" s="24" t="s">
        <v>1080</v>
      </c>
    </row>
    <row r="777" spans="2:4" x14ac:dyDescent="0.25">
      <c r="B777" s="24" t="s">
        <v>922</v>
      </c>
      <c r="C777" s="25">
        <f t="shared" ca="1" si="11"/>
        <v>45897</v>
      </c>
      <c r="D777" s="24" t="s">
        <v>1073</v>
      </c>
    </row>
    <row r="778" spans="2:4" x14ac:dyDescent="0.25">
      <c r="B778" s="24" t="s">
        <v>359</v>
      </c>
      <c r="C778" s="25">
        <f t="shared" ref="C778:C841" ca="1" si="12">RANDBETWEEN(DATE(2025,1,1),DATE(2026,5,30))</f>
        <v>45862</v>
      </c>
      <c r="D778" s="24" t="s">
        <v>1070</v>
      </c>
    </row>
    <row r="779" spans="2:4" x14ac:dyDescent="0.25">
      <c r="B779" s="24" t="s">
        <v>755</v>
      </c>
      <c r="C779" s="25">
        <f t="shared" ca="1" si="12"/>
        <v>45925</v>
      </c>
      <c r="D779" s="24" t="s">
        <v>1074</v>
      </c>
    </row>
    <row r="780" spans="2:4" x14ac:dyDescent="0.25">
      <c r="B780" s="24" t="s">
        <v>382</v>
      </c>
      <c r="C780" s="25">
        <f t="shared" ca="1" si="12"/>
        <v>46098</v>
      </c>
      <c r="D780" s="24" t="s">
        <v>1076</v>
      </c>
    </row>
    <row r="781" spans="2:4" x14ac:dyDescent="0.25">
      <c r="B781" s="24" t="s">
        <v>1107</v>
      </c>
      <c r="C781" s="25">
        <f t="shared" ca="1" si="12"/>
        <v>45858</v>
      </c>
      <c r="D781" s="24" t="s">
        <v>1077</v>
      </c>
    </row>
    <row r="782" spans="2:4" x14ac:dyDescent="0.25">
      <c r="B782" s="24" t="s">
        <v>175</v>
      </c>
      <c r="C782" s="25">
        <f t="shared" ca="1" si="12"/>
        <v>45675</v>
      </c>
      <c r="D782" s="24" t="s">
        <v>1080</v>
      </c>
    </row>
    <row r="783" spans="2:4" x14ac:dyDescent="0.25">
      <c r="B783" s="24" t="s">
        <v>448</v>
      </c>
      <c r="C783" s="25">
        <f t="shared" ca="1" si="12"/>
        <v>45682</v>
      </c>
      <c r="D783" s="24" t="s">
        <v>1078</v>
      </c>
    </row>
    <row r="784" spans="2:4" x14ac:dyDescent="0.25">
      <c r="B784" s="24" t="s">
        <v>850</v>
      </c>
      <c r="C784" s="25">
        <f t="shared" ca="1" si="12"/>
        <v>46139</v>
      </c>
      <c r="D784" s="24" t="s">
        <v>1071</v>
      </c>
    </row>
    <row r="785" spans="2:4" x14ac:dyDescent="0.25">
      <c r="B785" s="24" t="s">
        <v>230</v>
      </c>
      <c r="C785" s="25">
        <f t="shared" ca="1" si="12"/>
        <v>45956</v>
      </c>
      <c r="D785" s="24" t="s">
        <v>1079</v>
      </c>
    </row>
    <row r="786" spans="2:4" x14ac:dyDescent="0.25">
      <c r="B786" s="24" t="s">
        <v>833</v>
      </c>
      <c r="C786" s="25">
        <f t="shared" ca="1" si="12"/>
        <v>46124</v>
      </c>
      <c r="D786" s="24" t="s">
        <v>1071</v>
      </c>
    </row>
    <row r="787" spans="2:4" x14ac:dyDescent="0.25">
      <c r="B787" s="24" t="s">
        <v>1040</v>
      </c>
      <c r="C787" s="25">
        <f t="shared" ca="1" si="12"/>
        <v>45859</v>
      </c>
      <c r="D787" s="24" t="s">
        <v>1079</v>
      </c>
    </row>
    <row r="788" spans="2:4" x14ac:dyDescent="0.25">
      <c r="B788" s="24" t="s">
        <v>823</v>
      </c>
      <c r="C788" s="25">
        <f t="shared" ca="1" si="12"/>
        <v>45889</v>
      </c>
      <c r="D788" s="24" t="s">
        <v>1070</v>
      </c>
    </row>
    <row r="789" spans="2:4" x14ac:dyDescent="0.25">
      <c r="B789" s="24" t="s">
        <v>453</v>
      </c>
      <c r="C789" s="25">
        <f t="shared" ca="1" si="12"/>
        <v>45667</v>
      </c>
      <c r="D789" s="24" t="s">
        <v>1073</v>
      </c>
    </row>
    <row r="790" spans="2:4" x14ac:dyDescent="0.25">
      <c r="B790" s="24" t="s">
        <v>213</v>
      </c>
      <c r="C790" s="25">
        <f t="shared" ca="1" si="12"/>
        <v>45960</v>
      </c>
      <c r="D790" s="24" t="s">
        <v>1076</v>
      </c>
    </row>
    <row r="791" spans="2:4" x14ac:dyDescent="0.25">
      <c r="B791" s="24" t="s">
        <v>975</v>
      </c>
      <c r="C791" s="25">
        <f t="shared" ca="1" si="12"/>
        <v>46143</v>
      </c>
      <c r="D791" s="24" t="s">
        <v>1070</v>
      </c>
    </row>
    <row r="792" spans="2:4" x14ac:dyDescent="0.25">
      <c r="B792" s="24" t="s">
        <v>570</v>
      </c>
      <c r="C792" s="25">
        <f t="shared" ca="1" si="12"/>
        <v>45754</v>
      </c>
      <c r="D792" s="24" t="s">
        <v>1078</v>
      </c>
    </row>
    <row r="793" spans="2:4" x14ac:dyDescent="0.25">
      <c r="B793" s="24" t="s">
        <v>258</v>
      </c>
      <c r="C793" s="25">
        <f t="shared" ca="1" si="12"/>
        <v>45895</v>
      </c>
      <c r="D793" s="24" t="s">
        <v>1079</v>
      </c>
    </row>
    <row r="794" spans="2:4" x14ac:dyDescent="0.25">
      <c r="B794" s="24" t="s">
        <v>604</v>
      </c>
      <c r="C794" s="25">
        <f t="shared" ca="1" si="12"/>
        <v>46101</v>
      </c>
      <c r="D794" s="24" t="s">
        <v>1069</v>
      </c>
    </row>
    <row r="795" spans="2:4" x14ac:dyDescent="0.25">
      <c r="B795" s="24" t="s">
        <v>435</v>
      </c>
      <c r="C795" s="25">
        <f t="shared" ca="1" si="12"/>
        <v>45701</v>
      </c>
      <c r="D795" s="24" t="s">
        <v>1069</v>
      </c>
    </row>
    <row r="796" spans="2:4" x14ac:dyDescent="0.25">
      <c r="B796" s="24" t="s">
        <v>131</v>
      </c>
      <c r="C796" s="25">
        <f t="shared" ca="1" si="12"/>
        <v>45685</v>
      </c>
      <c r="D796" s="24" t="s">
        <v>1079</v>
      </c>
    </row>
    <row r="797" spans="2:4" x14ac:dyDescent="0.25">
      <c r="B797" s="24" t="s">
        <v>983</v>
      </c>
      <c r="C797" s="25">
        <f t="shared" ca="1" si="12"/>
        <v>46101</v>
      </c>
      <c r="D797" s="24" t="s">
        <v>1073</v>
      </c>
    </row>
    <row r="798" spans="2:4" x14ac:dyDescent="0.25">
      <c r="B798" s="24" t="s">
        <v>409</v>
      </c>
      <c r="C798" s="25">
        <f t="shared" ca="1" si="12"/>
        <v>45853</v>
      </c>
      <c r="D798" s="24" t="s">
        <v>1075</v>
      </c>
    </row>
    <row r="799" spans="2:4" x14ac:dyDescent="0.25">
      <c r="B799" s="24" t="s">
        <v>623</v>
      </c>
      <c r="C799" s="25">
        <f t="shared" ca="1" si="12"/>
        <v>45803</v>
      </c>
      <c r="D799" s="24" t="s">
        <v>1074</v>
      </c>
    </row>
    <row r="800" spans="2:4" x14ac:dyDescent="0.25">
      <c r="B800" s="24" t="s">
        <v>783</v>
      </c>
      <c r="C800" s="25">
        <f t="shared" ca="1" si="12"/>
        <v>45800</v>
      </c>
      <c r="D800" s="24" t="s">
        <v>1070</v>
      </c>
    </row>
    <row r="801" spans="2:4" x14ac:dyDescent="0.25">
      <c r="B801" s="24" t="s">
        <v>448</v>
      </c>
      <c r="C801" s="25">
        <f t="shared" ca="1" si="12"/>
        <v>45802</v>
      </c>
      <c r="D801" s="24" t="s">
        <v>1072</v>
      </c>
    </row>
    <row r="802" spans="2:4" x14ac:dyDescent="0.25">
      <c r="B802" s="24" t="s">
        <v>483</v>
      </c>
      <c r="C802" s="25">
        <f t="shared" ca="1" si="12"/>
        <v>45712</v>
      </c>
      <c r="D802" s="24" t="s">
        <v>1074</v>
      </c>
    </row>
    <row r="803" spans="2:4" x14ac:dyDescent="0.25">
      <c r="B803" s="24" t="s">
        <v>462</v>
      </c>
      <c r="C803" s="25">
        <f t="shared" ca="1" si="12"/>
        <v>45757</v>
      </c>
      <c r="D803" s="24" t="s">
        <v>1078</v>
      </c>
    </row>
    <row r="804" spans="2:4" x14ac:dyDescent="0.25">
      <c r="B804" s="24" t="s">
        <v>643</v>
      </c>
      <c r="C804" s="25">
        <f t="shared" ca="1" si="12"/>
        <v>45805</v>
      </c>
      <c r="D804" s="24" t="s">
        <v>1069</v>
      </c>
    </row>
    <row r="805" spans="2:4" x14ac:dyDescent="0.25">
      <c r="B805" s="24" t="s">
        <v>266</v>
      </c>
      <c r="C805" s="25">
        <f t="shared" ca="1" si="12"/>
        <v>45707</v>
      </c>
      <c r="D805" s="24" t="s">
        <v>1075</v>
      </c>
    </row>
    <row r="806" spans="2:4" x14ac:dyDescent="0.25">
      <c r="B806" s="24" t="s">
        <v>722</v>
      </c>
      <c r="C806" s="25">
        <f t="shared" ca="1" si="12"/>
        <v>46162</v>
      </c>
      <c r="D806" s="24" t="s">
        <v>1073</v>
      </c>
    </row>
    <row r="807" spans="2:4" x14ac:dyDescent="0.25">
      <c r="B807" s="24" t="s">
        <v>964</v>
      </c>
      <c r="C807" s="25">
        <f t="shared" ca="1" si="12"/>
        <v>46143</v>
      </c>
      <c r="D807" s="24" t="s">
        <v>1080</v>
      </c>
    </row>
    <row r="808" spans="2:4" x14ac:dyDescent="0.25">
      <c r="B808" s="24" t="s">
        <v>1041</v>
      </c>
      <c r="C808" s="25">
        <f t="shared" ca="1" si="12"/>
        <v>46022</v>
      </c>
      <c r="D808" s="24" t="s">
        <v>1079</v>
      </c>
    </row>
    <row r="809" spans="2:4" x14ac:dyDescent="0.25">
      <c r="B809" s="24" t="s">
        <v>482</v>
      </c>
      <c r="C809" s="25">
        <f t="shared" ca="1" si="12"/>
        <v>46129</v>
      </c>
      <c r="D809" s="24" t="s">
        <v>1075</v>
      </c>
    </row>
    <row r="810" spans="2:4" x14ac:dyDescent="0.25">
      <c r="B810" s="24" t="s">
        <v>550</v>
      </c>
      <c r="C810" s="25">
        <f t="shared" ca="1" si="12"/>
        <v>45979</v>
      </c>
      <c r="D810" s="24" t="s">
        <v>1073</v>
      </c>
    </row>
    <row r="811" spans="2:4" x14ac:dyDescent="0.25">
      <c r="B811" s="24" t="s">
        <v>840</v>
      </c>
      <c r="C811" s="25">
        <f t="shared" ca="1" si="12"/>
        <v>45882</v>
      </c>
      <c r="D811" s="24" t="s">
        <v>1080</v>
      </c>
    </row>
    <row r="812" spans="2:4" x14ac:dyDescent="0.25">
      <c r="B812" s="24" t="s">
        <v>1082</v>
      </c>
      <c r="C812" s="25">
        <f t="shared" ca="1" si="12"/>
        <v>45803</v>
      </c>
      <c r="D812" s="24" t="s">
        <v>1080</v>
      </c>
    </row>
    <row r="813" spans="2:4" x14ac:dyDescent="0.25">
      <c r="B813" s="24" t="s">
        <v>1081</v>
      </c>
      <c r="C813" s="25">
        <f t="shared" ca="1" si="12"/>
        <v>46061</v>
      </c>
      <c r="D813" s="24" t="s">
        <v>1071</v>
      </c>
    </row>
    <row r="814" spans="2:4" x14ac:dyDescent="0.25">
      <c r="B814" s="24" t="s">
        <v>380</v>
      </c>
      <c r="C814" s="25">
        <f t="shared" ca="1" si="12"/>
        <v>46015</v>
      </c>
      <c r="D814" s="24" t="s">
        <v>1069</v>
      </c>
    </row>
    <row r="815" spans="2:4" x14ac:dyDescent="0.25">
      <c r="B815" s="24" t="s">
        <v>889</v>
      </c>
      <c r="C815" s="25">
        <f t="shared" ca="1" si="12"/>
        <v>45873</v>
      </c>
      <c r="D815" s="24" t="s">
        <v>1071</v>
      </c>
    </row>
    <row r="816" spans="2:4" x14ac:dyDescent="0.25">
      <c r="B816" s="24" t="s">
        <v>1095</v>
      </c>
      <c r="C816" s="25">
        <f t="shared" ca="1" si="12"/>
        <v>46155</v>
      </c>
      <c r="D816" s="24" t="s">
        <v>1073</v>
      </c>
    </row>
    <row r="817" spans="2:4" x14ac:dyDescent="0.25">
      <c r="B817" s="24" t="s">
        <v>289</v>
      </c>
      <c r="C817" s="25">
        <f t="shared" ca="1" si="12"/>
        <v>46115</v>
      </c>
      <c r="D817" s="24" t="s">
        <v>1069</v>
      </c>
    </row>
    <row r="818" spans="2:4" x14ac:dyDescent="0.25">
      <c r="B818" s="24" t="s">
        <v>153</v>
      </c>
      <c r="C818" s="25">
        <f t="shared" ca="1" si="12"/>
        <v>45959</v>
      </c>
      <c r="D818" s="24" t="s">
        <v>1069</v>
      </c>
    </row>
    <row r="819" spans="2:4" x14ac:dyDescent="0.25">
      <c r="B819" s="24" t="s">
        <v>584</v>
      </c>
      <c r="C819" s="25">
        <f t="shared" ca="1" si="12"/>
        <v>45677</v>
      </c>
      <c r="D819" s="24" t="s">
        <v>1072</v>
      </c>
    </row>
    <row r="820" spans="2:4" x14ac:dyDescent="0.25">
      <c r="B820" s="24" t="s">
        <v>229</v>
      </c>
      <c r="C820" s="25">
        <f t="shared" ca="1" si="12"/>
        <v>45917</v>
      </c>
      <c r="D820" s="24" t="s">
        <v>1075</v>
      </c>
    </row>
    <row r="821" spans="2:4" x14ac:dyDescent="0.25">
      <c r="B821" s="24" t="s">
        <v>410</v>
      </c>
      <c r="C821" s="25">
        <f t="shared" ca="1" si="12"/>
        <v>46052</v>
      </c>
      <c r="D821" s="24" t="s">
        <v>1073</v>
      </c>
    </row>
    <row r="822" spans="2:4" x14ac:dyDescent="0.25">
      <c r="B822" s="24" t="s">
        <v>803</v>
      </c>
      <c r="C822" s="25">
        <f t="shared" ca="1" si="12"/>
        <v>45894</v>
      </c>
      <c r="D822" s="24" t="s">
        <v>1077</v>
      </c>
    </row>
    <row r="823" spans="2:4" x14ac:dyDescent="0.25">
      <c r="B823" s="24" t="s">
        <v>510</v>
      </c>
      <c r="C823" s="25">
        <f t="shared" ca="1" si="12"/>
        <v>45891</v>
      </c>
      <c r="D823" s="24" t="s">
        <v>1074</v>
      </c>
    </row>
    <row r="824" spans="2:4" x14ac:dyDescent="0.25">
      <c r="B824" s="24" t="s">
        <v>904</v>
      </c>
      <c r="C824" s="25">
        <f t="shared" ca="1" si="12"/>
        <v>45849</v>
      </c>
      <c r="D824" s="24" t="s">
        <v>1076</v>
      </c>
    </row>
    <row r="825" spans="2:4" x14ac:dyDescent="0.25">
      <c r="B825" s="24" t="s">
        <v>1038</v>
      </c>
      <c r="C825" s="25">
        <f t="shared" ca="1" si="12"/>
        <v>45975</v>
      </c>
      <c r="D825" s="24" t="s">
        <v>1072</v>
      </c>
    </row>
    <row r="826" spans="2:4" x14ac:dyDescent="0.25">
      <c r="B826" s="24" t="s">
        <v>837</v>
      </c>
      <c r="C826" s="25">
        <f t="shared" ca="1" si="12"/>
        <v>46118</v>
      </c>
      <c r="D826" s="24" t="s">
        <v>1077</v>
      </c>
    </row>
    <row r="827" spans="2:4" x14ac:dyDescent="0.25">
      <c r="B827" s="24" t="s">
        <v>902</v>
      </c>
      <c r="C827" s="25">
        <f t="shared" ca="1" si="12"/>
        <v>45779</v>
      </c>
      <c r="D827" s="24" t="s">
        <v>1072</v>
      </c>
    </row>
    <row r="828" spans="2:4" x14ac:dyDescent="0.25">
      <c r="B828" s="24" t="s">
        <v>316</v>
      </c>
      <c r="C828" s="25">
        <f t="shared" ca="1" si="12"/>
        <v>45728</v>
      </c>
      <c r="D828" s="24" t="s">
        <v>1071</v>
      </c>
    </row>
    <row r="829" spans="2:4" x14ac:dyDescent="0.25">
      <c r="B829" s="24" t="s">
        <v>639</v>
      </c>
      <c r="C829" s="25">
        <f t="shared" ca="1" si="12"/>
        <v>45765</v>
      </c>
      <c r="D829" s="24" t="s">
        <v>1079</v>
      </c>
    </row>
    <row r="830" spans="2:4" x14ac:dyDescent="0.25">
      <c r="B830" s="24" t="s">
        <v>731</v>
      </c>
      <c r="C830" s="25">
        <f t="shared" ca="1" si="12"/>
        <v>45769</v>
      </c>
      <c r="D830" s="24" t="s">
        <v>1077</v>
      </c>
    </row>
    <row r="831" spans="2:4" x14ac:dyDescent="0.25">
      <c r="B831" s="24" t="s">
        <v>180</v>
      </c>
      <c r="C831" s="25">
        <f t="shared" ca="1" si="12"/>
        <v>46111</v>
      </c>
      <c r="D831" s="24" t="s">
        <v>1074</v>
      </c>
    </row>
    <row r="832" spans="2:4" x14ac:dyDescent="0.25">
      <c r="B832" s="24" t="s">
        <v>837</v>
      </c>
      <c r="C832" s="25">
        <f t="shared" ca="1" si="12"/>
        <v>46119</v>
      </c>
      <c r="D832" s="24" t="s">
        <v>1079</v>
      </c>
    </row>
    <row r="833" spans="2:4" x14ac:dyDescent="0.25">
      <c r="B833" s="24" t="s">
        <v>148</v>
      </c>
      <c r="C833" s="25">
        <f t="shared" ca="1" si="12"/>
        <v>46158</v>
      </c>
      <c r="D833" s="24" t="s">
        <v>1075</v>
      </c>
    </row>
    <row r="834" spans="2:4" x14ac:dyDescent="0.25">
      <c r="B834" s="24" t="s">
        <v>486</v>
      </c>
      <c r="C834" s="25">
        <f t="shared" ca="1" si="12"/>
        <v>46149</v>
      </c>
      <c r="D834" s="24" t="s">
        <v>1079</v>
      </c>
    </row>
    <row r="835" spans="2:4" x14ac:dyDescent="0.25">
      <c r="B835" s="24" t="s">
        <v>319</v>
      </c>
      <c r="C835" s="25">
        <f t="shared" ca="1" si="12"/>
        <v>45795</v>
      </c>
      <c r="D835" s="24" t="s">
        <v>1077</v>
      </c>
    </row>
    <row r="836" spans="2:4" x14ac:dyDescent="0.25">
      <c r="B836" s="24" t="s">
        <v>708</v>
      </c>
      <c r="C836" s="25">
        <f t="shared" ca="1" si="12"/>
        <v>46153</v>
      </c>
      <c r="D836" s="24" t="s">
        <v>1078</v>
      </c>
    </row>
    <row r="837" spans="2:4" x14ac:dyDescent="0.25">
      <c r="B837" s="24" t="s">
        <v>307</v>
      </c>
      <c r="C837" s="25">
        <f t="shared" ca="1" si="12"/>
        <v>45770</v>
      </c>
      <c r="D837" s="24" t="s">
        <v>1080</v>
      </c>
    </row>
    <row r="838" spans="2:4" x14ac:dyDescent="0.25">
      <c r="B838" s="24" t="s">
        <v>120</v>
      </c>
      <c r="C838" s="25">
        <f t="shared" ca="1" si="12"/>
        <v>45997</v>
      </c>
      <c r="D838" s="24" t="s">
        <v>1075</v>
      </c>
    </row>
    <row r="839" spans="2:4" x14ac:dyDescent="0.25">
      <c r="B839" s="24" t="s">
        <v>499</v>
      </c>
      <c r="C839" s="25">
        <f t="shared" ca="1" si="12"/>
        <v>46108</v>
      </c>
      <c r="D839" s="24" t="s">
        <v>1078</v>
      </c>
    </row>
    <row r="840" spans="2:4" x14ac:dyDescent="0.25">
      <c r="B840" s="24" t="s">
        <v>381</v>
      </c>
      <c r="C840" s="25">
        <f t="shared" ca="1" si="12"/>
        <v>45737</v>
      </c>
      <c r="D840" s="24" t="s">
        <v>1079</v>
      </c>
    </row>
    <row r="841" spans="2:4" x14ac:dyDescent="0.25">
      <c r="B841" s="24" t="s">
        <v>302</v>
      </c>
      <c r="C841" s="25">
        <f t="shared" ca="1" si="12"/>
        <v>46105</v>
      </c>
      <c r="D841" s="24" t="s">
        <v>1075</v>
      </c>
    </row>
    <row r="842" spans="2:4" x14ac:dyDescent="0.25">
      <c r="B842" s="24" t="s">
        <v>155</v>
      </c>
      <c r="C842" s="25">
        <f t="shared" ref="C842:C905" ca="1" si="13">RANDBETWEEN(DATE(2025,1,1),DATE(2026,5,30))</f>
        <v>45945</v>
      </c>
      <c r="D842" s="24" t="s">
        <v>1074</v>
      </c>
    </row>
    <row r="843" spans="2:4" x14ac:dyDescent="0.25">
      <c r="B843" s="24" t="s">
        <v>530</v>
      </c>
      <c r="C843" s="25">
        <f t="shared" ca="1" si="13"/>
        <v>46133</v>
      </c>
      <c r="D843" s="24" t="s">
        <v>1073</v>
      </c>
    </row>
    <row r="844" spans="2:4" x14ac:dyDescent="0.25">
      <c r="B844" s="24" t="s">
        <v>1098</v>
      </c>
      <c r="C844" s="25">
        <f t="shared" ca="1" si="13"/>
        <v>45908</v>
      </c>
      <c r="D844" s="24" t="s">
        <v>1071</v>
      </c>
    </row>
    <row r="845" spans="2:4" x14ac:dyDescent="0.25">
      <c r="B845" s="24" t="s">
        <v>194</v>
      </c>
      <c r="C845" s="25">
        <f t="shared" ca="1" si="13"/>
        <v>45996</v>
      </c>
      <c r="D845" s="24" t="s">
        <v>1078</v>
      </c>
    </row>
    <row r="846" spans="2:4" x14ac:dyDescent="0.25">
      <c r="B846" s="24" t="s">
        <v>150</v>
      </c>
      <c r="C846" s="25">
        <f t="shared" ca="1" si="13"/>
        <v>46168</v>
      </c>
      <c r="D846" s="24" t="s">
        <v>1069</v>
      </c>
    </row>
    <row r="847" spans="2:4" x14ac:dyDescent="0.25">
      <c r="B847" s="24" t="s">
        <v>357</v>
      </c>
      <c r="C847" s="25">
        <f t="shared" ca="1" si="13"/>
        <v>45782</v>
      </c>
      <c r="D847" s="24" t="s">
        <v>1073</v>
      </c>
    </row>
    <row r="848" spans="2:4" x14ac:dyDescent="0.25">
      <c r="B848" s="24" t="s">
        <v>288</v>
      </c>
      <c r="C848" s="25">
        <f t="shared" ca="1" si="13"/>
        <v>46061</v>
      </c>
      <c r="D848" s="24" t="s">
        <v>1077</v>
      </c>
    </row>
    <row r="849" spans="2:4" x14ac:dyDescent="0.25">
      <c r="B849" s="24" t="s">
        <v>425</v>
      </c>
      <c r="C849" s="25">
        <f t="shared" ca="1" si="13"/>
        <v>45703</v>
      </c>
      <c r="D849" s="24" t="s">
        <v>1073</v>
      </c>
    </row>
    <row r="850" spans="2:4" x14ac:dyDescent="0.25">
      <c r="B850" s="24" t="s">
        <v>169</v>
      </c>
      <c r="C850" s="25">
        <f t="shared" ca="1" si="13"/>
        <v>46099</v>
      </c>
      <c r="D850" s="24" t="s">
        <v>1073</v>
      </c>
    </row>
    <row r="851" spans="2:4" x14ac:dyDescent="0.25">
      <c r="B851" s="24" t="s">
        <v>549</v>
      </c>
      <c r="C851" s="25">
        <f t="shared" ca="1" si="13"/>
        <v>45785</v>
      </c>
      <c r="D851" s="24" t="s">
        <v>1079</v>
      </c>
    </row>
    <row r="852" spans="2:4" x14ac:dyDescent="0.25">
      <c r="B852" s="24" t="s">
        <v>282</v>
      </c>
      <c r="C852" s="25">
        <f t="shared" ca="1" si="13"/>
        <v>45781</v>
      </c>
      <c r="D852" s="24" t="s">
        <v>1080</v>
      </c>
    </row>
    <row r="853" spans="2:4" x14ac:dyDescent="0.25">
      <c r="B853" s="24" t="s">
        <v>352</v>
      </c>
      <c r="C853" s="25">
        <f t="shared" ca="1" si="13"/>
        <v>45768</v>
      </c>
      <c r="D853" s="24" t="s">
        <v>1073</v>
      </c>
    </row>
    <row r="854" spans="2:4" x14ac:dyDescent="0.25">
      <c r="B854" s="24" t="s">
        <v>291</v>
      </c>
      <c r="C854" s="25">
        <f t="shared" ca="1" si="13"/>
        <v>45876</v>
      </c>
      <c r="D854" s="24" t="s">
        <v>1069</v>
      </c>
    </row>
    <row r="855" spans="2:4" x14ac:dyDescent="0.25">
      <c r="B855" s="24" t="s">
        <v>839</v>
      </c>
      <c r="C855" s="25">
        <f t="shared" ca="1" si="13"/>
        <v>45753</v>
      </c>
      <c r="D855" s="24" t="s">
        <v>1072</v>
      </c>
    </row>
    <row r="856" spans="2:4" x14ac:dyDescent="0.25">
      <c r="B856" s="24" t="s">
        <v>576</v>
      </c>
      <c r="C856" s="25">
        <f t="shared" ca="1" si="13"/>
        <v>46163</v>
      </c>
      <c r="D856" s="24" t="s">
        <v>1070</v>
      </c>
    </row>
    <row r="857" spans="2:4" x14ac:dyDescent="0.25">
      <c r="B857" s="24" t="s">
        <v>690</v>
      </c>
      <c r="C857" s="25">
        <f t="shared" ca="1" si="13"/>
        <v>45965</v>
      </c>
      <c r="D857" s="24" t="s">
        <v>1072</v>
      </c>
    </row>
    <row r="858" spans="2:4" x14ac:dyDescent="0.25">
      <c r="B858" s="24" t="s">
        <v>119</v>
      </c>
      <c r="C858" s="25">
        <f t="shared" ca="1" si="13"/>
        <v>46058</v>
      </c>
      <c r="D858" s="24" t="s">
        <v>1078</v>
      </c>
    </row>
    <row r="859" spans="2:4" x14ac:dyDescent="0.25">
      <c r="B859" s="24" t="s">
        <v>608</v>
      </c>
      <c r="C859" s="25">
        <f t="shared" ca="1" si="13"/>
        <v>46081</v>
      </c>
      <c r="D859" s="24" t="s">
        <v>1079</v>
      </c>
    </row>
    <row r="860" spans="2:4" x14ac:dyDescent="0.25">
      <c r="B860" s="24" t="s">
        <v>479</v>
      </c>
      <c r="C860" s="25">
        <f t="shared" ca="1" si="13"/>
        <v>45763</v>
      </c>
      <c r="D860" s="24" t="s">
        <v>1070</v>
      </c>
    </row>
    <row r="861" spans="2:4" x14ac:dyDescent="0.25">
      <c r="B861" s="24" t="s">
        <v>1112</v>
      </c>
      <c r="C861" s="25">
        <f t="shared" ca="1" si="13"/>
        <v>46046</v>
      </c>
      <c r="D861" s="24" t="s">
        <v>1076</v>
      </c>
    </row>
    <row r="862" spans="2:4" x14ac:dyDescent="0.25">
      <c r="B862" s="24" t="s">
        <v>255</v>
      </c>
      <c r="C862" s="25">
        <f t="shared" ca="1" si="13"/>
        <v>46069</v>
      </c>
      <c r="D862" s="24" t="s">
        <v>1075</v>
      </c>
    </row>
    <row r="863" spans="2:4" x14ac:dyDescent="0.25">
      <c r="B863" s="24" t="s">
        <v>350</v>
      </c>
      <c r="C863" s="25">
        <f t="shared" ca="1" si="13"/>
        <v>45717</v>
      </c>
      <c r="D863" s="24" t="s">
        <v>1070</v>
      </c>
    </row>
    <row r="864" spans="2:4" x14ac:dyDescent="0.25">
      <c r="B864" s="24" t="s">
        <v>534</v>
      </c>
      <c r="C864" s="25">
        <f t="shared" ca="1" si="13"/>
        <v>46082</v>
      </c>
      <c r="D864" s="24" t="s">
        <v>1076</v>
      </c>
    </row>
    <row r="865" spans="2:4" x14ac:dyDescent="0.25">
      <c r="B865" s="24" t="s">
        <v>537</v>
      </c>
      <c r="C865" s="25">
        <f t="shared" ca="1" si="13"/>
        <v>45972</v>
      </c>
      <c r="D865" s="24" t="s">
        <v>1075</v>
      </c>
    </row>
    <row r="866" spans="2:4" x14ac:dyDescent="0.25">
      <c r="B866" s="24" t="s">
        <v>819</v>
      </c>
      <c r="C866" s="25">
        <f t="shared" ca="1" si="13"/>
        <v>46124</v>
      </c>
      <c r="D866" s="24" t="s">
        <v>1080</v>
      </c>
    </row>
    <row r="867" spans="2:4" x14ac:dyDescent="0.25">
      <c r="B867" s="24" t="s">
        <v>208</v>
      </c>
      <c r="C867" s="25">
        <f t="shared" ca="1" si="13"/>
        <v>45967</v>
      </c>
      <c r="D867" s="24" t="s">
        <v>1069</v>
      </c>
    </row>
    <row r="868" spans="2:4" x14ac:dyDescent="0.25">
      <c r="B868" s="24" t="s">
        <v>1098</v>
      </c>
      <c r="C868" s="25">
        <f t="shared" ca="1" si="13"/>
        <v>46094</v>
      </c>
      <c r="D868" s="24" t="s">
        <v>1071</v>
      </c>
    </row>
    <row r="869" spans="2:4" x14ac:dyDescent="0.25">
      <c r="B869" s="24" t="s">
        <v>942</v>
      </c>
      <c r="C869" s="25">
        <f t="shared" ca="1" si="13"/>
        <v>46034</v>
      </c>
      <c r="D869" s="24" t="s">
        <v>1078</v>
      </c>
    </row>
    <row r="870" spans="2:4" x14ac:dyDescent="0.25">
      <c r="B870" s="24" t="s">
        <v>976</v>
      </c>
      <c r="C870" s="25">
        <f t="shared" ca="1" si="13"/>
        <v>45771</v>
      </c>
      <c r="D870" s="24" t="s">
        <v>1079</v>
      </c>
    </row>
    <row r="871" spans="2:4" x14ac:dyDescent="0.25">
      <c r="B871" s="24" t="s">
        <v>462</v>
      </c>
      <c r="C871" s="25">
        <f t="shared" ca="1" si="13"/>
        <v>45808</v>
      </c>
      <c r="D871" s="24" t="s">
        <v>1078</v>
      </c>
    </row>
    <row r="872" spans="2:4" x14ac:dyDescent="0.25">
      <c r="B872" s="24" t="s">
        <v>667</v>
      </c>
      <c r="C872" s="25">
        <f t="shared" ca="1" si="13"/>
        <v>45989</v>
      </c>
      <c r="D872" s="24" t="s">
        <v>1074</v>
      </c>
    </row>
    <row r="873" spans="2:4" x14ac:dyDescent="0.25">
      <c r="B873" s="24" t="s">
        <v>626</v>
      </c>
      <c r="C873" s="25">
        <f t="shared" ca="1" si="13"/>
        <v>45992</v>
      </c>
      <c r="D873" s="24" t="s">
        <v>1074</v>
      </c>
    </row>
    <row r="874" spans="2:4" x14ac:dyDescent="0.25">
      <c r="B874" s="24" t="s">
        <v>395</v>
      </c>
      <c r="C874" s="25">
        <f t="shared" ca="1" si="13"/>
        <v>45824</v>
      </c>
      <c r="D874" s="24" t="s">
        <v>1072</v>
      </c>
    </row>
    <row r="875" spans="2:4" x14ac:dyDescent="0.25">
      <c r="B875" s="24" t="s">
        <v>1088</v>
      </c>
      <c r="C875" s="25">
        <f t="shared" ca="1" si="13"/>
        <v>45781</v>
      </c>
      <c r="D875" s="24" t="s">
        <v>1070</v>
      </c>
    </row>
    <row r="876" spans="2:4" x14ac:dyDescent="0.25">
      <c r="B876" s="24" t="s">
        <v>689</v>
      </c>
      <c r="C876" s="25">
        <f t="shared" ca="1" si="13"/>
        <v>46002</v>
      </c>
      <c r="D876" s="24" t="s">
        <v>1070</v>
      </c>
    </row>
    <row r="877" spans="2:4" x14ac:dyDescent="0.25">
      <c r="B877" s="24" t="s">
        <v>743</v>
      </c>
      <c r="C877" s="25">
        <f t="shared" ca="1" si="13"/>
        <v>45754</v>
      </c>
      <c r="D877" s="24" t="s">
        <v>1074</v>
      </c>
    </row>
    <row r="878" spans="2:4" x14ac:dyDescent="0.25">
      <c r="B878" s="24" t="s">
        <v>707</v>
      </c>
      <c r="C878" s="25">
        <f t="shared" ca="1" si="13"/>
        <v>45910</v>
      </c>
      <c r="D878" s="24" t="s">
        <v>1079</v>
      </c>
    </row>
    <row r="879" spans="2:4" x14ac:dyDescent="0.25">
      <c r="B879" s="24" t="s">
        <v>1088</v>
      </c>
      <c r="C879" s="25">
        <f t="shared" ca="1" si="13"/>
        <v>45685</v>
      </c>
      <c r="D879" s="24" t="s">
        <v>1080</v>
      </c>
    </row>
    <row r="880" spans="2:4" x14ac:dyDescent="0.25">
      <c r="B880" s="24" t="s">
        <v>751</v>
      </c>
      <c r="C880" s="25">
        <f t="shared" ca="1" si="13"/>
        <v>45762</v>
      </c>
      <c r="D880" s="24" t="s">
        <v>1070</v>
      </c>
    </row>
    <row r="881" spans="2:4" x14ac:dyDescent="0.25">
      <c r="B881" s="24" t="s">
        <v>882</v>
      </c>
      <c r="C881" s="25">
        <f t="shared" ca="1" si="13"/>
        <v>45661</v>
      </c>
      <c r="D881" s="24" t="s">
        <v>1071</v>
      </c>
    </row>
    <row r="882" spans="2:4" x14ac:dyDescent="0.25">
      <c r="B882" s="24" t="s">
        <v>147</v>
      </c>
      <c r="C882" s="25">
        <f t="shared" ca="1" si="13"/>
        <v>45755</v>
      </c>
      <c r="D882" s="24" t="s">
        <v>1078</v>
      </c>
    </row>
    <row r="883" spans="2:4" x14ac:dyDescent="0.25">
      <c r="B883" s="24" t="s">
        <v>178</v>
      </c>
      <c r="C883" s="25">
        <f t="shared" ca="1" si="13"/>
        <v>45875</v>
      </c>
      <c r="D883" s="24" t="s">
        <v>1077</v>
      </c>
    </row>
    <row r="884" spans="2:4" x14ac:dyDescent="0.25">
      <c r="B884" s="24" t="s">
        <v>253</v>
      </c>
      <c r="C884" s="25">
        <f t="shared" ca="1" si="13"/>
        <v>45855</v>
      </c>
      <c r="D884" s="24" t="s">
        <v>1077</v>
      </c>
    </row>
    <row r="885" spans="2:4" x14ac:dyDescent="0.25">
      <c r="B885" s="24" t="s">
        <v>524</v>
      </c>
      <c r="C885" s="25">
        <f t="shared" ca="1" si="13"/>
        <v>45702</v>
      </c>
      <c r="D885" s="24" t="s">
        <v>1071</v>
      </c>
    </row>
    <row r="886" spans="2:4" x14ac:dyDescent="0.25">
      <c r="B886" s="24" t="s">
        <v>868</v>
      </c>
      <c r="C886" s="25">
        <f t="shared" ca="1" si="13"/>
        <v>45786</v>
      </c>
      <c r="D886" s="24" t="s">
        <v>1078</v>
      </c>
    </row>
    <row r="887" spans="2:4" x14ac:dyDescent="0.25">
      <c r="B887" s="24" t="s">
        <v>254</v>
      </c>
      <c r="C887" s="25">
        <f t="shared" ca="1" si="13"/>
        <v>46049</v>
      </c>
      <c r="D887" s="24" t="s">
        <v>1076</v>
      </c>
    </row>
    <row r="888" spans="2:4" x14ac:dyDescent="0.25">
      <c r="B888" s="24" t="s">
        <v>805</v>
      </c>
      <c r="C888" s="25">
        <f t="shared" ca="1" si="13"/>
        <v>46124</v>
      </c>
      <c r="D888" s="24" t="s">
        <v>1074</v>
      </c>
    </row>
    <row r="889" spans="2:4" x14ac:dyDescent="0.25">
      <c r="B889" s="24" t="s">
        <v>504</v>
      </c>
      <c r="C889" s="25">
        <f t="shared" ca="1" si="13"/>
        <v>45957</v>
      </c>
      <c r="D889" s="24" t="s">
        <v>1071</v>
      </c>
    </row>
    <row r="890" spans="2:4" x14ac:dyDescent="0.25">
      <c r="B890" s="24" t="s">
        <v>645</v>
      </c>
      <c r="C890" s="25">
        <f t="shared" ca="1" si="13"/>
        <v>46163</v>
      </c>
      <c r="D890" s="24" t="s">
        <v>1078</v>
      </c>
    </row>
    <row r="891" spans="2:4" x14ac:dyDescent="0.25">
      <c r="B891" s="24" t="s">
        <v>771</v>
      </c>
      <c r="C891" s="25">
        <f t="shared" ca="1" si="13"/>
        <v>46081</v>
      </c>
      <c r="D891" s="24" t="s">
        <v>1079</v>
      </c>
    </row>
    <row r="892" spans="2:4" x14ac:dyDescent="0.25">
      <c r="B892" s="24" t="s">
        <v>863</v>
      </c>
      <c r="C892" s="25">
        <f t="shared" ca="1" si="13"/>
        <v>45687</v>
      </c>
      <c r="D892" s="24" t="s">
        <v>1076</v>
      </c>
    </row>
    <row r="893" spans="2:4" x14ac:dyDescent="0.25">
      <c r="B893" s="24" t="s">
        <v>578</v>
      </c>
      <c r="C893" s="25">
        <f t="shared" ca="1" si="13"/>
        <v>45830</v>
      </c>
      <c r="D893" s="24" t="s">
        <v>1070</v>
      </c>
    </row>
    <row r="894" spans="2:4" x14ac:dyDescent="0.25">
      <c r="B894" s="24" t="s">
        <v>197</v>
      </c>
      <c r="C894" s="25">
        <f t="shared" ca="1" si="13"/>
        <v>46047</v>
      </c>
      <c r="D894" s="24" t="s">
        <v>1072</v>
      </c>
    </row>
    <row r="895" spans="2:4" x14ac:dyDescent="0.25">
      <c r="B895" s="24" t="s">
        <v>397</v>
      </c>
      <c r="C895" s="25">
        <f t="shared" ca="1" si="13"/>
        <v>46040</v>
      </c>
      <c r="D895" s="24" t="s">
        <v>1073</v>
      </c>
    </row>
    <row r="896" spans="2:4" x14ac:dyDescent="0.25">
      <c r="B896" s="24" t="s">
        <v>116</v>
      </c>
      <c r="C896" s="25">
        <f t="shared" ca="1" si="13"/>
        <v>45927</v>
      </c>
      <c r="D896" s="24" t="s">
        <v>1073</v>
      </c>
    </row>
    <row r="897" spans="2:4" x14ac:dyDescent="0.25">
      <c r="B897" s="24" t="s">
        <v>881</v>
      </c>
      <c r="C897" s="25">
        <f t="shared" ca="1" si="13"/>
        <v>45715</v>
      </c>
      <c r="D897" s="24" t="s">
        <v>1073</v>
      </c>
    </row>
    <row r="898" spans="2:4" x14ac:dyDescent="0.25">
      <c r="B898" s="24" t="s">
        <v>748</v>
      </c>
      <c r="C898" s="25">
        <f t="shared" ca="1" si="13"/>
        <v>45746</v>
      </c>
      <c r="D898" s="24" t="s">
        <v>1079</v>
      </c>
    </row>
    <row r="899" spans="2:4" x14ac:dyDescent="0.25">
      <c r="B899" s="24" t="s">
        <v>372</v>
      </c>
      <c r="C899" s="25">
        <f t="shared" ca="1" si="13"/>
        <v>46151</v>
      </c>
      <c r="D899" s="24" t="s">
        <v>1073</v>
      </c>
    </row>
    <row r="900" spans="2:4" x14ac:dyDescent="0.25">
      <c r="B900" s="24" t="s">
        <v>954</v>
      </c>
      <c r="C900" s="25">
        <f t="shared" ca="1" si="13"/>
        <v>45823</v>
      </c>
      <c r="D900" s="24" t="s">
        <v>1070</v>
      </c>
    </row>
    <row r="901" spans="2:4" x14ac:dyDescent="0.25">
      <c r="B901" s="24" t="s">
        <v>467</v>
      </c>
      <c r="C901" s="25">
        <f t="shared" ca="1" si="13"/>
        <v>45969</v>
      </c>
      <c r="D901" s="24" t="s">
        <v>1071</v>
      </c>
    </row>
    <row r="902" spans="2:4" x14ac:dyDescent="0.25">
      <c r="B902" s="24" t="s">
        <v>606</v>
      </c>
      <c r="C902" s="25">
        <f t="shared" ca="1" si="13"/>
        <v>46010</v>
      </c>
      <c r="D902" s="24" t="s">
        <v>1074</v>
      </c>
    </row>
    <row r="903" spans="2:4" x14ac:dyDescent="0.25">
      <c r="B903" s="24" t="s">
        <v>121</v>
      </c>
      <c r="C903" s="25">
        <f t="shared" ca="1" si="13"/>
        <v>46057</v>
      </c>
      <c r="D903" s="24" t="s">
        <v>1078</v>
      </c>
    </row>
    <row r="904" spans="2:4" x14ac:dyDescent="0.25">
      <c r="B904" s="24" t="s">
        <v>168</v>
      </c>
      <c r="C904" s="25">
        <f t="shared" ca="1" si="13"/>
        <v>45729</v>
      </c>
      <c r="D904" s="24" t="s">
        <v>1076</v>
      </c>
    </row>
    <row r="905" spans="2:4" x14ac:dyDescent="0.25">
      <c r="B905" s="24" t="s">
        <v>722</v>
      </c>
      <c r="C905" s="25">
        <f t="shared" ca="1" si="13"/>
        <v>45929</v>
      </c>
      <c r="D905" s="24" t="s">
        <v>1078</v>
      </c>
    </row>
    <row r="906" spans="2:4" x14ac:dyDescent="0.25">
      <c r="B906" s="24" t="s">
        <v>536</v>
      </c>
      <c r="C906" s="25">
        <f t="shared" ref="C906:C969" ca="1" si="14">RANDBETWEEN(DATE(2025,1,1),DATE(2026,5,30))</f>
        <v>46060</v>
      </c>
      <c r="D906" s="24" t="s">
        <v>1078</v>
      </c>
    </row>
    <row r="907" spans="2:4" x14ac:dyDescent="0.25">
      <c r="B907" s="24" t="s">
        <v>675</v>
      </c>
      <c r="C907" s="25">
        <f t="shared" ca="1" si="14"/>
        <v>45860</v>
      </c>
      <c r="D907" s="24" t="s">
        <v>1069</v>
      </c>
    </row>
    <row r="908" spans="2:4" x14ac:dyDescent="0.25">
      <c r="B908" s="24" t="s">
        <v>178</v>
      </c>
      <c r="C908" s="25">
        <f t="shared" ca="1" si="14"/>
        <v>45914</v>
      </c>
      <c r="D908" s="24" t="s">
        <v>1071</v>
      </c>
    </row>
    <row r="909" spans="2:4" x14ac:dyDescent="0.25">
      <c r="B909" s="24" t="s">
        <v>973</v>
      </c>
      <c r="C909" s="25">
        <f t="shared" ca="1" si="14"/>
        <v>45879</v>
      </c>
      <c r="D909" s="24" t="s">
        <v>1079</v>
      </c>
    </row>
    <row r="910" spans="2:4" x14ac:dyDescent="0.25">
      <c r="B910" s="24" t="s">
        <v>343</v>
      </c>
      <c r="C910" s="25">
        <f t="shared" ca="1" si="14"/>
        <v>45804</v>
      </c>
      <c r="D910" s="24" t="s">
        <v>1070</v>
      </c>
    </row>
    <row r="911" spans="2:4" x14ac:dyDescent="0.25">
      <c r="B911" s="24" t="s">
        <v>269</v>
      </c>
      <c r="C911" s="25">
        <f t="shared" ca="1" si="14"/>
        <v>46043</v>
      </c>
      <c r="D911" s="24" t="s">
        <v>1077</v>
      </c>
    </row>
    <row r="912" spans="2:4" x14ac:dyDescent="0.25">
      <c r="B912" s="24" t="s">
        <v>735</v>
      </c>
      <c r="C912" s="25">
        <f t="shared" ca="1" si="14"/>
        <v>45790</v>
      </c>
      <c r="D912" s="24" t="s">
        <v>1075</v>
      </c>
    </row>
    <row r="913" spans="2:4" x14ac:dyDescent="0.25">
      <c r="B913" s="24" t="s">
        <v>929</v>
      </c>
      <c r="C913" s="25">
        <f t="shared" ca="1" si="14"/>
        <v>46085</v>
      </c>
      <c r="D913" s="24" t="s">
        <v>1075</v>
      </c>
    </row>
    <row r="914" spans="2:4" x14ac:dyDescent="0.25">
      <c r="B914" s="24" t="s">
        <v>333</v>
      </c>
      <c r="C914" s="25">
        <f t="shared" ca="1" si="14"/>
        <v>45783</v>
      </c>
      <c r="D914" s="24" t="s">
        <v>1071</v>
      </c>
    </row>
    <row r="915" spans="2:4" x14ac:dyDescent="0.25">
      <c r="B915" s="24" t="s">
        <v>694</v>
      </c>
      <c r="C915" s="25">
        <f t="shared" ca="1" si="14"/>
        <v>45946</v>
      </c>
      <c r="D915" s="24" t="s">
        <v>1071</v>
      </c>
    </row>
    <row r="916" spans="2:4" x14ac:dyDescent="0.25">
      <c r="B916" s="24" t="s">
        <v>385</v>
      </c>
      <c r="C916" s="25">
        <f t="shared" ca="1" si="14"/>
        <v>45677</v>
      </c>
      <c r="D916" s="24" t="s">
        <v>1077</v>
      </c>
    </row>
    <row r="917" spans="2:4" x14ac:dyDescent="0.25">
      <c r="B917" s="24" t="s">
        <v>193</v>
      </c>
      <c r="C917" s="25">
        <f t="shared" ca="1" si="14"/>
        <v>45927</v>
      </c>
      <c r="D917" s="24" t="s">
        <v>1079</v>
      </c>
    </row>
    <row r="918" spans="2:4" x14ac:dyDescent="0.25">
      <c r="B918" s="24" t="s">
        <v>829</v>
      </c>
      <c r="C918" s="25">
        <f t="shared" ca="1" si="14"/>
        <v>45947</v>
      </c>
      <c r="D918" s="24" t="s">
        <v>1073</v>
      </c>
    </row>
    <row r="919" spans="2:4" x14ac:dyDescent="0.25">
      <c r="B919" s="24" t="s">
        <v>950</v>
      </c>
      <c r="C919" s="25">
        <f t="shared" ca="1" si="14"/>
        <v>45744</v>
      </c>
      <c r="D919" s="24" t="s">
        <v>1079</v>
      </c>
    </row>
    <row r="920" spans="2:4" x14ac:dyDescent="0.25">
      <c r="B920" s="24" t="s">
        <v>860</v>
      </c>
      <c r="C920" s="25">
        <f t="shared" ca="1" si="14"/>
        <v>45936</v>
      </c>
      <c r="D920" s="24" t="s">
        <v>1069</v>
      </c>
    </row>
    <row r="921" spans="2:4" x14ac:dyDescent="0.25">
      <c r="B921" s="24" t="s">
        <v>700</v>
      </c>
      <c r="C921" s="25">
        <f t="shared" ca="1" si="14"/>
        <v>45933</v>
      </c>
      <c r="D921" s="24" t="s">
        <v>1077</v>
      </c>
    </row>
    <row r="922" spans="2:4" x14ac:dyDescent="0.25">
      <c r="B922" s="24" t="s">
        <v>707</v>
      </c>
      <c r="C922" s="25">
        <f t="shared" ca="1" si="14"/>
        <v>45865</v>
      </c>
      <c r="D922" s="24" t="s">
        <v>1075</v>
      </c>
    </row>
    <row r="923" spans="2:4" x14ac:dyDescent="0.25">
      <c r="B923" s="24" t="s">
        <v>662</v>
      </c>
      <c r="C923" s="25">
        <f t="shared" ca="1" si="14"/>
        <v>45670</v>
      </c>
      <c r="D923" s="24" t="s">
        <v>1080</v>
      </c>
    </row>
    <row r="924" spans="2:4" x14ac:dyDescent="0.25">
      <c r="B924" s="24" t="s">
        <v>738</v>
      </c>
      <c r="C924" s="25">
        <f t="shared" ca="1" si="14"/>
        <v>46151</v>
      </c>
      <c r="D924" s="24" t="s">
        <v>1073</v>
      </c>
    </row>
    <row r="925" spans="2:4" x14ac:dyDescent="0.25">
      <c r="B925" s="24" t="s">
        <v>374</v>
      </c>
      <c r="C925" s="25">
        <f t="shared" ca="1" si="14"/>
        <v>45889</v>
      </c>
      <c r="D925" s="24" t="s">
        <v>1079</v>
      </c>
    </row>
    <row r="926" spans="2:4" x14ac:dyDescent="0.25">
      <c r="B926" s="24" t="s">
        <v>805</v>
      </c>
      <c r="C926" s="25">
        <f t="shared" ca="1" si="14"/>
        <v>46142</v>
      </c>
      <c r="D926" s="24" t="s">
        <v>1077</v>
      </c>
    </row>
    <row r="927" spans="2:4" x14ac:dyDescent="0.25">
      <c r="B927" s="24" t="s">
        <v>568</v>
      </c>
      <c r="C927" s="25">
        <f t="shared" ca="1" si="14"/>
        <v>45912</v>
      </c>
      <c r="D927" s="24" t="s">
        <v>1080</v>
      </c>
    </row>
    <row r="928" spans="2:4" x14ac:dyDescent="0.25">
      <c r="B928" s="24" t="s">
        <v>806</v>
      </c>
      <c r="C928" s="25">
        <f t="shared" ca="1" si="14"/>
        <v>46150</v>
      </c>
      <c r="D928" s="24" t="s">
        <v>1069</v>
      </c>
    </row>
    <row r="929" spans="2:4" x14ac:dyDescent="0.25">
      <c r="B929" s="24" t="s">
        <v>448</v>
      </c>
      <c r="C929" s="25">
        <f t="shared" ca="1" si="14"/>
        <v>45667</v>
      </c>
      <c r="D929" s="24" t="s">
        <v>1077</v>
      </c>
    </row>
    <row r="930" spans="2:4" x14ac:dyDescent="0.25">
      <c r="B930" s="24" t="s">
        <v>518</v>
      </c>
      <c r="C930" s="25">
        <f t="shared" ca="1" si="14"/>
        <v>46040</v>
      </c>
      <c r="D930" s="24" t="s">
        <v>1069</v>
      </c>
    </row>
    <row r="931" spans="2:4" x14ac:dyDescent="0.25">
      <c r="B931" s="24" t="s">
        <v>1098</v>
      </c>
      <c r="C931" s="25">
        <f t="shared" ca="1" si="14"/>
        <v>45764</v>
      </c>
      <c r="D931" s="24" t="s">
        <v>1069</v>
      </c>
    </row>
    <row r="932" spans="2:4" x14ac:dyDescent="0.25">
      <c r="B932" s="24" t="s">
        <v>648</v>
      </c>
      <c r="C932" s="25">
        <f t="shared" ca="1" si="14"/>
        <v>45908</v>
      </c>
      <c r="D932" s="24" t="s">
        <v>1074</v>
      </c>
    </row>
    <row r="933" spans="2:4" x14ac:dyDescent="0.25">
      <c r="B933" s="24" t="s">
        <v>1114</v>
      </c>
      <c r="C933" s="25">
        <f t="shared" ca="1" si="14"/>
        <v>45913</v>
      </c>
      <c r="D933" s="24" t="s">
        <v>1072</v>
      </c>
    </row>
    <row r="934" spans="2:4" x14ac:dyDescent="0.25">
      <c r="B934" s="24" t="s">
        <v>229</v>
      </c>
      <c r="C934" s="25">
        <f t="shared" ca="1" si="14"/>
        <v>46044</v>
      </c>
      <c r="D934" s="24" t="s">
        <v>1078</v>
      </c>
    </row>
    <row r="935" spans="2:4" x14ac:dyDescent="0.25">
      <c r="B935" s="24" t="s">
        <v>696</v>
      </c>
      <c r="C935" s="25">
        <f t="shared" ca="1" si="14"/>
        <v>45806</v>
      </c>
      <c r="D935" s="24" t="s">
        <v>1070</v>
      </c>
    </row>
    <row r="936" spans="2:4" x14ac:dyDescent="0.25">
      <c r="B936" s="24" t="s">
        <v>105</v>
      </c>
      <c r="C936" s="25">
        <f t="shared" ca="1" si="14"/>
        <v>46061</v>
      </c>
      <c r="D936" s="24" t="s">
        <v>1079</v>
      </c>
    </row>
    <row r="937" spans="2:4" x14ac:dyDescent="0.25">
      <c r="B937" s="24" t="s">
        <v>834</v>
      </c>
      <c r="C937" s="25">
        <f t="shared" ca="1" si="14"/>
        <v>45757</v>
      </c>
      <c r="D937" s="24" t="s">
        <v>1077</v>
      </c>
    </row>
    <row r="938" spans="2:4" x14ac:dyDescent="0.25">
      <c r="B938" s="24" t="s">
        <v>823</v>
      </c>
      <c r="C938" s="25">
        <f t="shared" ca="1" si="14"/>
        <v>46058</v>
      </c>
      <c r="D938" s="24" t="s">
        <v>1069</v>
      </c>
    </row>
    <row r="939" spans="2:4" x14ac:dyDescent="0.25">
      <c r="B939" s="24" t="s">
        <v>642</v>
      </c>
      <c r="C939" s="25">
        <f t="shared" ca="1" si="14"/>
        <v>45877</v>
      </c>
      <c r="D939" s="24" t="s">
        <v>1072</v>
      </c>
    </row>
    <row r="940" spans="2:4" x14ac:dyDescent="0.25">
      <c r="B940" s="24" t="s">
        <v>744</v>
      </c>
      <c r="C940" s="25">
        <f t="shared" ca="1" si="14"/>
        <v>45708</v>
      </c>
      <c r="D940" s="24" t="s">
        <v>1072</v>
      </c>
    </row>
    <row r="941" spans="2:4" x14ac:dyDescent="0.25">
      <c r="B941" s="24" t="s">
        <v>151</v>
      </c>
      <c r="C941" s="25">
        <f t="shared" ca="1" si="14"/>
        <v>45960</v>
      </c>
      <c r="D941" s="24" t="s">
        <v>1071</v>
      </c>
    </row>
    <row r="942" spans="2:4" x14ac:dyDescent="0.25">
      <c r="B942" s="24" t="s">
        <v>276</v>
      </c>
      <c r="C942" s="25">
        <f t="shared" ca="1" si="14"/>
        <v>45732</v>
      </c>
      <c r="D942" s="24" t="s">
        <v>1073</v>
      </c>
    </row>
    <row r="943" spans="2:4" x14ac:dyDescent="0.25">
      <c r="B943" s="24" t="s">
        <v>227</v>
      </c>
      <c r="C943" s="25">
        <f t="shared" ca="1" si="14"/>
        <v>45841</v>
      </c>
      <c r="D943" s="24" t="s">
        <v>1075</v>
      </c>
    </row>
    <row r="944" spans="2:4" x14ac:dyDescent="0.25">
      <c r="B944" s="24" t="s">
        <v>484</v>
      </c>
      <c r="C944" s="25">
        <f t="shared" ca="1" si="14"/>
        <v>46056</v>
      </c>
      <c r="D944" s="24" t="s">
        <v>1076</v>
      </c>
    </row>
    <row r="945" spans="2:4" x14ac:dyDescent="0.25">
      <c r="B945" s="24" t="s">
        <v>809</v>
      </c>
      <c r="C945" s="25">
        <f t="shared" ca="1" si="14"/>
        <v>45744</v>
      </c>
      <c r="D945" s="24" t="s">
        <v>1076</v>
      </c>
    </row>
    <row r="946" spans="2:4" x14ac:dyDescent="0.25">
      <c r="B946" s="24" t="s">
        <v>968</v>
      </c>
      <c r="C946" s="25">
        <f t="shared" ca="1" si="14"/>
        <v>45935</v>
      </c>
      <c r="D946" s="24" t="s">
        <v>1077</v>
      </c>
    </row>
    <row r="947" spans="2:4" x14ac:dyDescent="0.25">
      <c r="B947" s="24" t="s">
        <v>387</v>
      </c>
      <c r="C947" s="25">
        <f t="shared" ca="1" si="14"/>
        <v>45752</v>
      </c>
      <c r="D947" s="24" t="s">
        <v>1078</v>
      </c>
    </row>
    <row r="948" spans="2:4" x14ac:dyDescent="0.25">
      <c r="B948" s="24" t="s">
        <v>921</v>
      </c>
      <c r="C948" s="25">
        <f t="shared" ca="1" si="14"/>
        <v>46073</v>
      </c>
      <c r="D948" s="24" t="s">
        <v>1074</v>
      </c>
    </row>
    <row r="949" spans="2:4" x14ac:dyDescent="0.25">
      <c r="B949" s="24" t="s">
        <v>580</v>
      </c>
      <c r="C949" s="25">
        <f t="shared" ca="1" si="14"/>
        <v>45868</v>
      </c>
      <c r="D949" s="24" t="s">
        <v>1072</v>
      </c>
    </row>
    <row r="950" spans="2:4" x14ac:dyDescent="0.25">
      <c r="B950" s="24" t="s">
        <v>418</v>
      </c>
      <c r="C950" s="25">
        <f t="shared" ca="1" si="14"/>
        <v>45765</v>
      </c>
      <c r="D950" s="24" t="s">
        <v>1072</v>
      </c>
    </row>
    <row r="951" spans="2:4" x14ac:dyDescent="0.25">
      <c r="B951" s="24" t="s">
        <v>245</v>
      </c>
      <c r="C951" s="25">
        <f t="shared" ca="1" si="14"/>
        <v>45734</v>
      </c>
      <c r="D951" s="24" t="s">
        <v>1072</v>
      </c>
    </row>
    <row r="952" spans="2:4" x14ac:dyDescent="0.25">
      <c r="B952" s="24" t="s">
        <v>984</v>
      </c>
      <c r="C952" s="25">
        <f t="shared" ca="1" si="14"/>
        <v>45705</v>
      </c>
      <c r="D952" s="24" t="s">
        <v>1075</v>
      </c>
    </row>
    <row r="953" spans="2:4" x14ac:dyDescent="0.25">
      <c r="B953" s="24" t="s">
        <v>546</v>
      </c>
      <c r="C953" s="25">
        <f t="shared" ca="1" si="14"/>
        <v>46086</v>
      </c>
      <c r="D953" s="24" t="s">
        <v>1080</v>
      </c>
    </row>
    <row r="954" spans="2:4" x14ac:dyDescent="0.25">
      <c r="B954" s="24" t="s">
        <v>548</v>
      </c>
      <c r="C954" s="25">
        <f t="shared" ca="1" si="14"/>
        <v>46151</v>
      </c>
      <c r="D954" s="24" t="s">
        <v>1076</v>
      </c>
    </row>
    <row r="955" spans="2:4" x14ac:dyDescent="0.25">
      <c r="B955" s="24" t="s">
        <v>523</v>
      </c>
      <c r="C955" s="25">
        <f t="shared" ca="1" si="14"/>
        <v>45771</v>
      </c>
      <c r="D955" s="24" t="s">
        <v>1073</v>
      </c>
    </row>
    <row r="956" spans="2:4" x14ac:dyDescent="0.25">
      <c r="B956" s="24" t="s">
        <v>347</v>
      </c>
      <c r="C956" s="25">
        <f t="shared" ca="1" si="14"/>
        <v>46009</v>
      </c>
      <c r="D956" s="24" t="s">
        <v>1076</v>
      </c>
    </row>
    <row r="957" spans="2:4" x14ac:dyDescent="0.25">
      <c r="B957" s="24" t="s">
        <v>703</v>
      </c>
      <c r="C957" s="25">
        <f t="shared" ca="1" si="14"/>
        <v>46056</v>
      </c>
      <c r="D957" s="24" t="s">
        <v>1071</v>
      </c>
    </row>
    <row r="958" spans="2:4" x14ac:dyDescent="0.25">
      <c r="B958" s="24" t="s">
        <v>370</v>
      </c>
      <c r="C958" s="25">
        <f t="shared" ca="1" si="14"/>
        <v>45960</v>
      </c>
      <c r="D958" s="24" t="s">
        <v>1069</v>
      </c>
    </row>
    <row r="959" spans="2:4" x14ac:dyDescent="0.25">
      <c r="B959" s="24" t="s">
        <v>129</v>
      </c>
      <c r="C959" s="25">
        <f t="shared" ca="1" si="14"/>
        <v>45729</v>
      </c>
      <c r="D959" s="24" t="s">
        <v>1080</v>
      </c>
    </row>
    <row r="960" spans="2:4" x14ac:dyDescent="0.25">
      <c r="B960" s="24" t="s">
        <v>895</v>
      </c>
      <c r="C960" s="25">
        <f t="shared" ca="1" si="14"/>
        <v>45903</v>
      </c>
      <c r="D960" s="24" t="s">
        <v>1079</v>
      </c>
    </row>
    <row r="961" spans="2:4" x14ac:dyDescent="0.25">
      <c r="B961" s="24" t="s">
        <v>458</v>
      </c>
      <c r="C961" s="25">
        <f t="shared" ca="1" si="14"/>
        <v>45994</v>
      </c>
      <c r="D961" s="24" t="s">
        <v>1072</v>
      </c>
    </row>
    <row r="962" spans="2:4" x14ac:dyDescent="0.25">
      <c r="B962" s="24" t="s">
        <v>373</v>
      </c>
      <c r="C962" s="25">
        <f t="shared" ca="1" si="14"/>
        <v>46172</v>
      </c>
      <c r="D962" s="24" t="s">
        <v>1073</v>
      </c>
    </row>
    <row r="963" spans="2:4" x14ac:dyDescent="0.25">
      <c r="B963" s="24" t="s">
        <v>550</v>
      </c>
      <c r="C963" s="25">
        <f t="shared" ca="1" si="14"/>
        <v>45974</v>
      </c>
      <c r="D963" s="24" t="s">
        <v>1076</v>
      </c>
    </row>
    <row r="964" spans="2:4" x14ac:dyDescent="0.25">
      <c r="B964" s="24" t="s">
        <v>381</v>
      </c>
      <c r="C964" s="25">
        <f t="shared" ca="1" si="14"/>
        <v>46036</v>
      </c>
      <c r="D964" s="24" t="s">
        <v>1080</v>
      </c>
    </row>
    <row r="965" spans="2:4" x14ac:dyDescent="0.25">
      <c r="B965" s="24" t="s">
        <v>1100</v>
      </c>
      <c r="C965" s="25">
        <f t="shared" ca="1" si="14"/>
        <v>45984</v>
      </c>
      <c r="D965" s="24" t="s">
        <v>1080</v>
      </c>
    </row>
    <row r="966" spans="2:4" x14ac:dyDescent="0.25">
      <c r="B966" s="24" t="s">
        <v>1105</v>
      </c>
      <c r="C966" s="25">
        <f t="shared" ca="1" si="14"/>
        <v>46096</v>
      </c>
      <c r="D966" s="24" t="s">
        <v>1075</v>
      </c>
    </row>
    <row r="967" spans="2:4" x14ac:dyDescent="0.25">
      <c r="B967" s="24" t="s">
        <v>480</v>
      </c>
      <c r="C967" s="25">
        <f t="shared" ca="1" si="14"/>
        <v>46009</v>
      </c>
      <c r="D967" s="24" t="s">
        <v>1080</v>
      </c>
    </row>
    <row r="968" spans="2:4" x14ac:dyDescent="0.25">
      <c r="B968" s="24" t="s">
        <v>722</v>
      </c>
      <c r="C968" s="25">
        <f t="shared" ca="1" si="14"/>
        <v>45825</v>
      </c>
      <c r="D968" s="24" t="s">
        <v>1074</v>
      </c>
    </row>
    <row r="969" spans="2:4" x14ac:dyDescent="0.25">
      <c r="B969" s="24" t="s">
        <v>231</v>
      </c>
      <c r="C969" s="25">
        <f t="shared" ca="1" si="14"/>
        <v>46022</v>
      </c>
      <c r="D969" s="24" t="s">
        <v>1076</v>
      </c>
    </row>
    <row r="970" spans="2:4" x14ac:dyDescent="0.25">
      <c r="B970" s="24" t="s">
        <v>524</v>
      </c>
      <c r="C970" s="25">
        <f t="shared" ref="C970:C983" ca="1" si="15">RANDBETWEEN(DATE(2025,1,1),DATE(2026,5,30))</f>
        <v>45971</v>
      </c>
      <c r="D970" s="24" t="s">
        <v>1069</v>
      </c>
    </row>
    <row r="971" spans="2:4" x14ac:dyDescent="0.25">
      <c r="B971" s="24" t="s">
        <v>214</v>
      </c>
      <c r="C971" s="25">
        <f t="shared" ca="1" si="15"/>
        <v>46030</v>
      </c>
      <c r="D971" s="24" t="s">
        <v>1080</v>
      </c>
    </row>
    <row r="972" spans="2:4" x14ac:dyDescent="0.25">
      <c r="B972" s="24" t="s">
        <v>677</v>
      </c>
      <c r="C972" s="25">
        <f t="shared" ca="1" si="15"/>
        <v>45860</v>
      </c>
      <c r="D972" s="24" t="s">
        <v>1080</v>
      </c>
    </row>
    <row r="973" spans="2:4" x14ac:dyDescent="0.25">
      <c r="B973" s="24" t="s">
        <v>475</v>
      </c>
      <c r="C973" s="25">
        <f t="shared" ca="1" si="15"/>
        <v>45972</v>
      </c>
      <c r="D973" s="24" t="s">
        <v>1076</v>
      </c>
    </row>
    <row r="974" spans="2:4" x14ac:dyDescent="0.25">
      <c r="B974" s="24" t="s">
        <v>751</v>
      </c>
      <c r="C974" s="25">
        <f t="shared" ca="1" si="15"/>
        <v>46097</v>
      </c>
      <c r="D974" s="24" t="s">
        <v>1072</v>
      </c>
    </row>
    <row r="975" spans="2:4" x14ac:dyDescent="0.25">
      <c r="B975" s="24" t="s">
        <v>185</v>
      </c>
      <c r="C975" s="25">
        <f t="shared" ca="1" si="15"/>
        <v>46096</v>
      </c>
      <c r="D975" s="24" t="s">
        <v>1080</v>
      </c>
    </row>
    <row r="976" spans="2:4" x14ac:dyDescent="0.25">
      <c r="B976" s="24" t="s">
        <v>241</v>
      </c>
      <c r="C976" s="25">
        <f t="shared" ca="1" si="15"/>
        <v>45682</v>
      </c>
      <c r="D976" s="24" t="s">
        <v>1073</v>
      </c>
    </row>
    <row r="977" spans="2:4" x14ac:dyDescent="0.25">
      <c r="B977" s="24" t="s">
        <v>767</v>
      </c>
      <c r="C977" s="25">
        <f t="shared" ca="1" si="15"/>
        <v>46068</v>
      </c>
      <c r="D977" s="24" t="s">
        <v>1072</v>
      </c>
    </row>
    <row r="978" spans="2:4" x14ac:dyDescent="0.25">
      <c r="B978" s="24" t="s">
        <v>348</v>
      </c>
      <c r="C978" s="25">
        <f t="shared" ca="1" si="15"/>
        <v>46046</v>
      </c>
      <c r="D978" s="24" t="s">
        <v>1076</v>
      </c>
    </row>
    <row r="979" spans="2:4" x14ac:dyDescent="0.25">
      <c r="B979" s="24" t="s">
        <v>477</v>
      </c>
      <c r="C979" s="25">
        <f t="shared" ca="1" si="15"/>
        <v>46097</v>
      </c>
      <c r="D979" s="24" t="s">
        <v>1078</v>
      </c>
    </row>
    <row r="980" spans="2:4" x14ac:dyDescent="0.25">
      <c r="B980" s="24" t="s">
        <v>155</v>
      </c>
      <c r="C980" s="25">
        <f t="shared" ca="1" si="15"/>
        <v>45711</v>
      </c>
      <c r="D980" s="24" t="s">
        <v>1079</v>
      </c>
    </row>
    <row r="981" spans="2:4" x14ac:dyDescent="0.25">
      <c r="B981" s="24" t="s">
        <v>953</v>
      </c>
      <c r="C981" s="25">
        <f t="shared" ca="1" si="15"/>
        <v>46138</v>
      </c>
      <c r="D981" s="24" t="s">
        <v>1070</v>
      </c>
    </row>
    <row r="982" spans="2:4" x14ac:dyDescent="0.25">
      <c r="B982" s="24" t="s">
        <v>854</v>
      </c>
      <c r="C982" s="25">
        <f t="shared" ca="1" si="15"/>
        <v>45710</v>
      </c>
      <c r="D982" s="24" t="s">
        <v>1076</v>
      </c>
    </row>
    <row r="983" spans="2:4" x14ac:dyDescent="0.25">
      <c r="B983" s="24" t="s">
        <v>333</v>
      </c>
      <c r="C983" s="25">
        <f t="shared" ca="1" si="15"/>
        <v>45697</v>
      </c>
      <c r="D983" s="24" t="s">
        <v>1075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F836-692D-4A5F-B3B7-BAC3842604F1}">
  <sheetPr codeName="Hoja9"/>
  <dimension ref="B5:D984"/>
  <sheetViews>
    <sheetView showGridLines="0" topLeftCell="A4" zoomScale="71" zoomScaleNormal="71" workbookViewId="0">
      <selection activeCell="J21" sqref="J21"/>
    </sheetView>
  </sheetViews>
  <sheetFormatPr baseColWidth="10" defaultRowHeight="15" x14ac:dyDescent="0.25"/>
  <cols>
    <col min="2" max="3" width="28.85546875" customWidth="1"/>
    <col min="4" max="4" width="63.85546875" customWidth="1"/>
  </cols>
  <sheetData>
    <row r="5" spans="2:4" ht="18.75" x14ac:dyDescent="0.3">
      <c r="B5" s="12" t="s">
        <v>0</v>
      </c>
      <c r="C5" s="12" t="s">
        <v>3</v>
      </c>
      <c r="D5" s="10" t="s">
        <v>63</v>
      </c>
    </row>
    <row r="6" spans="2:4" ht="18.75" x14ac:dyDescent="0.3">
      <c r="B6" s="24"/>
      <c r="C6" s="24"/>
      <c r="D6" s="11"/>
    </row>
    <row r="7" spans="2:4" x14ac:dyDescent="0.25">
      <c r="B7" s="24"/>
      <c r="C7" s="25"/>
      <c r="D7" s="24"/>
    </row>
    <row r="8" spans="2:4" x14ac:dyDescent="0.25">
      <c r="B8" s="24"/>
      <c r="C8" s="25"/>
      <c r="D8" s="24"/>
    </row>
    <row r="9" spans="2:4" x14ac:dyDescent="0.25">
      <c r="B9" s="24"/>
      <c r="C9" s="25"/>
      <c r="D9" s="24"/>
    </row>
    <row r="10" spans="2:4" x14ac:dyDescent="0.25">
      <c r="B10" s="24" t="s">
        <v>293</v>
      </c>
      <c r="C10" s="24"/>
      <c r="D10" s="24" t="s">
        <v>1073</v>
      </c>
    </row>
    <row r="11" spans="2:4" x14ac:dyDescent="0.25">
      <c r="B11" s="24" t="s">
        <v>459</v>
      </c>
      <c r="C11" s="24"/>
      <c r="D11" s="24" t="s">
        <v>1074</v>
      </c>
    </row>
    <row r="12" spans="2:4" x14ac:dyDescent="0.25">
      <c r="B12" s="24" t="s">
        <v>840</v>
      </c>
      <c r="C12" s="24"/>
      <c r="D12" s="24" t="s">
        <v>1074</v>
      </c>
    </row>
    <row r="13" spans="2:4" x14ac:dyDescent="0.25">
      <c r="B13" s="24" t="s">
        <v>566</v>
      </c>
      <c r="C13" s="24"/>
      <c r="D13" s="24" t="s">
        <v>1072</v>
      </c>
    </row>
    <row r="14" spans="2:4" x14ac:dyDescent="0.25">
      <c r="B14" s="24" t="s">
        <v>436</v>
      </c>
      <c r="C14" s="24"/>
      <c r="D14" s="24" t="s">
        <v>1073</v>
      </c>
    </row>
    <row r="15" spans="2:4" x14ac:dyDescent="0.25">
      <c r="B15" s="24" t="s">
        <v>264</v>
      </c>
      <c r="C15" s="24"/>
      <c r="D15" s="24" t="s">
        <v>1078</v>
      </c>
    </row>
    <row r="16" spans="2:4" x14ac:dyDescent="0.25">
      <c r="B16" s="24" t="s">
        <v>417</v>
      </c>
      <c r="C16" s="24"/>
      <c r="D16" s="24" t="s">
        <v>1074</v>
      </c>
    </row>
    <row r="17" spans="2:4" x14ac:dyDescent="0.25">
      <c r="B17" s="24" t="s">
        <v>968</v>
      </c>
      <c r="C17" s="24"/>
      <c r="D17" s="24" t="s">
        <v>1075</v>
      </c>
    </row>
    <row r="18" spans="2:4" x14ac:dyDescent="0.25">
      <c r="B18" s="24" t="s">
        <v>954</v>
      </c>
      <c r="C18" s="24"/>
      <c r="D18" s="24" t="s">
        <v>1076</v>
      </c>
    </row>
    <row r="19" spans="2:4" x14ac:dyDescent="0.25">
      <c r="B19" s="24" t="s">
        <v>436</v>
      </c>
      <c r="C19" s="24"/>
      <c r="D19" s="24" t="s">
        <v>1077</v>
      </c>
    </row>
    <row r="20" spans="2:4" x14ac:dyDescent="0.25">
      <c r="B20" s="24" t="s">
        <v>520</v>
      </c>
      <c r="C20" s="24"/>
      <c r="D20" s="24" t="s">
        <v>1076</v>
      </c>
    </row>
    <row r="21" spans="2:4" x14ac:dyDescent="0.25">
      <c r="B21" s="24" t="s">
        <v>646</v>
      </c>
      <c r="C21" s="24"/>
      <c r="D21" s="24" t="s">
        <v>1070</v>
      </c>
    </row>
    <row r="22" spans="2:4" x14ac:dyDescent="0.25">
      <c r="B22" s="24" t="s">
        <v>476</v>
      </c>
      <c r="C22" s="24"/>
      <c r="D22" s="24" t="s">
        <v>1078</v>
      </c>
    </row>
    <row r="23" spans="2:4" x14ac:dyDescent="0.25">
      <c r="B23" s="24" t="s">
        <v>321</v>
      </c>
      <c r="C23" s="24"/>
      <c r="D23" s="24" t="s">
        <v>1071</v>
      </c>
    </row>
    <row r="24" spans="2:4" x14ac:dyDescent="0.25">
      <c r="B24" s="24" t="s">
        <v>148</v>
      </c>
      <c r="C24" s="24"/>
      <c r="D24" s="24" t="s">
        <v>1075</v>
      </c>
    </row>
    <row r="25" spans="2:4" x14ac:dyDescent="0.25">
      <c r="B25" s="24" t="s">
        <v>358</v>
      </c>
      <c r="C25" s="24"/>
      <c r="D25" s="24" t="s">
        <v>1076</v>
      </c>
    </row>
    <row r="26" spans="2:4" x14ac:dyDescent="0.25">
      <c r="B26" s="24" t="s">
        <v>934</v>
      </c>
      <c r="C26" s="24"/>
      <c r="D26" s="24" t="s">
        <v>1080</v>
      </c>
    </row>
    <row r="27" spans="2:4" x14ac:dyDescent="0.25">
      <c r="B27" s="24" t="s">
        <v>745</v>
      </c>
      <c r="C27" s="24"/>
      <c r="D27" s="24" t="s">
        <v>1078</v>
      </c>
    </row>
    <row r="28" spans="2:4" x14ac:dyDescent="0.25">
      <c r="B28" s="24" t="s">
        <v>880</v>
      </c>
      <c r="C28" s="24"/>
      <c r="D28" s="24" t="s">
        <v>1077</v>
      </c>
    </row>
    <row r="29" spans="2:4" x14ac:dyDescent="0.25">
      <c r="B29" s="24" t="s">
        <v>630</v>
      </c>
      <c r="C29" s="24"/>
      <c r="D29" s="24" t="s">
        <v>1073</v>
      </c>
    </row>
    <row r="30" spans="2:4" x14ac:dyDescent="0.25">
      <c r="B30" s="24" t="s">
        <v>256</v>
      </c>
      <c r="C30" s="24"/>
      <c r="D30" s="24" t="s">
        <v>1072</v>
      </c>
    </row>
    <row r="31" spans="2:4" x14ac:dyDescent="0.25">
      <c r="B31" s="24" t="s">
        <v>597</v>
      </c>
      <c r="C31" s="24"/>
      <c r="D31" s="24" t="s">
        <v>1076</v>
      </c>
    </row>
    <row r="32" spans="2:4" x14ac:dyDescent="0.25">
      <c r="B32" s="24" t="s">
        <v>525</v>
      </c>
      <c r="C32" s="24"/>
      <c r="D32" s="24" t="s">
        <v>1078</v>
      </c>
    </row>
    <row r="33" spans="2:4" x14ac:dyDescent="0.25">
      <c r="B33" s="24" t="s">
        <v>300</v>
      </c>
      <c r="C33" s="24"/>
      <c r="D33" s="24" t="s">
        <v>1076</v>
      </c>
    </row>
    <row r="34" spans="2:4" x14ac:dyDescent="0.25">
      <c r="B34" s="24" t="s">
        <v>648</v>
      </c>
      <c r="C34" s="24"/>
      <c r="D34" s="24" t="s">
        <v>1080</v>
      </c>
    </row>
    <row r="35" spans="2:4" x14ac:dyDescent="0.25">
      <c r="B35" s="24" t="s">
        <v>248</v>
      </c>
      <c r="C35" s="24"/>
      <c r="D35" s="24" t="s">
        <v>1071</v>
      </c>
    </row>
    <row r="36" spans="2:4" x14ac:dyDescent="0.25">
      <c r="B36" s="24" t="s">
        <v>446</v>
      </c>
      <c r="C36" s="24"/>
      <c r="D36" s="24" t="s">
        <v>1069</v>
      </c>
    </row>
    <row r="37" spans="2:4" x14ac:dyDescent="0.25">
      <c r="B37" s="24" t="s">
        <v>902</v>
      </c>
      <c r="C37" s="24"/>
      <c r="D37" s="24" t="s">
        <v>1071</v>
      </c>
    </row>
    <row r="38" spans="2:4" x14ac:dyDescent="0.25">
      <c r="B38" s="24" t="s">
        <v>313</v>
      </c>
      <c r="C38" s="24"/>
      <c r="D38" s="24" t="s">
        <v>1071</v>
      </c>
    </row>
    <row r="39" spans="2:4" x14ac:dyDescent="0.25">
      <c r="B39" s="24" t="s">
        <v>1096</v>
      </c>
      <c r="C39" s="24"/>
      <c r="D39" s="24" t="s">
        <v>1077</v>
      </c>
    </row>
    <row r="40" spans="2:4" x14ac:dyDescent="0.25">
      <c r="B40" s="24" t="s">
        <v>192</v>
      </c>
      <c r="C40" s="24"/>
      <c r="D40" s="24" t="s">
        <v>1071</v>
      </c>
    </row>
    <row r="41" spans="2:4" x14ac:dyDescent="0.25">
      <c r="B41" s="24" t="s">
        <v>327</v>
      </c>
      <c r="C41" s="24"/>
      <c r="D41" s="24" t="s">
        <v>1079</v>
      </c>
    </row>
    <row r="42" spans="2:4" x14ac:dyDescent="0.25">
      <c r="B42" s="24" t="s">
        <v>756</v>
      </c>
      <c r="C42" s="24"/>
      <c r="D42" s="24" t="s">
        <v>1073</v>
      </c>
    </row>
    <row r="43" spans="2:4" x14ac:dyDescent="0.25">
      <c r="B43" s="24" t="s">
        <v>975</v>
      </c>
      <c r="C43" s="24"/>
      <c r="D43" s="24" t="s">
        <v>1075</v>
      </c>
    </row>
    <row r="44" spans="2:4" x14ac:dyDescent="0.25">
      <c r="B44" s="24" t="s">
        <v>913</v>
      </c>
      <c r="C44" s="24"/>
      <c r="D44" s="24" t="s">
        <v>1080</v>
      </c>
    </row>
    <row r="45" spans="2:4" x14ac:dyDescent="0.25">
      <c r="B45" s="24" t="s">
        <v>139</v>
      </c>
      <c r="C45" s="24"/>
      <c r="D45" s="24" t="s">
        <v>1071</v>
      </c>
    </row>
    <row r="46" spans="2:4" x14ac:dyDescent="0.25">
      <c r="B46" s="24" t="s">
        <v>453</v>
      </c>
      <c r="C46" s="24"/>
      <c r="D46" s="24" t="s">
        <v>1077</v>
      </c>
    </row>
    <row r="47" spans="2:4" x14ac:dyDescent="0.25">
      <c r="B47" s="24" t="s">
        <v>914</v>
      </c>
      <c r="C47" s="24"/>
      <c r="D47" s="24" t="s">
        <v>1069</v>
      </c>
    </row>
    <row r="48" spans="2:4" x14ac:dyDescent="0.25">
      <c r="B48" s="24" t="s">
        <v>969</v>
      </c>
      <c r="C48" s="24"/>
      <c r="D48" s="24" t="s">
        <v>1072</v>
      </c>
    </row>
    <row r="49" spans="2:4" x14ac:dyDescent="0.25">
      <c r="B49" s="24" t="s">
        <v>214</v>
      </c>
      <c r="C49" s="24"/>
      <c r="D49" s="24" t="s">
        <v>1078</v>
      </c>
    </row>
    <row r="50" spans="2:4" x14ac:dyDescent="0.25">
      <c r="B50" s="24" t="s">
        <v>210</v>
      </c>
      <c r="C50" s="24"/>
      <c r="D50" s="24" t="s">
        <v>1076</v>
      </c>
    </row>
    <row r="51" spans="2:4" x14ac:dyDescent="0.25">
      <c r="B51" s="24" t="s">
        <v>324</v>
      </c>
      <c r="C51" s="24"/>
      <c r="D51" s="24" t="s">
        <v>1071</v>
      </c>
    </row>
    <row r="52" spans="2:4" x14ac:dyDescent="0.25">
      <c r="B52" s="24" t="s">
        <v>320</v>
      </c>
      <c r="C52" s="24"/>
      <c r="D52" s="24" t="s">
        <v>1075</v>
      </c>
    </row>
    <row r="53" spans="2:4" x14ac:dyDescent="0.25">
      <c r="B53" s="24" t="s">
        <v>192</v>
      </c>
      <c r="C53" s="24"/>
      <c r="D53" s="24" t="s">
        <v>1074</v>
      </c>
    </row>
    <row r="54" spans="2:4" x14ac:dyDescent="0.25">
      <c r="B54" s="24" t="s">
        <v>725</v>
      </c>
      <c r="C54" s="24"/>
      <c r="D54" s="24" t="s">
        <v>1070</v>
      </c>
    </row>
    <row r="55" spans="2:4" x14ac:dyDescent="0.25">
      <c r="B55" s="24" t="s">
        <v>626</v>
      </c>
      <c r="C55" s="24"/>
      <c r="D55" s="24" t="s">
        <v>1072</v>
      </c>
    </row>
    <row r="56" spans="2:4" x14ac:dyDescent="0.25">
      <c r="B56" s="24" t="s">
        <v>1037</v>
      </c>
      <c r="C56" s="24"/>
      <c r="D56" s="24" t="s">
        <v>1077</v>
      </c>
    </row>
    <row r="57" spans="2:4" x14ac:dyDescent="0.25">
      <c r="B57" s="24" t="s">
        <v>954</v>
      </c>
      <c r="C57" s="24"/>
      <c r="D57" s="24" t="s">
        <v>1069</v>
      </c>
    </row>
    <row r="58" spans="2:4" x14ac:dyDescent="0.25">
      <c r="B58" s="24" t="s">
        <v>154</v>
      </c>
      <c r="C58" s="24"/>
      <c r="D58" s="24" t="s">
        <v>1078</v>
      </c>
    </row>
    <row r="59" spans="2:4" x14ac:dyDescent="0.25">
      <c r="B59" s="24" t="s">
        <v>815</v>
      </c>
      <c r="C59" s="24"/>
      <c r="D59" s="24" t="s">
        <v>1072</v>
      </c>
    </row>
    <row r="60" spans="2:4" x14ac:dyDescent="0.25">
      <c r="B60" s="24" t="s">
        <v>848</v>
      </c>
      <c r="C60" s="24"/>
      <c r="D60" s="24" t="s">
        <v>1079</v>
      </c>
    </row>
    <row r="61" spans="2:4" x14ac:dyDescent="0.25">
      <c r="B61" s="24" t="s">
        <v>224</v>
      </c>
      <c r="C61" s="24"/>
      <c r="D61" s="24" t="s">
        <v>1073</v>
      </c>
    </row>
    <row r="62" spans="2:4" x14ac:dyDescent="0.25">
      <c r="B62" s="24" t="s">
        <v>448</v>
      </c>
      <c r="C62" s="24"/>
      <c r="D62" s="24" t="s">
        <v>1071</v>
      </c>
    </row>
    <row r="63" spans="2:4" x14ac:dyDescent="0.25">
      <c r="B63" s="24" t="s">
        <v>878</v>
      </c>
      <c r="C63" s="24"/>
      <c r="D63" s="24" t="s">
        <v>1075</v>
      </c>
    </row>
    <row r="64" spans="2:4" x14ac:dyDescent="0.25">
      <c r="B64" s="24" t="s">
        <v>681</v>
      </c>
      <c r="C64" s="24"/>
      <c r="D64" s="24" t="s">
        <v>1077</v>
      </c>
    </row>
    <row r="65" spans="2:4" x14ac:dyDescent="0.25">
      <c r="B65" s="24" t="s">
        <v>861</v>
      </c>
      <c r="C65" s="24"/>
      <c r="D65" s="24" t="s">
        <v>1073</v>
      </c>
    </row>
    <row r="66" spans="2:4" x14ac:dyDescent="0.25">
      <c r="B66" s="24" t="s">
        <v>1032</v>
      </c>
      <c r="C66" s="24"/>
      <c r="D66" s="24" t="s">
        <v>1071</v>
      </c>
    </row>
    <row r="67" spans="2:4" x14ac:dyDescent="0.25">
      <c r="B67" s="24" t="s">
        <v>331</v>
      </c>
      <c r="C67" s="24"/>
      <c r="D67" s="24" t="s">
        <v>1075</v>
      </c>
    </row>
    <row r="68" spans="2:4" x14ac:dyDescent="0.25">
      <c r="B68" s="24" t="s">
        <v>1047</v>
      </c>
      <c r="C68" s="24"/>
      <c r="D68" s="24" t="s">
        <v>1069</v>
      </c>
    </row>
    <row r="69" spans="2:4" x14ac:dyDescent="0.25">
      <c r="B69" s="24" t="s">
        <v>620</v>
      </c>
      <c r="C69" s="24"/>
      <c r="D69" s="24" t="s">
        <v>1080</v>
      </c>
    </row>
    <row r="70" spans="2:4" x14ac:dyDescent="0.25">
      <c r="B70" s="24" t="s">
        <v>158</v>
      </c>
      <c r="C70" s="24"/>
      <c r="D70" s="24" t="s">
        <v>1080</v>
      </c>
    </row>
    <row r="71" spans="2:4" x14ac:dyDescent="0.25">
      <c r="B71" s="24" t="s">
        <v>654</v>
      </c>
      <c r="C71" s="24"/>
      <c r="D71" s="24" t="s">
        <v>1075</v>
      </c>
    </row>
    <row r="72" spans="2:4" x14ac:dyDescent="0.25">
      <c r="B72" s="24" t="s">
        <v>570</v>
      </c>
      <c r="C72" s="24"/>
      <c r="D72" s="24" t="s">
        <v>1073</v>
      </c>
    </row>
    <row r="73" spans="2:4" x14ac:dyDescent="0.25">
      <c r="B73" s="24" t="s">
        <v>441</v>
      </c>
      <c r="C73" s="24"/>
      <c r="D73" s="24" t="s">
        <v>1075</v>
      </c>
    </row>
    <row r="74" spans="2:4" x14ac:dyDescent="0.25">
      <c r="B74" s="24" t="s">
        <v>504</v>
      </c>
      <c r="C74" s="24"/>
      <c r="D74" s="24" t="s">
        <v>1071</v>
      </c>
    </row>
    <row r="75" spans="2:4" x14ac:dyDescent="0.25">
      <c r="B75" s="24" t="s">
        <v>904</v>
      </c>
      <c r="C75" s="24"/>
      <c r="D75" s="24" t="s">
        <v>1079</v>
      </c>
    </row>
    <row r="76" spans="2:4" x14ac:dyDescent="0.25">
      <c r="B76" s="24" t="s">
        <v>592</v>
      </c>
      <c r="C76" s="24"/>
      <c r="D76" s="24" t="s">
        <v>1080</v>
      </c>
    </row>
    <row r="77" spans="2:4" x14ac:dyDescent="0.25">
      <c r="B77" s="24" t="s">
        <v>1082</v>
      </c>
      <c r="C77" s="24"/>
      <c r="D77" s="24" t="s">
        <v>1069</v>
      </c>
    </row>
    <row r="78" spans="2:4" x14ac:dyDescent="0.25">
      <c r="B78" s="24" t="s">
        <v>639</v>
      </c>
      <c r="C78" s="24"/>
      <c r="D78" s="24" t="s">
        <v>1077</v>
      </c>
    </row>
    <row r="79" spans="2:4" x14ac:dyDescent="0.25">
      <c r="B79" s="24" t="s">
        <v>154</v>
      </c>
      <c r="C79" s="24"/>
      <c r="D79" s="24" t="s">
        <v>1071</v>
      </c>
    </row>
    <row r="80" spans="2:4" x14ac:dyDescent="0.25">
      <c r="B80" s="24" t="s">
        <v>547</v>
      </c>
      <c r="C80" s="24"/>
      <c r="D80" s="24" t="s">
        <v>1079</v>
      </c>
    </row>
    <row r="81" spans="2:4" x14ac:dyDescent="0.25">
      <c r="B81" s="24" t="s">
        <v>444</v>
      </c>
      <c r="C81" s="24"/>
      <c r="D81" s="24" t="s">
        <v>1073</v>
      </c>
    </row>
    <row r="82" spans="2:4" x14ac:dyDescent="0.25">
      <c r="B82" s="24" t="s">
        <v>517</v>
      </c>
      <c r="C82" s="24"/>
      <c r="D82" s="24" t="s">
        <v>1069</v>
      </c>
    </row>
    <row r="83" spans="2:4" x14ac:dyDescent="0.25">
      <c r="B83" s="24" t="s">
        <v>907</v>
      </c>
      <c r="C83" s="24"/>
      <c r="D83" s="24" t="s">
        <v>1075</v>
      </c>
    </row>
    <row r="84" spans="2:4" x14ac:dyDescent="0.25">
      <c r="B84" s="24" t="s">
        <v>517</v>
      </c>
      <c r="C84" s="24"/>
      <c r="D84" s="24" t="s">
        <v>1070</v>
      </c>
    </row>
    <row r="85" spans="2:4" x14ac:dyDescent="0.25">
      <c r="B85" s="24" t="s">
        <v>387</v>
      </c>
      <c r="C85" s="24"/>
      <c r="D85" s="24" t="s">
        <v>1080</v>
      </c>
    </row>
    <row r="86" spans="2:4" x14ac:dyDescent="0.25">
      <c r="B86" s="24" t="s">
        <v>961</v>
      </c>
      <c r="C86" s="24"/>
      <c r="D86" s="24" t="s">
        <v>1077</v>
      </c>
    </row>
    <row r="87" spans="2:4" x14ac:dyDescent="0.25">
      <c r="B87" s="24" t="s">
        <v>802</v>
      </c>
      <c r="C87" s="24"/>
      <c r="D87" s="24" t="s">
        <v>1072</v>
      </c>
    </row>
    <row r="88" spans="2:4" x14ac:dyDescent="0.25">
      <c r="B88" s="24" t="s">
        <v>721</v>
      </c>
      <c r="C88" s="24"/>
      <c r="D88" s="24" t="s">
        <v>1075</v>
      </c>
    </row>
    <row r="89" spans="2:4" x14ac:dyDescent="0.25">
      <c r="B89" s="24" t="s">
        <v>889</v>
      </c>
      <c r="C89" s="24"/>
      <c r="D89" s="24" t="s">
        <v>1078</v>
      </c>
    </row>
    <row r="90" spans="2:4" x14ac:dyDescent="0.25">
      <c r="B90" s="24" t="s">
        <v>246</v>
      </c>
      <c r="C90" s="24"/>
      <c r="D90" s="24" t="s">
        <v>1080</v>
      </c>
    </row>
    <row r="91" spans="2:4" x14ac:dyDescent="0.25">
      <c r="B91" s="24" t="s">
        <v>908</v>
      </c>
      <c r="C91" s="24"/>
      <c r="D91" s="24" t="s">
        <v>1080</v>
      </c>
    </row>
    <row r="92" spans="2:4" x14ac:dyDescent="0.25">
      <c r="B92" s="24" t="s">
        <v>1053</v>
      </c>
      <c r="C92" s="24"/>
      <c r="D92" s="24" t="s">
        <v>1079</v>
      </c>
    </row>
    <row r="93" spans="2:4" x14ac:dyDescent="0.25">
      <c r="B93" s="24" t="s">
        <v>771</v>
      </c>
      <c r="C93" s="24"/>
      <c r="D93" s="24" t="s">
        <v>1076</v>
      </c>
    </row>
    <row r="94" spans="2:4" x14ac:dyDescent="0.25">
      <c r="B94" s="24" t="s">
        <v>444</v>
      </c>
      <c r="C94" s="24"/>
      <c r="D94" s="24" t="s">
        <v>1074</v>
      </c>
    </row>
    <row r="95" spans="2:4" x14ac:dyDescent="0.25">
      <c r="B95" s="24" t="s">
        <v>360</v>
      </c>
      <c r="C95" s="24"/>
      <c r="D95" s="24" t="s">
        <v>1079</v>
      </c>
    </row>
    <row r="96" spans="2:4" x14ac:dyDescent="0.25">
      <c r="B96" s="24" t="s">
        <v>473</v>
      </c>
      <c r="C96" s="24"/>
      <c r="D96" s="24" t="s">
        <v>1075</v>
      </c>
    </row>
    <row r="97" spans="2:4" x14ac:dyDescent="0.25">
      <c r="B97" s="24" t="s">
        <v>1106</v>
      </c>
      <c r="C97" s="24"/>
      <c r="D97" s="24" t="s">
        <v>1079</v>
      </c>
    </row>
    <row r="98" spans="2:4" x14ac:dyDescent="0.25">
      <c r="B98" s="24" t="s">
        <v>105</v>
      </c>
      <c r="C98" s="24"/>
      <c r="D98" s="24" t="s">
        <v>1079</v>
      </c>
    </row>
    <row r="99" spans="2:4" x14ac:dyDescent="0.25">
      <c r="B99" s="24" t="s">
        <v>743</v>
      </c>
      <c r="C99" s="24"/>
      <c r="D99" s="24" t="s">
        <v>1078</v>
      </c>
    </row>
    <row r="100" spans="2:4" x14ac:dyDescent="0.25">
      <c r="B100" s="24" t="s">
        <v>657</v>
      </c>
      <c r="C100" s="24"/>
      <c r="D100" s="24" t="s">
        <v>1077</v>
      </c>
    </row>
    <row r="101" spans="2:4" x14ac:dyDescent="0.25">
      <c r="B101" s="24" t="s">
        <v>621</v>
      </c>
      <c r="C101" s="24"/>
      <c r="D101" s="24" t="s">
        <v>1073</v>
      </c>
    </row>
    <row r="102" spans="2:4" x14ac:dyDescent="0.25">
      <c r="B102" s="24" t="s">
        <v>601</v>
      </c>
      <c r="C102" s="24"/>
      <c r="D102" s="24" t="s">
        <v>1073</v>
      </c>
    </row>
    <row r="103" spans="2:4" x14ac:dyDescent="0.25">
      <c r="B103" s="24" t="s">
        <v>736</v>
      </c>
      <c r="C103" s="24"/>
      <c r="D103" s="24" t="s">
        <v>1077</v>
      </c>
    </row>
    <row r="104" spans="2:4" x14ac:dyDescent="0.25">
      <c r="B104" s="24" t="s">
        <v>400</v>
      </c>
      <c r="C104" s="24"/>
      <c r="D104" s="24" t="s">
        <v>1078</v>
      </c>
    </row>
    <row r="105" spans="2:4" x14ac:dyDescent="0.25">
      <c r="B105" s="24" t="s">
        <v>502</v>
      </c>
      <c r="C105" s="24"/>
      <c r="D105" s="24" t="s">
        <v>1072</v>
      </c>
    </row>
    <row r="106" spans="2:4" x14ac:dyDescent="0.25">
      <c r="B106" s="24" t="s">
        <v>755</v>
      </c>
      <c r="C106" s="24"/>
      <c r="D106" s="24" t="s">
        <v>1076</v>
      </c>
    </row>
    <row r="107" spans="2:4" x14ac:dyDescent="0.25">
      <c r="B107" s="24" t="s">
        <v>492</v>
      </c>
      <c r="C107" s="24"/>
      <c r="D107" s="24" t="s">
        <v>1077</v>
      </c>
    </row>
    <row r="108" spans="2:4" x14ac:dyDescent="0.25">
      <c r="B108" s="24" t="s">
        <v>118</v>
      </c>
      <c r="C108" s="24"/>
      <c r="D108" s="24" t="s">
        <v>1077</v>
      </c>
    </row>
    <row r="109" spans="2:4" x14ac:dyDescent="0.25">
      <c r="B109" s="24" t="s">
        <v>564</v>
      </c>
      <c r="C109" s="24"/>
      <c r="D109" s="24" t="s">
        <v>1074</v>
      </c>
    </row>
    <row r="110" spans="2:4" x14ac:dyDescent="0.25">
      <c r="B110" s="24" t="s">
        <v>262</v>
      </c>
      <c r="C110" s="24"/>
      <c r="D110" s="24" t="s">
        <v>1074</v>
      </c>
    </row>
    <row r="111" spans="2:4" x14ac:dyDescent="0.25">
      <c r="B111" s="24" t="s">
        <v>181</v>
      </c>
      <c r="C111" s="24"/>
      <c r="D111" s="24" t="s">
        <v>1078</v>
      </c>
    </row>
    <row r="112" spans="2:4" x14ac:dyDescent="0.25">
      <c r="B112" s="24" t="s">
        <v>369</v>
      </c>
      <c r="C112" s="24"/>
      <c r="D112" s="24" t="s">
        <v>1076</v>
      </c>
    </row>
    <row r="113" spans="2:4" x14ac:dyDescent="0.25">
      <c r="B113" s="24" t="s">
        <v>926</v>
      </c>
      <c r="C113" s="24"/>
      <c r="D113" s="24" t="s">
        <v>1075</v>
      </c>
    </row>
    <row r="114" spans="2:4" x14ac:dyDescent="0.25">
      <c r="B114" s="24" t="s">
        <v>170</v>
      </c>
      <c r="C114" s="24"/>
      <c r="D114" s="24" t="s">
        <v>1070</v>
      </c>
    </row>
    <row r="115" spans="2:4" x14ac:dyDescent="0.25">
      <c r="B115" s="24" t="s">
        <v>478</v>
      </c>
      <c r="C115" s="24"/>
      <c r="D115" s="24" t="s">
        <v>1077</v>
      </c>
    </row>
    <row r="116" spans="2:4" x14ac:dyDescent="0.25">
      <c r="B116" s="24" t="s">
        <v>379</v>
      </c>
      <c r="C116" s="24"/>
      <c r="D116" s="24" t="s">
        <v>1079</v>
      </c>
    </row>
    <row r="117" spans="2:4" x14ac:dyDescent="0.25">
      <c r="B117" s="24" t="s">
        <v>499</v>
      </c>
      <c r="C117" s="24"/>
      <c r="D117" s="24" t="s">
        <v>1079</v>
      </c>
    </row>
    <row r="118" spans="2:4" x14ac:dyDescent="0.25">
      <c r="B118" s="24" t="s">
        <v>451</v>
      </c>
      <c r="C118" s="24"/>
      <c r="D118" s="24" t="s">
        <v>1073</v>
      </c>
    </row>
    <row r="119" spans="2:4" x14ac:dyDescent="0.25">
      <c r="B119" s="24" t="s">
        <v>118</v>
      </c>
      <c r="C119" s="24"/>
      <c r="D119" s="24" t="s">
        <v>1074</v>
      </c>
    </row>
    <row r="120" spans="2:4" x14ac:dyDescent="0.25">
      <c r="B120" s="24" t="s">
        <v>491</v>
      </c>
      <c r="C120" s="24"/>
      <c r="D120" s="24" t="s">
        <v>1076</v>
      </c>
    </row>
    <row r="121" spans="2:4" x14ac:dyDescent="0.25">
      <c r="B121" s="24" t="s">
        <v>406</v>
      </c>
      <c r="C121" s="24"/>
      <c r="D121" s="24" t="s">
        <v>1078</v>
      </c>
    </row>
    <row r="122" spans="2:4" x14ac:dyDescent="0.25">
      <c r="B122" s="24" t="s">
        <v>475</v>
      </c>
      <c r="C122" s="24"/>
      <c r="D122" s="24" t="s">
        <v>1074</v>
      </c>
    </row>
    <row r="123" spans="2:4" x14ac:dyDescent="0.25">
      <c r="B123" s="24" t="s">
        <v>295</v>
      </c>
      <c r="C123" s="24"/>
      <c r="D123" s="24" t="s">
        <v>1077</v>
      </c>
    </row>
    <row r="124" spans="2:4" x14ac:dyDescent="0.25">
      <c r="B124" s="24" t="s">
        <v>694</v>
      </c>
      <c r="C124" s="24"/>
      <c r="D124" s="24" t="s">
        <v>1069</v>
      </c>
    </row>
    <row r="125" spans="2:4" x14ac:dyDescent="0.25">
      <c r="B125" s="24" t="s">
        <v>565</v>
      </c>
      <c r="C125" s="24"/>
      <c r="D125" s="24" t="s">
        <v>1071</v>
      </c>
    </row>
    <row r="126" spans="2:4" x14ac:dyDescent="0.25">
      <c r="B126" s="24" t="s">
        <v>487</v>
      </c>
      <c r="C126" s="24"/>
      <c r="D126" s="24" t="s">
        <v>1071</v>
      </c>
    </row>
    <row r="127" spans="2:4" x14ac:dyDescent="0.25">
      <c r="B127" s="24" t="s">
        <v>261</v>
      </c>
      <c r="C127" s="24"/>
      <c r="D127" s="24" t="s">
        <v>1079</v>
      </c>
    </row>
    <row r="128" spans="2:4" x14ac:dyDescent="0.25">
      <c r="B128" s="24" t="s">
        <v>143</v>
      </c>
      <c r="C128" s="24"/>
      <c r="D128" s="24" t="s">
        <v>1070</v>
      </c>
    </row>
    <row r="129" spans="2:4" x14ac:dyDescent="0.25">
      <c r="B129" s="24" t="s">
        <v>179</v>
      </c>
      <c r="C129" s="24"/>
      <c r="D129" s="24" t="s">
        <v>1069</v>
      </c>
    </row>
    <row r="130" spans="2:4" x14ac:dyDescent="0.25">
      <c r="B130" s="24" t="s">
        <v>132</v>
      </c>
      <c r="C130" s="24"/>
      <c r="D130" s="24" t="s">
        <v>1074</v>
      </c>
    </row>
    <row r="131" spans="2:4" x14ac:dyDescent="0.25">
      <c r="B131" s="24" t="s">
        <v>753</v>
      </c>
      <c r="C131" s="24"/>
      <c r="D131" s="24" t="s">
        <v>1071</v>
      </c>
    </row>
    <row r="132" spans="2:4" x14ac:dyDescent="0.25">
      <c r="B132" s="24" t="s">
        <v>566</v>
      </c>
      <c r="C132" s="24"/>
      <c r="D132" s="24" t="s">
        <v>1069</v>
      </c>
    </row>
    <row r="133" spans="2:4" x14ac:dyDescent="0.25">
      <c r="B133" s="24" t="s">
        <v>172</v>
      </c>
      <c r="C133" s="24"/>
      <c r="D133" s="24" t="s">
        <v>1074</v>
      </c>
    </row>
    <row r="134" spans="2:4" x14ac:dyDescent="0.25">
      <c r="B134" s="24" t="s">
        <v>906</v>
      </c>
      <c r="C134" s="24"/>
      <c r="D134" s="24" t="s">
        <v>1078</v>
      </c>
    </row>
    <row r="135" spans="2:4" x14ac:dyDescent="0.25">
      <c r="B135" s="24" t="s">
        <v>567</v>
      </c>
      <c r="C135" s="24"/>
      <c r="D135" s="24" t="s">
        <v>1080</v>
      </c>
    </row>
    <row r="136" spans="2:4" x14ac:dyDescent="0.25">
      <c r="B136" s="24" t="s">
        <v>901</v>
      </c>
      <c r="C136" s="24"/>
      <c r="D136" s="24" t="s">
        <v>1072</v>
      </c>
    </row>
    <row r="137" spans="2:4" x14ac:dyDescent="0.25">
      <c r="B137" s="24" t="s">
        <v>754</v>
      </c>
      <c r="C137" s="24"/>
      <c r="D137" s="24" t="s">
        <v>1073</v>
      </c>
    </row>
    <row r="138" spans="2:4" x14ac:dyDescent="0.25">
      <c r="B138" s="24" t="s">
        <v>779</v>
      </c>
      <c r="C138" s="24"/>
      <c r="D138" s="24" t="s">
        <v>1074</v>
      </c>
    </row>
    <row r="139" spans="2:4" x14ac:dyDescent="0.25">
      <c r="B139" s="24" t="s">
        <v>957</v>
      </c>
      <c r="C139" s="24"/>
      <c r="D139" s="24" t="s">
        <v>1071</v>
      </c>
    </row>
    <row r="140" spans="2:4" x14ac:dyDescent="0.25">
      <c r="B140" s="24" t="s">
        <v>714</v>
      </c>
      <c r="C140" s="24"/>
      <c r="D140" s="24" t="s">
        <v>1072</v>
      </c>
    </row>
    <row r="141" spans="2:4" x14ac:dyDescent="0.25">
      <c r="B141" s="24" t="s">
        <v>926</v>
      </c>
      <c r="C141" s="24"/>
      <c r="D141" s="24" t="s">
        <v>1074</v>
      </c>
    </row>
    <row r="142" spans="2:4" x14ac:dyDescent="0.25">
      <c r="B142" s="24" t="s">
        <v>541</v>
      </c>
      <c r="C142" s="24"/>
      <c r="D142" s="24" t="s">
        <v>1073</v>
      </c>
    </row>
    <row r="143" spans="2:4" x14ac:dyDescent="0.25">
      <c r="B143" s="24" t="s">
        <v>263</v>
      </c>
      <c r="C143" s="24"/>
      <c r="D143" s="24" t="s">
        <v>1078</v>
      </c>
    </row>
    <row r="144" spans="2:4" x14ac:dyDescent="0.25">
      <c r="B144" s="24" t="s">
        <v>680</v>
      </c>
      <c r="C144" s="24"/>
      <c r="D144" s="24" t="s">
        <v>1080</v>
      </c>
    </row>
    <row r="145" spans="2:4" x14ac:dyDescent="0.25">
      <c r="B145" s="24" t="s">
        <v>929</v>
      </c>
      <c r="C145" s="24"/>
      <c r="D145" s="24" t="s">
        <v>1079</v>
      </c>
    </row>
    <row r="146" spans="2:4" x14ac:dyDescent="0.25">
      <c r="B146" s="24" t="s">
        <v>389</v>
      </c>
      <c r="C146" s="24"/>
      <c r="D146" s="24" t="s">
        <v>1070</v>
      </c>
    </row>
    <row r="147" spans="2:4" x14ac:dyDescent="0.25">
      <c r="B147" s="24" t="s">
        <v>256</v>
      </c>
      <c r="C147" s="24"/>
      <c r="D147" s="24" t="s">
        <v>1077</v>
      </c>
    </row>
    <row r="148" spans="2:4" x14ac:dyDescent="0.25">
      <c r="B148" s="24" t="s">
        <v>150</v>
      </c>
      <c r="C148" s="24"/>
      <c r="D148" s="24" t="s">
        <v>1079</v>
      </c>
    </row>
    <row r="149" spans="2:4" x14ac:dyDescent="0.25">
      <c r="B149" s="24" t="s">
        <v>772</v>
      </c>
      <c r="C149" s="24"/>
      <c r="D149" s="24" t="s">
        <v>1075</v>
      </c>
    </row>
    <row r="150" spans="2:4" x14ac:dyDescent="0.25">
      <c r="B150" s="24" t="s">
        <v>414</v>
      </c>
      <c r="C150" s="24"/>
      <c r="D150" s="24" t="s">
        <v>1073</v>
      </c>
    </row>
    <row r="151" spans="2:4" x14ac:dyDescent="0.25">
      <c r="B151" s="24" t="s">
        <v>770</v>
      </c>
      <c r="C151" s="24"/>
      <c r="D151" s="24" t="s">
        <v>1075</v>
      </c>
    </row>
    <row r="152" spans="2:4" x14ac:dyDescent="0.25">
      <c r="B152" s="24" t="s">
        <v>566</v>
      </c>
      <c r="C152" s="24"/>
      <c r="D152" s="24" t="s">
        <v>1080</v>
      </c>
    </row>
    <row r="153" spans="2:4" x14ac:dyDescent="0.25">
      <c r="B153" s="24" t="s">
        <v>723</v>
      </c>
      <c r="C153" s="24"/>
      <c r="D153" s="24" t="s">
        <v>1073</v>
      </c>
    </row>
    <row r="154" spans="2:4" x14ac:dyDescent="0.25">
      <c r="B154" s="24" t="s">
        <v>110</v>
      </c>
      <c r="C154" s="24"/>
      <c r="D154" s="24" t="s">
        <v>1078</v>
      </c>
    </row>
    <row r="155" spans="2:4" x14ac:dyDescent="0.25">
      <c r="B155" s="24" t="s">
        <v>191</v>
      </c>
      <c r="C155" s="24"/>
      <c r="D155" s="24" t="s">
        <v>1070</v>
      </c>
    </row>
    <row r="156" spans="2:4" x14ac:dyDescent="0.25">
      <c r="B156" s="24" t="s">
        <v>1102</v>
      </c>
      <c r="C156" s="24"/>
      <c r="D156" s="24" t="s">
        <v>1080</v>
      </c>
    </row>
    <row r="157" spans="2:4" x14ac:dyDescent="0.25">
      <c r="B157" s="24" t="s">
        <v>825</v>
      </c>
      <c r="C157" s="24"/>
      <c r="D157" s="24" t="s">
        <v>1079</v>
      </c>
    </row>
    <row r="158" spans="2:4" x14ac:dyDescent="0.25">
      <c r="B158" s="24" t="s">
        <v>819</v>
      </c>
      <c r="C158" s="24"/>
      <c r="D158" s="24" t="s">
        <v>1074</v>
      </c>
    </row>
    <row r="159" spans="2:4" x14ac:dyDescent="0.25">
      <c r="B159" s="24" t="s">
        <v>827</v>
      </c>
      <c r="C159" s="24"/>
      <c r="D159" s="24" t="s">
        <v>1079</v>
      </c>
    </row>
    <row r="160" spans="2:4" x14ac:dyDescent="0.25">
      <c r="B160" s="24" t="s">
        <v>912</v>
      </c>
      <c r="C160" s="24"/>
      <c r="D160" s="24" t="s">
        <v>1075</v>
      </c>
    </row>
    <row r="161" spans="2:4" x14ac:dyDescent="0.25">
      <c r="B161" s="24" t="s">
        <v>400</v>
      </c>
      <c r="C161" s="24"/>
      <c r="D161" s="24" t="s">
        <v>1072</v>
      </c>
    </row>
    <row r="162" spans="2:4" x14ac:dyDescent="0.25">
      <c r="B162" s="24" t="s">
        <v>359</v>
      </c>
      <c r="C162" s="24"/>
      <c r="D162" s="24" t="s">
        <v>1075</v>
      </c>
    </row>
    <row r="163" spans="2:4" x14ac:dyDescent="0.25">
      <c r="B163" s="24" t="s">
        <v>603</v>
      </c>
      <c r="C163" s="24"/>
      <c r="D163" s="24" t="s">
        <v>1077</v>
      </c>
    </row>
    <row r="164" spans="2:4" x14ac:dyDescent="0.25">
      <c r="B164" s="24" t="s">
        <v>994</v>
      </c>
      <c r="C164" s="24"/>
      <c r="D164" s="24" t="s">
        <v>1080</v>
      </c>
    </row>
    <row r="165" spans="2:4" x14ac:dyDescent="0.25">
      <c r="B165" s="24" t="s">
        <v>496</v>
      </c>
      <c r="C165" s="24"/>
      <c r="D165" s="24" t="s">
        <v>1071</v>
      </c>
    </row>
    <row r="166" spans="2:4" x14ac:dyDescent="0.25">
      <c r="B166" s="24" t="s">
        <v>344</v>
      </c>
      <c r="C166" s="24"/>
      <c r="D166" s="24" t="s">
        <v>1070</v>
      </c>
    </row>
    <row r="167" spans="2:4" x14ac:dyDescent="0.25">
      <c r="B167" s="24" t="s">
        <v>392</v>
      </c>
      <c r="C167" s="24"/>
      <c r="D167" s="24" t="s">
        <v>1077</v>
      </c>
    </row>
    <row r="168" spans="2:4" x14ac:dyDescent="0.25">
      <c r="B168" s="24" t="s">
        <v>367</v>
      </c>
      <c r="C168" s="24"/>
      <c r="D168" s="24" t="s">
        <v>1074</v>
      </c>
    </row>
    <row r="169" spans="2:4" x14ac:dyDescent="0.25">
      <c r="B169" s="24" t="s">
        <v>466</v>
      </c>
      <c r="C169" s="24"/>
      <c r="D169" s="24" t="s">
        <v>1076</v>
      </c>
    </row>
    <row r="170" spans="2:4" x14ac:dyDescent="0.25">
      <c r="B170" s="24" t="s">
        <v>818</v>
      </c>
      <c r="C170" s="24"/>
      <c r="D170" s="24" t="s">
        <v>1069</v>
      </c>
    </row>
    <row r="171" spans="2:4" x14ac:dyDescent="0.25">
      <c r="B171" s="24" t="s">
        <v>592</v>
      </c>
      <c r="C171" s="24"/>
      <c r="D171" s="24" t="s">
        <v>1070</v>
      </c>
    </row>
    <row r="172" spans="2:4" x14ac:dyDescent="0.25">
      <c r="B172" s="24" t="s">
        <v>669</v>
      </c>
      <c r="C172" s="24"/>
      <c r="D172" s="24" t="s">
        <v>1076</v>
      </c>
    </row>
    <row r="173" spans="2:4" x14ac:dyDescent="0.25">
      <c r="B173" s="24" t="s">
        <v>413</v>
      </c>
      <c r="C173" s="24"/>
      <c r="D173" s="24" t="s">
        <v>1080</v>
      </c>
    </row>
    <row r="174" spans="2:4" x14ac:dyDescent="0.25">
      <c r="B174" s="24" t="s">
        <v>744</v>
      </c>
      <c r="C174" s="24"/>
      <c r="D174" s="24" t="s">
        <v>1073</v>
      </c>
    </row>
    <row r="175" spans="2:4" x14ac:dyDescent="0.25">
      <c r="B175" s="24" t="s">
        <v>642</v>
      </c>
      <c r="C175" s="24"/>
      <c r="D175" s="24" t="s">
        <v>1070</v>
      </c>
    </row>
    <row r="176" spans="2:4" x14ac:dyDescent="0.25">
      <c r="B176" s="24" t="s">
        <v>748</v>
      </c>
      <c r="C176" s="24"/>
      <c r="D176" s="24" t="s">
        <v>1073</v>
      </c>
    </row>
    <row r="177" spans="2:4" x14ac:dyDescent="0.25">
      <c r="B177" s="24" t="s">
        <v>697</v>
      </c>
      <c r="C177" s="24"/>
      <c r="D177" s="24" t="s">
        <v>1079</v>
      </c>
    </row>
    <row r="178" spans="2:4" x14ac:dyDescent="0.25">
      <c r="B178" s="24" t="s">
        <v>441</v>
      </c>
      <c r="C178" s="24"/>
      <c r="D178" s="24" t="s">
        <v>1080</v>
      </c>
    </row>
    <row r="179" spans="2:4" x14ac:dyDescent="0.25">
      <c r="B179" s="24" t="s">
        <v>484</v>
      </c>
      <c r="C179" s="24"/>
      <c r="D179" s="24" t="s">
        <v>1071</v>
      </c>
    </row>
    <row r="180" spans="2:4" x14ac:dyDescent="0.25">
      <c r="B180" s="24" t="s">
        <v>1095</v>
      </c>
      <c r="C180" s="24"/>
      <c r="D180" s="24" t="s">
        <v>1069</v>
      </c>
    </row>
    <row r="181" spans="2:4" x14ac:dyDescent="0.25">
      <c r="B181" s="24" t="s">
        <v>474</v>
      </c>
      <c r="C181" s="24"/>
      <c r="D181" s="24" t="s">
        <v>1079</v>
      </c>
    </row>
    <row r="182" spans="2:4" x14ac:dyDescent="0.25">
      <c r="B182" s="24" t="s">
        <v>118</v>
      </c>
      <c r="C182" s="24"/>
      <c r="D182" s="24" t="s">
        <v>1072</v>
      </c>
    </row>
    <row r="183" spans="2:4" x14ac:dyDescent="0.25">
      <c r="B183" s="24" t="s">
        <v>1091</v>
      </c>
      <c r="C183" s="24"/>
      <c r="D183" s="24" t="s">
        <v>1078</v>
      </c>
    </row>
    <row r="184" spans="2:4" x14ac:dyDescent="0.25">
      <c r="B184" s="24" t="s">
        <v>215</v>
      </c>
      <c r="C184" s="24"/>
      <c r="D184" s="24" t="s">
        <v>1077</v>
      </c>
    </row>
    <row r="185" spans="2:4" x14ac:dyDescent="0.25">
      <c r="B185" s="24" t="s">
        <v>134</v>
      </c>
      <c r="C185" s="24"/>
      <c r="D185" s="24" t="s">
        <v>1074</v>
      </c>
    </row>
    <row r="186" spans="2:4" x14ac:dyDescent="0.25">
      <c r="B186" s="24" t="s">
        <v>372</v>
      </c>
      <c r="C186" s="24"/>
      <c r="D186" s="24" t="s">
        <v>1077</v>
      </c>
    </row>
    <row r="187" spans="2:4" x14ac:dyDescent="0.25">
      <c r="B187" s="24" t="s">
        <v>845</v>
      </c>
      <c r="C187" s="24"/>
      <c r="D187" s="24" t="s">
        <v>1079</v>
      </c>
    </row>
    <row r="188" spans="2:4" x14ac:dyDescent="0.25">
      <c r="B188" s="24" t="s">
        <v>423</v>
      </c>
      <c r="C188" s="24"/>
      <c r="D188" s="24" t="s">
        <v>1077</v>
      </c>
    </row>
    <row r="189" spans="2:4" x14ac:dyDescent="0.25">
      <c r="B189" s="24" t="s">
        <v>819</v>
      </c>
      <c r="C189" s="24"/>
      <c r="D189" s="24" t="s">
        <v>1075</v>
      </c>
    </row>
    <row r="190" spans="2:4" x14ac:dyDescent="0.25">
      <c r="B190" s="24" t="s">
        <v>711</v>
      </c>
      <c r="C190" s="24"/>
      <c r="D190" s="24" t="s">
        <v>1072</v>
      </c>
    </row>
    <row r="191" spans="2:4" x14ac:dyDescent="0.25">
      <c r="B191" s="24" t="s">
        <v>349</v>
      </c>
      <c r="C191" s="24"/>
      <c r="D191" s="24" t="s">
        <v>1074</v>
      </c>
    </row>
    <row r="192" spans="2:4" x14ac:dyDescent="0.25">
      <c r="B192" s="24" t="s">
        <v>1112</v>
      </c>
      <c r="C192" s="24"/>
      <c r="D192" s="24" t="s">
        <v>1073</v>
      </c>
    </row>
    <row r="193" spans="2:4" x14ac:dyDescent="0.25">
      <c r="B193" s="24" t="s">
        <v>995</v>
      </c>
      <c r="C193" s="24"/>
      <c r="D193" s="24" t="s">
        <v>1072</v>
      </c>
    </row>
    <row r="194" spans="2:4" x14ac:dyDescent="0.25">
      <c r="B194" s="24" t="s">
        <v>1051</v>
      </c>
      <c r="C194" s="24"/>
      <c r="D194" s="24" t="s">
        <v>1073</v>
      </c>
    </row>
    <row r="195" spans="2:4" x14ac:dyDescent="0.25">
      <c r="B195" s="24" t="s">
        <v>538</v>
      </c>
      <c r="C195" s="24"/>
      <c r="D195" s="24" t="s">
        <v>1069</v>
      </c>
    </row>
    <row r="196" spans="2:4" x14ac:dyDescent="0.25">
      <c r="B196" s="24" t="s">
        <v>234</v>
      </c>
      <c r="C196" s="24"/>
      <c r="D196" s="24" t="s">
        <v>1079</v>
      </c>
    </row>
    <row r="197" spans="2:4" x14ac:dyDescent="0.25">
      <c r="B197" s="24" t="s">
        <v>858</v>
      </c>
      <c r="C197" s="24"/>
      <c r="D197" s="24" t="s">
        <v>1080</v>
      </c>
    </row>
    <row r="198" spans="2:4" x14ac:dyDescent="0.25">
      <c r="B198" s="24" t="s">
        <v>133</v>
      </c>
      <c r="C198" s="24"/>
      <c r="D198" s="24" t="s">
        <v>1078</v>
      </c>
    </row>
    <row r="199" spans="2:4" x14ac:dyDescent="0.25">
      <c r="B199" s="24" t="s">
        <v>454</v>
      </c>
      <c r="C199" s="24"/>
      <c r="D199" s="24" t="s">
        <v>1078</v>
      </c>
    </row>
    <row r="200" spans="2:4" x14ac:dyDescent="0.25">
      <c r="B200" s="24" t="s">
        <v>992</v>
      </c>
      <c r="C200" s="24"/>
      <c r="D200" s="24" t="s">
        <v>1071</v>
      </c>
    </row>
    <row r="201" spans="2:4" x14ac:dyDescent="0.25">
      <c r="B201" s="24" t="s">
        <v>858</v>
      </c>
      <c r="C201" s="24"/>
      <c r="D201" s="24" t="s">
        <v>1072</v>
      </c>
    </row>
    <row r="202" spans="2:4" x14ac:dyDescent="0.25">
      <c r="B202" s="24" t="s">
        <v>142</v>
      </c>
      <c r="C202" s="24"/>
      <c r="D202" s="24" t="s">
        <v>1079</v>
      </c>
    </row>
    <row r="203" spans="2:4" x14ac:dyDescent="0.25">
      <c r="B203" s="24" t="s">
        <v>617</v>
      </c>
      <c r="C203" s="24"/>
      <c r="D203" s="24" t="s">
        <v>1070</v>
      </c>
    </row>
    <row r="204" spans="2:4" x14ac:dyDescent="0.25">
      <c r="B204" s="24" t="s">
        <v>230</v>
      </c>
      <c r="C204" s="24"/>
      <c r="D204" s="24" t="s">
        <v>1074</v>
      </c>
    </row>
    <row r="205" spans="2:4" x14ac:dyDescent="0.25">
      <c r="B205" s="24" t="s">
        <v>244</v>
      </c>
      <c r="C205" s="24"/>
      <c r="D205" s="24" t="s">
        <v>1075</v>
      </c>
    </row>
    <row r="206" spans="2:4" x14ac:dyDescent="0.25">
      <c r="B206" s="24" t="s">
        <v>141</v>
      </c>
      <c r="C206" s="24"/>
      <c r="D206" s="24" t="s">
        <v>1078</v>
      </c>
    </row>
    <row r="207" spans="2:4" x14ac:dyDescent="0.25">
      <c r="B207" s="24" t="s">
        <v>588</v>
      </c>
      <c r="C207" s="24"/>
      <c r="D207" s="24" t="s">
        <v>1076</v>
      </c>
    </row>
    <row r="208" spans="2:4" x14ac:dyDescent="0.25">
      <c r="B208" s="24" t="s">
        <v>817</v>
      </c>
      <c r="C208" s="24"/>
      <c r="D208" s="24" t="s">
        <v>1076</v>
      </c>
    </row>
    <row r="209" spans="2:4" x14ac:dyDescent="0.25">
      <c r="B209" s="24" t="s">
        <v>473</v>
      </c>
      <c r="C209" s="24"/>
      <c r="D209" s="24" t="s">
        <v>1079</v>
      </c>
    </row>
    <row r="210" spans="2:4" x14ac:dyDescent="0.25">
      <c r="B210" s="24" t="s">
        <v>569</v>
      </c>
      <c r="C210" s="24"/>
      <c r="D210" s="24" t="s">
        <v>1074</v>
      </c>
    </row>
    <row r="211" spans="2:4" x14ac:dyDescent="0.25">
      <c r="B211" s="24" t="s">
        <v>431</v>
      </c>
      <c r="C211" s="24"/>
      <c r="D211" s="24" t="s">
        <v>1072</v>
      </c>
    </row>
    <row r="212" spans="2:4" x14ac:dyDescent="0.25">
      <c r="B212" s="24" t="s">
        <v>399</v>
      </c>
      <c r="C212" s="24"/>
      <c r="D212" s="24" t="s">
        <v>1076</v>
      </c>
    </row>
    <row r="213" spans="2:4" x14ac:dyDescent="0.25">
      <c r="B213" s="24" t="s">
        <v>825</v>
      </c>
      <c r="C213" s="24"/>
      <c r="D213" s="24" t="s">
        <v>1070</v>
      </c>
    </row>
    <row r="214" spans="2:4" x14ac:dyDescent="0.25">
      <c r="B214" s="24" t="s">
        <v>785</v>
      </c>
      <c r="C214" s="24"/>
      <c r="D214" s="24" t="s">
        <v>1070</v>
      </c>
    </row>
    <row r="215" spans="2:4" x14ac:dyDescent="0.25">
      <c r="B215" s="24" t="s">
        <v>223</v>
      </c>
      <c r="C215" s="24"/>
      <c r="D215" s="24" t="s">
        <v>1070</v>
      </c>
    </row>
    <row r="216" spans="2:4" x14ac:dyDescent="0.25">
      <c r="B216" s="24" t="s">
        <v>658</v>
      </c>
      <c r="C216" s="24"/>
      <c r="D216" s="24" t="s">
        <v>1069</v>
      </c>
    </row>
    <row r="217" spans="2:4" x14ac:dyDescent="0.25">
      <c r="B217" s="24" t="s">
        <v>836</v>
      </c>
      <c r="C217" s="24"/>
      <c r="D217" s="24" t="s">
        <v>1072</v>
      </c>
    </row>
    <row r="218" spans="2:4" x14ac:dyDescent="0.25">
      <c r="B218" s="24" t="s">
        <v>528</v>
      </c>
      <c r="C218" s="24"/>
      <c r="D218" s="24" t="s">
        <v>1080</v>
      </c>
    </row>
    <row r="219" spans="2:4" x14ac:dyDescent="0.25">
      <c r="B219" s="24" t="s">
        <v>547</v>
      </c>
      <c r="C219" s="24"/>
      <c r="D219" s="24" t="s">
        <v>1069</v>
      </c>
    </row>
    <row r="220" spans="2:4" x14ac:dyDescent="0.25">
      <c r="B220" s="24" t="s">
        <v>974</v>
      </c>
      <c r="C220" s="24"/>
      <c r="D220" s="24" t="s">
        <v>1078</v>
      </c>
    </row>
    <row r="221" spans="2:4" x14ac:dyDescent="0.25">
      <c r="B221" s="24" t="s">
        <v>791</v>
      </c>
      <c r="C221" s="24"/>
      <c r="D221" s="24" t="s">
        <v>1077</v>
      </c>
    </row>
    <row r="222" spans="2:4" x14ac:dyDescent="0.25">
      <c r="B222" s="24" t="s">
        <v>406</v>
      </c>
      <c r="C222" s="24"/>
      <c r="D222" s="24" t="s">
        <v>1072</v>
      </c>
    </row>
    <row r="223" spans="2:4" x14ac:dyDescent="0.25">
      <c r="B223" s="24" t="s">
        <v>1046</v>
      </c>
      <c r="C223" s="24"/>
      <c r="D223" s="24" t="s">
        <v>1073</v>
      </c>
    </row>
    <row r="224" spans="2:4" x14ac:dyDescent="0.25">
      <c r="B224" s="24" t="s">
        <v>867</v>
      </c>
      <c r="C224" s="24"/>
      <c r="D224" s="24" t="s">
        <v>1071</v>
      </c>
    </row>
    <row r="225" spans="2:4" x14ac:dyDescent="0.25">
      <c r="B225" s="24" t="s">
        <v>258</v>
      </c>
      <c r="C225" s="24"/>
      <c r="D225" s="24" t="s">
        <v>1075</v>
      </c>
    </row>
    <row r="226" spans="2:4" x14ac:dyDescent="0.25">
      <c r="B226" s="24" t="s">
        <v>434</v>
      </c>
      <c r="C226" s="24"/>
      <c r="D226" s="24" t="s">
        <v>1073</v>
      </c>
    </row>
    <row r="227" spans="2:4" x14ac:dyDescent="0.25">
      <c r="B227" s="24" t="s">
        <v>801</v>
      </c>
      <c r="C227" s="24"/>
      <c r="D227" s="24" t="s">
        <v>1069</v>
      </c>
    </row>
    <row r="228" spans="2:4" x14ac:dyDescent="0.25">
      <c r="B228" s="24" t="s">
        <v>481</v>
      </c>
      <c r="C228" s="24"/>
      <c r="D228" s="24" t="s">
        <v>1079</v>
      </c>
    </row>
    <row r="229" spans="2:4" x14ac:dyDescent="0.25">
      <c r="B229" s="24" t="s">
        <v>527</v>
      </c>
      <c r="C229" s="24"/>
      <c r="D229" s="24" t="s">
        <v>1073</v>
      </c>
    </row>
    <row r="230" spans="2:4" x14ac:dyDescent="0.25">
      <c r="B230" s="24" t="s">
        <v>518</v>
      </c>
      <c r="C230" s="24"/>
      <c r="D230" s="24" t="s">
        <v>1077</v>
      </c>
    </row>
    <row r="231" spans="2:4" x14ac:dyDescent="0.25">
      <c r="B231" s="24" t="s">
        <v>996</v>
      </c>
      <c r="C231" s="24"/>
      <c r="D231" s="24" t="s">
        <v>1072</v>
      </c>
    </row>
    <row r="232" spans="2:4" x14ac:dyDescent="0.25">
      <c r="B232" s="24" t="s">
        <v>1111</v>
      </c>
      <c r="C232" s="24"/>
      <c r="D232" s="24" t="s">
        <v>1076</v>
      </c>
    </row>
    <row r="233" spans="2:4" x14ac:dyDescent="0.25">
      <c r="B233" s="24" t="s">
        <v>222</v>
      </c>
      <c r="C233" s="24"/>
      <c r="D233" s="24" t="s">
        <v>1075</v>
      </c>
    </row>
    <row r="234" spans="2:4" x14ac:dyDescent="0.25">
      <c r="B234" s="24" t="s">
        <v>947</v>
      </c>
      <c r="C234" s="24"/>
      <c r="D234" s="24" t="s">
        <v>1079</v>
      </c>
    </row>
    <row r="235" spans="2:4" x14ac:dyDescent="0.25">
      <c r="B235" s="24" t="s">
        <v>300</v>
      </c>
      <c r="C235" s="24"/>
      <c r="D235" s="24" t="s">
        <v>1077</v>
      </c>
    </row>
    <row r="236" spans="2:4" x14ac:dyDescent="0.25">
      <c r="B236" s="24" t="s">
        <v>614</v>
      </c>
      <c r="C236" s="24"/>
      <c r="D236" s="24" t="s">
        <v>1079</v>
      </c>
    </row>
    <row r="237" spans="2:4" x14ac:dyDescent="0.25">
      <c r="B237" s="24" t="s">
        <v>662</v>
      </c>
      <c r="C237" s="24"/>
      <c r="D237" s="24" t="s">
        <v>1069</v>
      </c>
    </row>
    <row r="238" spans="2:4" x14ac:dyDescent="0.25">
      <c r="B238" s="24" t="s">
        <v>926</v>
      </c>
      <c r="C238" s="24"/>
      <c r="D238" s="24" t="s">
        <v>1077</v>
      </c>
    </row>
    <row r="239" spans="2:4" x14ac:dyDescent="0.25">
      <c r="B239" s="24" t="s">
        <v>344</v>
      </c>
      <c r="C239" s="24"/>
      <c r="D239" s="24" t="s">
        <v>1075</v>
      </c>
    </row>
    <row r="240" spans="2:4" x14ac:dyDescent="0.25">
      <c r="B240" s="24" t="s">
        <v>155</v>
      </c>
      <c r="C240" s="24"/>
      <c r="D240" s="24" t="s">
        <v>1080</v>
      </c>
    </row>
    <row r="241" spans="2:4" x14ac:dyDescent="0.25">
      <c r="B241" s="24" t="s">
        <v>502</v>
      </c>
      <c r="C241" s="24"/>
      <c r="D241" s="24" t="s">
        <v>1074</v>
      </c>
    </row>
    <row r="242" spans="2:4" x14ac:dyDescent="0.25">
      <c r="B242" s="24" t="s">
        <v>1042</v>
      </c>
      <c r="C242" s="24"/>
      <c r="D242" s="24" t="s">
        <v>1069</v>
      </c>
    </row>
    <row r="243" spans="2:4" x14ac:dyDescent="0.25">
      <c r="B243" s="24" t="s">
        <v>340</v>
      </c>
      <c r="C243" s="24"/>
      <c r="D243" s="24" t="s">
        <v>1078</v>
      </c>
    </row>
    <row r="244" spans="2:4" x14ac:dyDescent="0.25">
      <c r="B244" s="24" t="s">
        <v>388</v>
      </c>
      <c r="C244" s="24"/>
      <c r="D244" s="24" t="s">
        <v>1071</v>
      </c>
    </row>
    <row r="245" spans="2:4" x14ac:dyDescent="0.25">
      <c r="B245" s="24" t="s">
        <v>117</v>
      </c>
      <c r="C245" s="24"/>
      <c r="D245" s="24" t="s">
        <v>1080</v>
      </c>
    </row>
    <row r="246" spans="2:4" x14ac:dyDescent="0.25">
      <c r="B246" s="24" t="s">
        <v>705</v>
      </c>
      <c r="C246" s="24"/>
      <c r="D246" s="24" t="s">
        <v>1077</v>
      </c>
    </row>
    <row r="247" spans="2:4" x14ac:dyDescent="0.25">
      <c r="B247" s="24" t="s">
        <v>488</v>
      </c>
      <c r="C247" s="24"/>
      <c r="D247" s="24" t="s">
        <v>1079</v>
      </c>
    </row>
    <row r="248" spans="2:4" x14ac:dyDescent="0.25">
      <c r="B248" s="24" t="s">
        <v>186</v>
      </c>
      <c r="C248" s="24"/>
      <c r="D248" s="24" t="s">
        <v>1070</v>
      </c>
    </row>
    <row r="249" spans="2:4" x14ac:dyDescent="0.25">
      <c r="B249" s="24" t="s">
        <v>142</v>
      </c>
      <c r="C249" s="24"/>
      <c r="D249" s="24" t="s">
        <v>1078</v>
      </c>
    </row>
    <row r="250" spans="2:4" x14ac:dyDescent="0.25">
      <c r="B250" s="24" t="s">
        <v>821</v>
      </c>
      <c r="C250" s="24"/>
      <c r="D250" s="24" t="s">
        <v>1079</v>
      </c>
    </row>
    <row r="251" spans="2:4" x14ac:dyDescent="0.25">
      <c r="B251" s="24" t="s">
        <v>516</v>
      </c>
      <c r="C251" s="24"/>
      <c r="D251" s="24" t="s">
        <v>1078</v>
      </c>
    </row>
    <row r="252" spans="2:4" x14ac:dyDescent="0.25">
      <c r="B252" s="24" t="s">
        <v>1031</v>
      </c>
      <c r="C252" s="24"/>
      <c r="D252" s="24" t="s">
        <v>1075</v>
      </c>
    </row>
    <row r="253" spans="2:4" x14ac:dyDescent="0.25">
      <c r="B253" s="24" t="s">
        <v>985</v>
      </c>
      <c r="C253" s="24"/>
      <c r="D253" s="24" t="s">
        <v>1069</v>
      </c>
    </row>
    <row r="254" spans="2:4" x14ac:dyDescent="0.25">
      <c r="B254" s="24" t="s">
        <v>147</v>
      </c>
      <c r="C254" s="24"/>
      <c r="D254" s="24" t="s">
        <v>1069</v>
      </c>
    </row>
    <row r="255" spans="2:4" x14ac:dyDescent="0.25">
      <c r="B255" s="24" t="s">
        <v>166</v>
      </c>
      <c r="C255" s="24"/>
      <c r="D255" s="24" t="s">
        <v>1078</v>
      </c>
    </row>
    <row r="256" spans="2:4" x14ac:dyDescent="0.25">
      <c r="B256" s="24" t="s">
        <v>542</v>
      </c>
      <c r="C256" s="24"/>
      <c r="D256" s="24" t="s">
        <v>1076</v>
      </c>
    </row>
    <row r="257" spans="2:4" x14ac:dyDescent="0.25">
      <c r="B257" s="24" t="s">
        <v>383</v>
      </c>
      <c r="C257" s="24"/>
      <c r="D257" s="24" t="s">
        <v>1071</v>
      </c>
    </row>
    <row r="258" spans="2:4" x14ac:dyDescent="0.25">
      <c r="B258" s="24" t="s">
        <v>770</v>
      </c>
      <c r="C258" s="24"/>
      <c r="D258" s="24" t="s">
        <v>1079</v>
      </c>
    </row>
    <row r="259" spans="2:4" x14ac:dyDescent="0.25">
      <c r="B259" s="24" t="s">
        <v>662</v>
      </c>
      <c r="C259" s="24"/>
      <c r="D259" s="24" t="s">
        <v>1073</v>
      </c>
    </row>
    <row r="260" spans="2:4" x14ac:dyDescent="0.25">
      <c r="B260" s="24" t="s">
        <v>1023</v>
      </c>
      <c r="C260" s="24"/>
      <c r="D260" s="24" t="s">
        <v>1074</v>
      </c>
    </row>
    <row r="261" spans="2:4" x14ac:dyDescent="0.25">
      <c r="B261" s="24" t="s">
        <v>723</v>
      </c>
      <c r="C261" s="24"/>
      <c r="D261" s="24" t="s">
        <v>1074</v>
      </c>
    </row>
    <row r="262" spans="2:4" x14ac:dyDescent="0.25">
      <c r="B262" s="24" t="s">
        <v>766</v>
      </c>
      <c r="C262" s="24"/>
      <c r="D262" s="24" t="s">
        <v>1079</v>
      </c>
    </row>
    <row r="263" spans="2:4" x14ac:dyDescent="0.25">
      <c r="B263" s="24" t="s">
        <v>314</v>
      </c>
      <c r="C263" s="24"/>
      <c r="D263" s="24" t="s">
        <v>1075</v>
      </c>
    </row>
    <row r="264" spans="2:4" x14ac:dyDescent="0.25">
      <c r="B264" s="24" t="s">
        <v>843</v>
      </c>
      <c r="C264" s="24"/>
      <c r="D264" s="24" t="s">
        <v>1070</v>
      </c>
    </row>
    <row r="265" spans="2:4" x14ac:dyDescent="0.25">
      <c r="B265" s="24" t="s">
        <v>752</v>
      </c>
      <c r="C265" s="24"/>
      <c r="D265" s="24" t="s">
        <v>1071</v>
      </c>
    </row>
    <row r="266" spans="2:4" x14ac:dyDescent="0.25">
      <c r="B266" s="24" t="s">
        <v>548</v>
      </c>
      <c r="C266" s="24"/>
      <c r="D266" s="24" t="s">
        <v>1075</v>
      </c>
    </row>
    <row r="267" spans="2:4" x14ac:dyDescent="0.25">
      <c r="B267" s="24" t="s">
        <v>860</v>
      </c>
      <c r="C267" s="24"/>
      <c r="D267" s="24" t="s">
        <v>1073</v>
      </c>
    </row>
    <row r="268" spans="2:4" x14ac:dyDescent="0.25">
      <c r="B268" s="24" t="s">
        <v>115</v>
      </c>
      <c r="C268" s="24"/>
      <c r="D268" s="24" t="s">
        <v>1069</v>
      </c>
    </row>
    <row r="269" spans="2:4" x14ac:dyDescent="0.25">
      <c r="B269" s="24" t="s">
        <v>936</v>
      </c>
      <c r="C269" s="24"/>
      <c r="D269" s="24" t="s">
        <v>1073</v>
      </c>
    </row>
    <row r="270" spans="2:4" x14ac:dyDescent="0.25">
      <c r="B270" s="24" t="s">
        <v>417</v>
      </c>
      <c r="C270" s="24"/>
      <c r="D270" s="24" t="s">
        <v>1072</v>
      </c>
    </row>
    <row r="271" spans="2:4" x14ac:dyDescent="0.25">
      <c r="B271" s="24" t="s">
        <v>154</v>
      </c>
      <c r="C271" s="24"/>
      <c r="D271" s="24" t="s">
        <v>1069</v>
      </c>
    </row>
    <row r="272" spans="2:4" x14ac:dyDescent="0.25">
      <c r="B272" s="24" t="s">
        <v>958</v>
      </c>
      <c r="C272" s="24"/>
      <c r="D272" s="24" t="s">
        <v>1075</v>
      </c>
    </row>
    <row r="273" spans="2:4" x14ac:dyDescent="0.25">
      <c r="B273" s="24" t="s">
        <v>1050</v>
      </c>
      <c r="C273" s="24"/>
      <c r="D273" s="24" t="s">
        <v>1073</v>
      </c>
    </row>
    <row r="274" spans="2:4" x14ac:dyDescent="0.25">
      <c r="B274" s="24" t="s">
        <v>1100</v>
      </c>
      <c r="C274" s="24"/>
      <c r="D274" s="24" t="s">
        <v>1071</v>
      </c>
    </row>
    <row r="275" spans="2:4" x14ac:dyDescent="0.25">
      <c r="B275" s="24" t="s">
        <v>457</v>
      </c>
      <c r="C275" s="24"/>
      <c r="D275" s="24" t="s">
        <v>1078</v>
      </c>
    </row>
    <row r="276" spans="2:4" x14ac:dyDescent="0.25">
      <c r="B276" s="24" t="s">
        <v>285</v>
      </c>
      <c r="C276" s="24"/>
      <c r="D276" s="24" t="s">
        <v>1075</v>
      </c>
    </row>
    <row r="277" spans="2:4" x14ac:dyDescent="0.25">
      <c r="B277" s="24" t="s">
        <v>546</v>
      </c>
      <c r="C277" s="24"/>
      <c r="D277" s="24" t="s">
        <v>1079</v>
      </c>
    </row>
    <row r="278" spans="2:4" x14ac:dyDescent="0.25">
      <c r="B278" s="24" t="s">
        <v>122</v>
      </c>
      <c r="C278" s="24"/>
      <c r="D278" s="24" t="s">
        <v>1079</v>
      </c>
    </row>
    <row r="279" spans="2:4" x14ac:dyDescent="0.25">
      <c r="B279" s="24" t="s">
        <v>136</v>
      </c>
      <c r="C279" s="24"/>
      <c r="D279" s="24" t="s">
        <v>1072</v>
      </c>
    </row>
    <row r="280" spans="2:4" x14ac:dyDescent="0.25">
      <c r="B280" s="24" t="s">
        <v>997</v>
      </c>
      <c r="C280" s="24"/>
      <c r="D280" s="24" t="s">
        <v>1074</v>
      </c>
    </row>
    <row r="281" spans="2:4" x14ac:dyDescent="0.25">
      <c r="B281" s="24" t="s">
        <v>251</v>
      </c>
      <c r="C281" s="24"/>
      <c r="D281" s="24" t="s">
        <v>1069</v>
      </c>
    </row>
    <row r="282" spans="2:4" x14ac:dyDescent="0.25">
      <c r="B282" s="24" t="s">
        <v>522</v>
      </c>
      <c r="C282" s="24"/>
      <c r="D282" s="24" t="s">
        <v>1073</v>
      </c>
    </row>
    <row r="283" spans="2:4" x14ac:dyDescent="0.25">
      <c r="B283" s="24" t="s">
        <v>996</v>
      </c>
      <c r="C283" s="24"/>
      <c r="D283" s="24" t="s">
        <v>1070</v>
      </c>
    </row>
    <row r="284" spans="2:4" x14ac:dyDescent="0.25">
      <c r="B284" s="24" t="s">
        <v>769</v>
      </c>
      <c r="C284" s="24"/>
      <c r="D284" s="24" t="s">
        <v>1080</v>
      </c>
    </row>
    <row r="285" spans="2:4" x14ac:dyDescent="0.25">
      <c r="B285" s="24" t="s">
        <v>669</v>
      </c>
      <c r="C285" s="24"/>
      <c r="D285" s="24" t="s">
        <v>1074</v>
      </c>
    </row>
    <row r="286" spans="2:4" x14ac:dyDescent="0.25">
      <c r="B286" s="24" t="s">
        <v>179</v>
      </c>
      <c r="C286" s="24"/>
      <c r="D286" s="24" t="s">
        <v>1069</v>
      </c>
    </row>
    <row r="287" spans="2:4" x14ac:dyDescent="0.25">
      <c r="B287" s="24" t="s">
        <v>949</v>
      </c>
      <c r="C287" s="24"/>
      <c r="D287" s="24" t="s">
        <v>1072</v>
      </c>
    </row>
    <row r="288" spans="2:4" x14ac:dyDescent="0.25">
      <c r="B288" s="24" t="s">
        <v>339</v>
      </c>
      <c r="C288" s="24"/>
      <c r="D288" s="24" t="s">
        <v>1079</v>
      </c>
    </row>
    <row r="289" spans="2:4" x14ac:dyDescent="0.25">
      <c r="B289" s="24" t="s">
        <v>637</v>
      </c>
      <c r="C289" s="24"/>
      <c r="D289" s="24" t="s">
        <v>1071</v>
      </c>
    </row>
    <row r="290" spans="2:4" x14ac:dyDescent="0.25">
      <c r="B290" s="24" t="s">
        <v>329</v>
      </c>
      <c r="C290" s="24"/>
      <c r="D290" s="24" t="s">
        <v>1072</v>
      </c>
    </row>
    <row r="291" spans="2:4" x14ac:dyDescent="0.25">
      <c r="B291" s="24" t="s">
        <v>364</v>
      </c>
      <c r="C291" s="24"/>
      <c r="D291" s="24" t="s">
        <v>1072</v>
      </c>
    </row>
    <row r="292" spans="2:4" x14ac:dyDescent="0.25">
      <c r="B292" s="24" t="s">
        <v>1110</v>
      </c>
      <c r="C292" s="24"/>
      <c r="D292" s="24" t="s">
        <v>1076</v>
      </c>
    </row>
    <row r="293" spans="2:4" x14ac:dyDescent="0.25">
      <c r="B293" s="24" t="s">
        <v>714</v>
      </c>
      <c r="C293" s="24"/>
      <c r="D293" s="24" t="s">
        <v>1071</v>
      </c>
    </row>
    <row r="294" spans="2:4" x14ac:dyDescent="0.25">
      <c r="B294" s="24" t="s">
        <v>146</v>
      </c>
      <c r="C294" s="24"/>
      <c r="D294" s="24" t="s">
        <v>1078</v>
      </c>
    </row>
    <row r="295" spans="2:4" x14ac:dyDescent="0.25">
      <c r="B295" s="24" t="s">
        <v>599</v>
      </c>
      <c r="C295" s="24"/>
      <c r="D295" s="24" t="s">
        <v>1076</v>
      </c>
    </row>
    <row r="296" spans="2:4" x14ac:dyDescent="0.25">
      <c r="B296" s="24" t="s">
        <v>557</v>
      </c>
      <c r="C296" s="24"/>
      <c r="D296" s="24" t="s">
        <v>1074</v>
      </c>
    </row>
    <row r="297" spans="2:4" x14ac:dyDescent="0.25">
      <c r="B297" s="24" t="s">
        <v>743</v>
      </c>
      <c r="C297" s="24"/>
      <c r="D297" s="24" t="s">
        <v>1074</v>
      </c>
    </row>
    <row r="298" spans="2:4" x14ac:dyDescent="0.25">
      <c r="B298" s="24" t="s">
        <v>164</v>
      </c>
      <c r="C298" s="24"/>
      <c r="D298" s="24" t="s">
        <v>1070</v>
      </c>
    </row>
    <row r="299" spans="2:4" x14ac:dyDescent="0.25">
      <c r="B299" s="24" t="s">
        <v>590</v>
      </c>
      <c r="C299" s="24"/>
      <c r="D299" s="24" t="s">
        <v>1076</v>
      </c>
    </row>
    <row r="300" spans="2:4" x14ac:dyDescent="0.25">
      <c r="B300" s="24" t="s">
        <v>928</v>
      </c>
      <c r="C300" s="24"/>
      <c r="D300" s="24" t="s">
        <v>1071</v>
      </c>
    </row>
    <row r="301" spans="2:4" x14ac:dyDescent="0.25">
      <c r="B301" s="24" t="s">
        <v>336</v>
      </c>
      <c r="C301" s="24"/>
      <c r="D301" s="24" t="s">
        <v>1080</v>
      </c>
    </row>
    <row r="302" spans="2:4" x14ac:dyDescent="0.25">
      <c r="B302" s="24" t="s">
        <v>807</v>
      </c>
      <c r="C302" s="24"/>
      <c r="D302" s="24" t="s">
        <v>1080</v>
      </c>
    </row>
    <row r="303" spans="2:4" x14ac:dyDescent="0.25">
      <c r="B303" s="24" t="s">
        <v>264</v>
      </c>
      <c r="C303" s="24"/>
      <c r="D303" s="24" t="s">
        <v>1077</v>
      </c>
    </row>
    <row r="304" spans="2:4" x14ac:dyDescent="0.25">
      <c r="B304" s="24" t="s">
        <v>543</v>
      </c>
      <c r="C304" s="24"/>
      <c r="D304" s="24" t="s">
        <v>1071</v>
      </c>
    </row>
    <row r="305" spans="2:4" x14ac:dyDescent="0.25">
      <c r="B305" s="24" t="s">
        <v>342</v>
      </c>
      <c r="C305" s="24"/>
      <c r="D305" s="24" t="s">
        <v>1078</v>
      </c>
    </row>
    <row r="306" spans="2:4" x14ac:dyDescent="0.25">
      <c r="B306" s="24" t="s">
        <v>930</v>
      </c>
      <c r="C306" s="24"/>
      <c r="D306" s="24" t="s">
        <v>1078</v>
      </c>
    </row>
    <row r="307" spans="2:4" x14ac:dyDescent="0.25">
      <c r="B307" s="24" t="s">
        <v>1047</v>
      </c>
      <c r="C307" s="24"/>
      <c r="D307" s="24" t="s">
        <v>1080</v>
      </c>
    </row>
    <row r="308" spans="2:4" x14ac:dyDescent="0.25">
      <c r="B308" s="24" t="s">
        <v>337</v>
      </c>
      <c r="C308" s="24"/>
      <c r="D308" s="24" t="s">
        <v>1076</v>
      </c>
    </row>
    <row r="309" spans="2:4" x14ac:dyDescent="0.25">
      <c r="B309" s="24" t="s">
        <v>405</v>
      </c>
      <c r="C309" s="24"/>
      <c r="D309" s="24" t="s">
        <v>1080</v>
      </c>
    </row>
    <row r="310" spans="2:4" x14ac:dyDescent="0.25">
      <c r="B310" s="24" t="s">
        <v>259</v>
      </c>
      <c r="C310" s="24"/>
      <c r="D310" s="24" t="s">
        <v>1077</v>
      </c>
    </row>
    <row r="311" spans="2:4" x14ac:dyDescent="0.25">
      <c r="B311" s="24" t="s">
        <v>389</v>
      </c>
      <c r="C311" s="24"/>
      <c r="D311" s="24" t="s">
        <v>1078</v>
      </c>
    </row>
    <row r="312" spans="2:4" x14ac:dyDescent="0.25">
      <c r="B312" s="24" t="s">
        <v>407</v>
      </c>
      <c r="C312" s="24"/>
      <c r="D312" s="24" t="s">
        <v>1077</v>
      </c>
    </row>
    <row r="313" spans="2:4" x14ac:dyDescent="0.25">
      <c r="B313" s="24" t="s">
        <v>429</v>
      </c>
      <c r="C313" s="24"/>
      <c r="D313" s="24" t="s">
        <v>1069</v>
      </c>
    </row>
    <row r="314" spans="2:4" x14ac:dyDescent="0.25">
      <c r="B314" s="24" t="s">
        <v>848</v>
      </c>
      <c r="C314" s="24"/>
      <c r="D314" s="24" t="s">
        <v>1073</v>
      </c>
    </row>
    <row r="315" spans="2:4" x14ac:dyDescent="0.25">
      <c r="B315" s="24" t="s">
        <v>282</v>
      </c>
      <c r="C315" s="24"/>
      <c r="D315" s="24" t="s">
        <v>1074</v>
      </c>
    </row>
    <row r="316" spans="2:4" x14ac:dyDescent="0.25">
      <c r="B316" s="24" t="s">
        <v>501</v>
      </c>
      <c r="C316" s="24"/>
      <c r="D316" s="24" t="s">
        <v>1078</v>
      </c>
    </row>
    <row r="317" spans="2:4" x14ac:dyDescent="0.25">
      <c r="B317" s="24" t="s">
        <v>1104</v>
      </c>
      <c r="C317" s="24"/>
      <c r="D317" s="24" t="s">
        <v>1072</v>
      </c>
    </row>
    <row r="318" spans="2:4" x14ac:dyDescent="0.25">
      <c r="B318" s="24" t="s">
        <v>746</v>
      </c>
      <c r="C318" s="24"/>
      <c r="D318" s="24" t="s">
        <v>1073</v>
      </c>
    </row>
    <row r="319" spans="2:4" x14ac:dyDescent="0.25">
      <c r="B319" s="24" t="s">
        <v>689</v>
      </c>
      <c r="C319" s="24"/>
      <c r="D319" s="24" t="s">
        <v>1071</v>
      </c>
    </row>
    <row r="320" spans="2:4" x14ac:dyDescent="0.25">
      <c r="B320" s="24" t="s">
        <v>503</v>
      </c>
      <c r="C320" s="24"/>
      <c r="D320" s="24" t="s">
        <v>1071</v>
      </c>
    </row>
    <row r="321" spans="2:4" x14ac:dyDescent="0.25">
      <c r="B321" s="24" t="s">
        <v>292</v>
      </c>
      <c r="C321" s="24"/>
      <c r="D321" s="24" t="s">
        <v>1079</v>
      </c>
    </row>
    <row r="322" spans="2:4" x14ac:dyDescent="0.25">
      <c r="B322" s="24" t="s">
        <v>332</v>
      </c>
      <c r="C322" s="24"/>
      <c r="D322" s="24" t="s">
        <v>1076</v>
      </c>
    </row>
    <row r="323" spans="2:4" x14ac:dyDescent="0.25">
      <c r="B323" s="24" t="s">
        <v>150</v>
      </c>
      <c r="C323" s="24"/>
      <c r="D323" s="24" t="s">
        <v>1071</v>
      </c>
    </row>
    <row r="324" spans="2:4" x14ac:dyDescent="0.25">
      <c r="B324" s="24" t="s">
        <v>922</v>
      </c>
      <c r="C324" s="24"/>
      <c r="D324" s="24" t="s">
        <v>1079</v>
      </c>
    </row>
    <row r="325" spans="2:4" x14ac:dyDescent="0.25">
      <c r="B325" s="24" t="s">
        <v>745</v>
      </c>
      <c r="C325" s="24"/>
      <c r="D325" s="24" t="s">
        <v>1080</v>
      </c>
    </row>
    <row r="326" spans="2:4" x14ac:dyDescent="0.25">
      <c r="B326" s="24" t="s">
        <v>855</v>
      </c>
      <c r="C326" s="24"/>
      <c r="D326" s="24" t="s">
        <v>1077</v>
      </c>
    </row>
    <row r="327" spans="2:4" x14ac:dyDescent="0.25">
      <c r="B327" s="24" t="s">
        <v>146</v>
      </c>
      <c r="C327" s="24"/>
      <c r="D327" s="24" t="s">
        <v>1071</v>
      </c>
    </row>
    <row r="328" spans="2:4" x14ac:dyDescent="0.25">
      <c r="B328" s="24" t="s">
        <v>455</v>
      </c>
      <c r="C328" s="24"/>
      <c r="D328" s="24" t="s">
        <v>1070</v>
      </c>
    </row>
    <row r="329" spans="2:4" x14ac:dyDescent="0.25">
      <c r="B329" s="24" t="s">
        <v>437</v>
      </c>
      <c r="C329" s="24"/>
      <c r="D329" s="24" t="s">
        <v>1071</v>
      </c>
    </row>
    <row r="330" spans="2:4" x14ac:dyDescent="0.25">
      <c r="B330" s="24" t="s">
        <v>1040</v>
      </c>
      <c r="C330" s="24"/>
      <c r="D330" s="24" t="s">
        <v>1074</v>
      </c>
    </row>
    <row r="331" spans="2:4" x14ac:dyDescent="0.25">
      <c r="B331" s="24" t="s">
        <v>710</v>
      </c>
      <c r="C331" s="24"/>
      <c r="D331" s="24" t="s">
        <v>1069</v>
      </c>
    </row>
    <row r="332" spans="2:4" x14ac:dyDescent="0.25">
      <c r="B332" s="24" t="s">
        <v>371</v>
      </c>
      <c r="C332" s="24"/>
      <c r="D332" s="24" t="s">
        <v>1076</v>
      </c>
    </row>
    <row r="333" spans="2:4" x14ac:dyDescent="0.25">
      <c r="B333" s="24" t="s">
        <v>1097</v>
      </c>
      <c r="C333" s="24"/>
      <c r="D333" s="24" t="s">
        <v>1073</v>
      </c>
    </row>
    <row r="334" spans="2:4" x14ac:dyDescent="0.25">
      <c r="B334" s="24" t="s">
        <v>391</v>
      </c>
      <c r="C334" s="24"/>
      <c r="D334" s="24" t="s">
        <v>1073</v>
      </c>
    </row>
    <row r="335" spans="2:4" x14ac:dyDescent="0.25">
      <c r="B335" s="24" t="s">
        <v>914</v>
      </c>
      <c r="C335" s="24"/>
      <c r="D335" s="24" t="s">
        <v>1075</v>
      </c>
    </row>
    <row r="336" spans="2:4" x14ac:dyDescent="0.25">
      <c r="B336" s="24" t="s">
        <v>127</v>
      </c>
      <c r="C336" s="24"/>
      <c r="D336" s="24" t="s">
        <v>1069</v>
      </c>
    </row>
    <row r="337" spans="2:4" x14ac:dyDescent="0.25">
      <c r="B337" s="24" t="s">
        <v>640</v>
      </c>
      <c r="C337" s="24"/>
      <c r="D337" s="24" t="s">
        <v>1075</v>
      </c>
    </row>
    <row r="338" spans="2:4" x14ac:dyDescent="0.25">
      <c r="B338" s="24" t="s">
        <v>880</v>
      </c>
      <c r="C338" s="24"/>
      <c r="D338" s="24" t="s">
        <v>1071</v>
      </c>
    </row>
    <row r="339" spans="2:4" x14ac:dyDescent="0.25">
      <c r="B339" s="24" t="s">
        <v>335</v>
      </c>
      <c r="C339" s="24"/>
      <c r="D339" s="24" t="s">
        <v>1070</v>
      </c>
    </row>
    <row r="340" spans="2:4" x14ac:dyDescent="0.25">
      <c r="B340" s="24" t="s">
        <v>785</v>
      </c>
      <c r="C340" s="24"/>
      <c r="D340" s="24" t="s">
        <v>1075</v>
      </c>
    </row>
    <row r="341" spans="2:4" x14ac:dyDescent="0.25">
      <c r="B341" s="24" t="s">
        <v>912</v>
      </c>
      <c r="C341" s="24"/>
      <c r="D341" s="24" t="s">
        <v>1076</v>
      </c>
    </row>
    <row r="342" spans="2:4" x14ac:dyDescent="0.25">
      <c r="B342" s="24" t="s">
        <v>380</v>
      </c>
      <c r="C342" s="24"/>
      <c r="D342" s="24" t="s">
        <v>1080</v>
      </c>
    </row>
    <row r="343" spans="2:4" x14ac:dyDescent="0.25">
      <c r="B343" s="24" t="s">
        <v>512</v>
      </c>
      <c r="C343" s="24"/>
      <c r="D343" s="24" t="s">
        <v>1070</v>
      </c>
    </row>
    <row r="344" spans="2:4" x14ac:dyDescent="0.25">
      <c r="B344" s="24" t="s">
        <v>609</v>
      </c>
      <c r="C344" s="24"/>
      <c r="D344" s="24" t="s">
        <v>1074</v>
      </c>
    </row>
    <row r="345" spans="2:4" x14ac:dyDescent="0.25">
      <c r="B345" s="24" t="s">
        <v>919</v>
      </c>
      <c r="C345" s="24"/>
      <c r="D345" s="24" t="s">
        <v>1069</v>
      </c>
    </row>
    <row r="346" spans="2:4" x14ac:dyDescent="0.25">
      <c r="B346" s="24" t="s">
        <v>1109</v>
      </c>
      <c r="C346" s="24"/>
      <c r="D346" s="24" t="s">
        <v>1071</v>
      </c>
    </row>
    <row r="347" spans="2:4" x14ac:dyDescent="0.25">
      <c r="B347" s="24" t="s">
        <v>566</v>
      </c>
      <c r="C347" s="24"/>
      <c r="D347" s="24" t="s">
        <v>1080</v>
      </c>
    </row>
    <row r="348" spans="2:4" x14ac:dyDescent="0.25">
      <c r="B348" s="24" t="s">
        <v>447</v>
      </c>
      <c r="C348" s="24"/>
      <c r="D348" s="24" t="s">
        <v>1080</v>
      </c>
    </row>
    <row r="349" spans="2:4" x14ac:dyDescent="0.25">
      <c r="B349" s="24" t="s">
        <v>460</v>
      </c>
      <c r="C349" s="24"/>
      <c r="D349" s="24" t="s">
        <v>1074</v>
      </c>
    </row>
    <row r="350" spans="2:4" x14ac:dyDescent="0.25">
      <c r="B350" s="24" t="s">
        <v>139</v>
      </c>
      <c r="C350" s="24"/>
      <c r="D350" s="24" t="s">
        <v>1076</v>
      </c>
    </row>
    <row r="351" spans="2:4" x14ac:dyDescent="0.25">
      <c r="B351" s="24" t="s">
        <v>605</v>
      </c>
      <c r="C351" s="24"/>
      <c r="D351" s="24" t="s">
        <v>1071</v>
      </c>
    </row>
    <row r="352" spans="2:4" x14ac:dyDescent="0.25">
      <c r="B352" s="24" t="s">
        <v>302</v>
      </c>
      <c r="C352" s="24"/>
      <c r="D352" s="24" t="s">
        <v>1077</v>
      </c>
    </row>
    <row r="353" spans="2:4" x14ac:dyDescent="0.25">
      <c r="B353" s="24" t="s">
        <v>564</v>
      </c>
      <c r="C353" s="24"/>
      <c r="D353" s="24" t="s">
        <v>1080</v>
      </c>
    </row>
    <row r="354" spans="2:4" x14ac:dyDescent="0.25">
      <c r="B354" s="24" t="s">
        <v>1044</v>
      </c>
      <c r="C354" s="24"/>
      <c r="D354" s="24" t="s">
        <v>1073</v>
      </c>
    </row>
    <row r="355" spans="2:4" x14ac:dyDescent="0.25">
      <c r="B355" s="24" t="s">
        <v>266</v>
      </c>
      <c r="C355" s="24"/>
      <c r="D355" s="24" t="s">
        <v>1075</v>
      </c>
    </row>
    <row r="356" spans="2:4" x14ac:dyDescent="0.25">
      <c r="B356" s="24" t="s">
        <v>807</v>
      </c>
      <c r="C356" s="24"/>
      <c r="D356" s="24" t="s">
        <v>1071</v>
      </c>
    </row>
    <row r="357" spans="2:4" x14ac:dyDescent="0.25">
      <c r="B357" s="24" t="s">
        <v>1100</v>
      </c>
      <c r="C357" s="24"/>
      <c r="D357" s="24" t="s">
        <v>1080</v>
      </c>
    </row>
    <row r="358" spans="2:4" x14ac:dyDescent="0.25">
      <c r="B358" s="24" t="s">
        <v>207</v>
      </c>
      <c r="C358" s="24"/>
      <c r="D358" s="24" t="s">
        <v>1076</v>
      </c>
    </row>
    <row r="359" spans="2:4" x14ac:dyDescent="0.25">
      <c r="B359" s="24" t="s">
        <v>174</v>
      </c>
      <c r="C359" s="24"/>
      <c r="D359" s="24" t="s">
        <v>1079</v>
      </c>
    </row>
    <row r="360" spans="2:4" x14ac:dyDescent="0.25">
      <c r="B360" s="24" t="s">
        <v>780</v>
      </c>
      <c r="C360" s="24"/>
      <c r="D360" s="24" t="s">
        <v>1078</v>
      </c>
    </row>
    <row r="361" spans="2:4" x14ac:dyDescent="0.25">
      <c r="B361" s="24" t="s">
        <v>1097</v>
      </c>
      <c r="C361" s="24"/>
      <c r="D361" s="24" t="s">
        <v>1078</v>
      </c>
    </row>
    <row r="362" spans="2:4" x14ac:dyDescent="0.25">
      <c r="B362" s="24" t="s">
        <v>423</v>
      </c>
      <c r="C362" s="24"/>
      <c r="D362" s="24" t="s">
        <v>1077</v>
      </c>
    </row>
    <row r="363" spans="2:4" x14ac:dyDescent="0.25">
      <c r="B363" s="24" t="s">
        <v>489</v>
      </c>
      <c r="C363" s="24"/>
      <c r="D363" s="24" t="s">
        <v>1070</v>
      </c>
    </row>
    <row r="364" spans="2:4" x14ac:dyDescent="0.25">
      <c r="B364" s="24" t="s">
        <v>637</v>
      </c>
      <c r="C364" s="24"/>
      <c r="D364" s="24" t="s">
        <v>1079</v>
      </c>
    </row>
    <row r="365" spans="2:4" x14ac:dyDescent="0.25">
      <c r="B365" s="24" t="s">
        <v>409</v>
      </c>
      <c r="C365" s="24"/>
      <c r="D365" s="24" t="s">
        <v>1079</v>
      </c>
    </row>
    <row r="366" spans="2:4" x14ac:dyDescent="0.25">
      <c r="B366" s="24" t="s">
        <v>387</v>
      </c>
      <c r="C366" s="24"/>
      <c r="D366" s="24" t="s">
        <v>1077</v>
      </c>
    </row>
    <row r="367" spans="2:4" x14ac:dyDescent="0.25">
      <c r="B367" s="24" t="s">
        <v>400</v>
      </c>
      <c r="C367" s="24"/>
      <c r="D367" s="24" t="s">
        <v>1069</v>
      </c>
    </row>
    <row r="368" spans="2:4" x14ac:dyDescent="0.25">
      <c r="B368" s="24" t="s">
        <v>933</v>
      </c>
      <c r="C368" s="24"/>
      <c r="D368" s="24" t="s">
        <v>1074</v>
      </c>
    </row>
    <row r="369" spans="2:4" x14ac:dyDescent="0.25">
      <c r="B369" s="24" t="s">
        <v>215</v>
      </c>
      <c r="C369" s="24"/>
      <c r="D369" s="24" t="s">
        <v>1078</v>
      </c>
    </row>
    <row r="370" spans="2:4" x14ac:dyDescent="0.25">
      <c r="B370" s="24" t="s">
        <v>175</v>
      </c>
      <c r="C370" s="24"/>
      <c r="D370" s="24" t="s">
        <v>1080</v>
      </c>
    </row>
    <row r="371" spans="2:4" x14ac:dyDescent="0.25">
      <c r="B371" s="24" t="s">
        <v>583</v>
      </c>
      <c r="C371" s="24"/>
      <c r="D371" s="24" t="s">
        <v>1080</v>
      </c>
    </row>
    <row r="372" spans="2:4" x14ac:dyDescent="0.25">
      <c r="B372" s="24" t="s">
        <v>899</v>
      </c>
      <c r="C372" s="24"/>
      <c r="D372" s="24" t="s">
        <v>1072</v>
      </c>
    </row>
    <row r="373" spans="2:4" x14ac:dyDescent="0.25">
      <c r="B373" s="24" t="s">
        <v>361</v>
      </c>
      <c r="C373" s="24"/>
      <c r="D373" s="24" t="s">
        <v>1073</v>
      </c>
    </row>
    <row r="374" spans="2:4" x14ac:dyDescent="0.25">
      <c r="B374" s="24" t="s">
        <v>731</v>
      </c>
      <c r="C374" s="24"/>
      <c r="D374" s="24" t="s">
        <v>1075</v>
      </c>
    </row>
    <row r="375" spans="2:4" x14ac:dyDescent="0.25">
      <c r="B375" s="24" t="s">
        <v>751</v>
      </c>
      <c r="C375" s="24"/>
      <c r="D375" s="24" t="s">
        <v>1071</v>
      </c>
    </row>
    <row r="376" spans="2:4" x14ac:dyDescent="0.25">
      <c r="B376" s="24" t="s">
        <v>874</v>
      </c>
      <c r="C376" s="24"/>
      <c r="D376" s="24" t="s">
        <v>1076</v>
      </c>
    </row>
    <row r="377" spans="2:4" x14ac:dyDescent="0.25">
      <c r="B377" s="24" t="s">
        <v>992</v>
      </c>
      <c r="C377" s="24"/>
      <c r="D377" s="24" t="s">
        <v>1073</v>
      </c>
    </row>
    <row r="378" spans="2:4" x14ac:dyDescent="0.25">
      <c r="B378" s="24" t="s">
        <v>452</v>
      </c>
      <c r="C378" s="24"/>
      <c r="D378" s="24" t="s">
        <v>1080</v>
      </c>
    </row>
    <row r="379" spans="2:4" x14ac:dyDescent="0.25">
      <c r="B379" s="24" t="s">
        <v>142</v>
      </c>
      <c r="C379" s="24"/>
      <c r="D379" s="24" t="s">
        <v>1073</v>
      </c>
    </row>
    <row r="380" spans="2:4" x14ac:dyDescent="0.25">
      <c r="B380" s="24" t="s">
        <v>850</v>
      </c>
      <c r="C380" s="24"/>
      <c r="D380" s="24" t="s">
        <v>1078</v>
      </c>
    </row>
    <row r="381" spans="2:4" x14ac:dyDescent="0.25">
      <c r="B381" s="24" t="s">
        <v>1097</v>
      </c>
      <c r="C381" s="24"/>
      <c r="D381" s="24" t="s">
        <v>1079</v>
      </c>
    </row>
    <row r="382" spans="2:4" x14ac:dyDescent="0.25">
      <c r="B382" s="24" t="s">
        <v>555</v>
      </c>
      <c r="C382" s="24"/>
      <c r="D382" s="24" t="s">
        <v>1072</v>
      </c>
    </row>
    <row r="383" spans="2:4" x14ac:dyDescent="0.25">
      <c r="B383" s="24" t="s">
        <v>941</v>
      </c>
      <c r="C383" s="24"/>
      <c r="D383" s="24" t="s">
        <v>1073</v>
      </c>
    </row>
    <row r="384" spans="2:4" x14ac:dyDescent="0.25">
      <c r="B384" s="24" t="s">
        <v>955</v>
      </c>
      <c r="C384" s="24"/>
      <c r="D384" s="24" t="s">
        <v>1079</v>
      </c>
    </row>
    <row r="385" spans="2:4" x14ac:dyDescent="0.25">
      <c r="B385" s="24" t="s">
        <v>722</v>
      </c>
      <c r="C385" s="24"/>
      <c r="D385" s="24" t="s">
        <v>1078</v>
      </c>
    </row>
    <row r="386" spans="2:4" x14ac:dyDescent="0.25">
      <c r="B386" s="24" t="s">
        <v>690</v>
      </c>
      <c r="C386" s="24"/>
      <c r="D386" s="24" t="s">
        <v>1071</v>
      </c>
    </row>
    <row r="387" spans="2:4" x14ac:dyDescent="0.25">
      <c r="B387" s="24" t="s">
        <v>953</v>
      </c>
      <c r="C387" s="24"/>
      <c r="D387" s="24" t="s">
        <v>1077</v>
      </c>
    </row>
    <row r="388" spans="2:4" x14ac:dyDescent="0.25">
      <c r="B388" s="24" t="s">
        <v>967</v>
      </c>
      <c r="C388" s="24"/>
      <c r="D388" s="24" t="s">
        <v>1077</v>
      </c>
    </row>
    <row r="389" spans="2:4" x14ac:dyDescent="0.25">
      <c r="B389" s="24" t="s">
        <v>923</v>
      </c>
      <c r="C389" s="24"/>
      <c r="D389" s="24" t="s">
        <v>1078</v>
      </c>
    </row>
    <row r="390" spans="2:4" x14ac:dyDescent="0.25">
      <c r="B390" s="24" t="s">
        <v>398</v>
      </c>
      <c r="C390" s="24"/>
      <c r="D390" s="24" t="s">
        <v>1069</v>
      </c>
    </row>
    <row r="391" spans="2:4" x14ac:dyDescent="0.25">
      <c r="B391" s="24" t="s">
        <v>928</v>
      </c>
      <c r="C391" s="24"/>
      <c r="D391" s="24" t="s">
        <v>1075</v>
      </c>
    </row>
    <row r="392" spans="2:4" x14ac:dyDescent="0.25">
      <c r="B392" s="24" t="s">
        <v>801</v>
      </c>
      <c r="C392" s="24"/>
      <c r="D392" s="24" t="s">
        <v>1071</v>
      </c>
    </row>
    <row r="393" spans="2:4" x14ac:dyDescent="0.25">
      <c r="B393" s="24" t="s">
        <v>887</v>
      </c>
      <c r="C393" s="24"/>
      <c r="D393" s="24" t="s">
        <v>1073</v>
      </c>
    </row>
    <row r="394" spans="2:4" x14ac:dyDescent="0.25">
      <c r="B394" s="24" t="s">
        <v>576</v>
      </c>
      <c r="C394" s="24"/>
      <c r="D394" s="24" t="s">
        <v>1077</v>
      </c>
    </row>
    <row r="395" spans="2:4" x14ac:dyDescent="0.25">
      <c r="B395" s="24" t="s">
        <v>168</v>
      </c>
      <c r="C395" s="24"/>
      <c r="D395" s="24" t="s">
        <v>1077</v>
      </c>
    </row>
    <row r="396" spans="2:4" x14ac:dyDescent="0.25">
      <c r="B396" s="24" t="s">
        <v>995</v>
      </c>
      <c r="C396" s="24"/>
      <c r="D396" s="24" t="s">
        <v>1080</v>
      </c>
    </row>
    <row r="397" spans="2:4" x14ac:dyDescent="0.25">
      <c r="B397" s="24" t="s">
        <v>596</v>
      </c>
      <c r="C397" s="24"/>
      <c r="D397" s="24" t="s">
        <v>1072</v>
      </c>
    </row>
    <row r="398" spans="2:4" x14ac:dyDescent="0.25">
      <c r="B398" s="24" t="s">
        <v>1085</v>
      </c>
      <c r="C398" s="24"/>
      <c r="D398" s="24" t="s">
        <v>1079</v>
      </c>
    </row>
    <row r="399" spans="2:4" x14ac:dyDescent="0.25">
      <c r="B399" s="24" t="s">
        <v>916</v>
      </c>
      <c r="C399" s="24"/>
      <c r="D399" s="24" t="s">
        <v>1074</v>
      </c>
    </row>
    <row r="400" spans="2:4" x14ac:dyDescent="0.25">
      <c r="B400" s="24" t="s">
        <v>277</v>
      </c>
      <c r="C400" s="24"/>
      <c r="D400" s="24" t="s">
        <v>1070</v>
      </c>
    </row>
    <row r="401" spans="2:4" x14ac:dyDescent="0.25">
      <c r="B401" s="24" t="s">
        <v>287</v>
      </c>
      <c r="C401" s="24"/>
      <c r="D401" s="24" t="s">
        <v>1070</v>
      </c>
    </row>
    <row r="402" spans="2:4" x14ac:dyDescent="0.25">
      <c r="B402" s="24" t="s">
        <v>1034</v>
      </c>
      <c r="C402" s="24"/>
      <c r="D402" s="24" t="s">
        <v>1071</v>
      </c>
    </row>
    <row r="403" spans="2:4" x14ac:dyDescent="0.25">
      <c r="B403" s="24" t="s">
        <v>1084</v>
      </c>
      <c r="C403" s="24"/>
      <c r="D403" s="24" t="s">
        <v>1080</v>
      </c>
    </row>
    <row r="404" spans="2:4" x14ac:dyDescent="0.25">
      <c r="B404" s="24" t="s">
        <v>922</v>
      </c>
      <c r="C404" s="24"/>
      <c r="D404" s="24" t="s">
        <v>1076</v>
      </c>
    </row>
    <row r="405" spans="2:4" x14ac:dyDescent="0.25">
      <c r="B405" s="24" t="s">
        <v>946</v>
      </c>
      <c r="C405" s="24"/>
      <c r="D405" s="24" t="s">
        <v>1069</v>
      </c>
    </row>
    <row r="406" spans="2:4" x14ac:dyDescent="0.25">
      <c r="B406" s="24" t="s">
        <v>580</v>
      </c>
      <c r="C406" s="24"/>
      <c r="D406" s="24" t="s">
        <v>1080</v>
      </c>
    </row>
    <row r="407" spans="2:4" x14ac:dyDescent="0.25">
      <c r="B407" s="24" t="s">
        <v>373</v>
      </c>
      <c r="C407" s="24"/>
      <c r="D407" s="24" t="s">
        <v>1076</v>
      </c>
    </row>
    <row r="408" spans="2:4" x14ac:dyDescent="0.25">
      <c r="B408" s="24" t="s">
        <v>469</v>
      </c>
      <c r="C408" s="24"/>
      <c r="D408" s="24" t="s">
        <v>1077</v>
      </c>
    </row>
    <row r="409" spans="2:4" x14ac:dyDescent="0.25">
      <c r="B409" s="24" t="s">
        <v>891</v>
      </c>
      <c r="C409" s="24"/>
      <c r="D409" s="24" t="s">
        <v>1076</v>
      </c>
    </row>
    <row r="410" spans="2:4" x14ac:dyDescent="0.25">
      <c r="B410" s="24" t="s">
        <v>217</v>
      </c>
      <c r="C410" s="24"/>
      <c r="D410" s="24" t="s">
        <v>1072</v>
      </c>
    </row>
    <row r="411" spans="2:4" x14ac:dyDescent="0.25">
      <c r="B411" s="24" t="s">
        <v>231</v>
      </c>
      <c r="C411" s="24"/>
      <c r="D411" s="24" t="s">
        <v>1074</v>
      </c>
    </row>
    <row r="412" spans="2:4" x14ac:dyDescent="0.25">
      <c r="B412" s="24" t="s">
        <v>981</v>
      </c>
      <c r="C412" s="24"/>
      <c r="D412" s="24" t="s">
        <v>1070</v>
      </c>
    </row>
    <row r="413" spans="2:4" x14ac:dyDescent="0.25">
      <c r="B413" s="24" t="s">
        <v>162</v>
      </c>
      <c r="C413" s="24"/>
      <c r="D413" s="24" t="s">
        <v>1077</v>
      </c>
    </row>
    <row r="414" spans="2:4" x14ac:dyDescent="0.25">
      <c r="B414" s="24" t="s">
        <v>286</v>
      </c>
      <c r="C414" s="24"/>
      <c r="D414" s="24" t="s">
        <v>1069</v>
      </c>
    </row>
    <row r="415" spans="2:4" x14ac:dyDescent="0.25">
      <c r="B415" s="24" t="s">
        <v>965</v>
      </c>
      <c r="C415" s="24"/>
      <c r="D415" s="24" t="s">
        <v>1069</v>
      </c>
    </row>
    <row r="416" spans="2:4" x14ac:dyDescent="0.25">
      <c r="B416" s="24" t="s">
        <v>757</v>
      </c>
      <c r="C416" s="24"/>
      <c r="D416" s="24" t="s">
        <v>1078</v>
      </c>
    </row>
    <row r="417" spans="2:4" x14ac:dyDescent="0.25">
      <c r="B417" s="24" t="s">
        <v>1035</v>
      </c>
      <c r="C417" s="24"/>
      <c r="D417" s="24" t="s">
        <v>1074</v>
      </c>
    </row>
    <row r="418" spans="2:4" x14ac:dyDescent="0.25">
      <c r="B418" s="24" t="s">
        <v>559</v>
      </c>
      <c r="C418" s="24"/>
      <c r="D418" s="24" t="s">
        <v>1076</v>
      </c>
    </row>
    <row r="419" spans="2:4" x14ac:dyDescent="0.25">
      <c r="B419" s="24" t="s">
        <v>506</v>
      </c>
      <c r="C419" s="24"/>
      <c r="D419" s="24" t="s">
        <v>1072</v>
      </c>
    </row>
    <row r="420" spans="2:4" x14ac:dyDescent="0.25">
      <c r="B420" s="24" t="s">
        <v>672</v>
      </c>
      <c r="C420" s="24"/>
      <c r="D420" s="24" t="s">
        <v>1071</v>
      </c>
    </row>
    <row r="421" spans="2:4" x14ac:dyDescent="0.25">
      <c r="B421" s="24" t="s">
        <v>583</v>
      </c>
      <c r="C421" s="24"/>
      <c r="D421" s="24" t="s">
        <v>1074</v>
      </c>
    </row>
    <row r="422" spans="2:4" x14ac:dyDescent="0.25">
      <c r="B422" s="24" t="s">
        <v>697</v>
      </c>
      <c r="C422" s="24"/>
      <c r="D422" s="24" t="s">
        <v>1080</v>
      </c>
    </row>
    <row r="423" spans="2:4" x14ac:dyDescent="0.25">
      <c r="B423" s="24" t="s">
        <v>700</v>
      </c>
      <c r="C423" s="24"/>
      <c r="D423" s="24" t="s">
        <v>1077</v>
      </c>
    </row>
    <row r="424" spans="2:4" x14ac:dyDescent="0.25">
      <c r="B424" s="24" t="s">
        <v>762</v>
      </c>
      <c r="C424" s="24"/>
      <c r="D424" s="24" t="s">
        <v>1071</v>
      </c>
    </row>
    <row r="425" spans="2:4" x14ac:dyDescent="0.25">
      <c r="B425" s="24" t="s">
        <v>180</v>
      </c>
      <c r="C425" s="24"/>
      <c r="D425" s="24" t="s">
        <v>1071</v>
      </c>
    </row>
    <row r="426" spans="2:4" x14ac:dyDescent="0.25">
      <c r="B426" s="24" t="s">
        <v>745</v>
      </c>
      <c r="C426" s="24"/>
      <c r="D426" s="24" t="s">
        <v>1070</v>
      </c>
    </row>
    <row r="427" spans="2:4" x14ac:dyDescent="0.25">
      <c r="B427" s="24" t="s">
        <v>969</v>
      </c>
      <c r="C427" s="24"/>
      <c r="D427" s="24" t="s">
        <v>1071</v>
      </c>
    </row>
    <row r="428" spans="2:4" x14ac:dyDescent="0.25">
      <c r="B428" s="24" t="s">
        <v>715</v>
      </c>
      <c r="C428" s="24"/>
      <c r="D428" s="24" t="s">
        <v>1076</v>
      </c>
    </row>
    <row r="429" spans="2:4" x14ac:dyDescent="0.25">
      <c r="B429" s="24" t="s">
        <v>883</v>
      </c>
      <c r="C429" s="24"/>
      <c r="D429" s="24" t="s">
        <v>1080</v>
      </c>
    </row>
    <row r="430" spans="2:4" x14ac:dyDescent="0.25">
      <c r="B430" s="24" t="s">
        <v>642</v>
      </c>
      <c r="C430" s="24"/>
      <c r="D430" s="24" t="s">
        <v>1076</v>
      </c>
    </row>
    <row r="431" spans="2:4" x14ac:dyDescent="0.25">
      <c r="B431" s="24" t="s">
        <v>754</v>
      </c>
      <c r="C431" s="24"/>
      <c r="D431" s="24" t="s">
        <v>1073</v>
      </c>
    </row>
    <row r="432" spans="2:4" x14ac:dyDescent="0.25">
      <c r="B432" s="24" t="s">
        <v>353</v>
      </c>
      <c r="C432" s="24"/>
      <c r="D432" s="24" t="s">
        <v>1078</v>
      </c>
    </row>
    <row r="433" spans="2:4" x14ac:dyDescent="0.25">
      <c r="B433" s="24" t="s">
        <v>122</v>
      </c>
      <c r="C433" s="24"/>
      <c r="D433" s="24" t="s">
        <v>1074</v>
      </c>
    </row>
    <row r="434" spans="2:4" x14ac:dyDescent="0.25">
      <c r="B434" s="24" t="s">
        <v>704</v>
      </c>
      <c r="C434" s="24"/>
      <c r="D434" s="24" t="s">
        <v>1076</v>
      </c>
    </row>
    <row r="435" spans="2:4" x14ac:dyDescent="0.25">
      <c r="B435" s="24" t="s">
        <v>970</v>
      </c>
      <c r="C435" s="24"/>
      <c r="D435" s="24" t="s">
        <v>1069</v>
      </c>
    </row>
    <row r="436" spans="2:4" x14ac:dyDescent="0.25">
      <c r="B436" s="24" t="s">
        <v>123</v>
      </c>
      <c r="C436" s="24"/>
      <c r="D436" s="24" t="s">
        <v>1069</v>
      </c>
    </row>
    <row r="437" spans="2:4" x14ac:dyDescent="0.25">
      <c r="B437" s="24" t="s">
        <v>960</v>
      </c>
      <c r="C437" s="24"/>
      <c r="D437" s="24" t="s">
        <v>1080</v>
      </c>
    </row>
    <row r="438" spans="2:4" x14ac:dyDescent="0.25">
      <c r="B438" s="24" t="s">
        <v>169</v>
      </c>
      <c r="C438" s="24"/>
      <c r="D438" s="24" t="s">
        <v>1079</v>
      </c>
    </row>
    <row r="439" spans="2:4" x14ac:dyDescent="0.25">
      <c r="B439" s="24" t="s">
        <v>598</v>
      </c>
      <c r="C439" s="24"/>
      <c r="D439" s="24" t="s">
        <v>1072</v>
      </c>
    </row>
    <row r="440" spans="2:4" x14ac:dyDescent="0.25">
      <c r="B440" s="24" t="s">
        <v>614</v>
      </c>
      <c r="C440" s="24"/>
      <c r="D440" s="24" t="s">
        <v>1070</v>
      </c>
    </row>
    <row r="441" spans="2:4" x14ac:dyDescent="0.25">
      <c r="B441" s="24" t="s">
        <v>859</v>
      </c>
      <c r="C441" s="24"/>
      <c r="D441" s="24" t="s">
        <v>1077</v>
      </c>
    </row>
    <row r="442" spans="2:4" x14ac:dyDescent="0.25">
      <c r="B442" s="24" t="s">
        <v>607</v>
      </c>
      <c r="C442" s="24"/>
      <c r="D442" s="24" t="s">
        <v>1070</v>
      </c>
    </row>
    <row r="443" spans="2:4" x14ac:dyDescent="0.25">
      <c r="B443" s="24" t="s">
        <v>1114</v>
      </c>
      <c r="C443" s="24"/>
      <c r="D443" s="24" t="s">
        <v>1074</v>
      </c>
    </row>
    <row r="444" spans="2:4" x14ac:dyDescent="0.25">
      <c r="B444" s="24" t="s">
        <v>105</v>
      </c>
      <c r="C444" s="24"/>
      <c r="D444" s="24" t="s">
        <v>1069</v>
      </c>
    </row>
    <row r="445" spans="2:4" x14ac:dyDescent="0.25">
      <c r="B445" s="24" t="s">
        <v>957</v>
      </c>
      <c r="C445" s="24"/>
      <c r="D445" s="24" t="s">
        <v>1075</v>
      </c>
    </row>
    <row r="446" spans="2:4" x14ac:dyDescent="0.25">
      <c r="B446" s="24" t="s">
        <v>552</v>
      </c>
      <c r="C446" s="24"/>
      <c r="D446" s="24" t="s">
        <v>1076</v>
      </c>
    </row>
    <row r="447" spans="2:4" x14ac:dyDescent="0.25">
      <c r="B447" s="24" t="s">
        <v>922</v>
      </c>
      <c r="C447" s="24"/>
      <c r="D447" s="24" t="s">
        <v>1070</v>
      </c>
    </row>
    <row r="448" spans="2:4" x14ac:dyDescent="0.25">
      <c r="B448" s="24" t="s">
        <v>924</v>
      </c>
      <c r="C448" s="24"/>
      <c r="D448" s="24" t="s">
        <v>1077</v>
      </c>
    </row>
    <row r="449" spans="2:4" x14ac:dyDescent="0.25">
      <c r="B449" s="24" t="s">
        <v>700</v>
      </c>
      <c r="C449" s="24"/>
      <c r="D449" s="24" t="s">
        <v>1080</v>
      </c>
    </row>
    <row r="450" spans="2:4" x14ac:dyDescent="0.25">
      <c r="B450" s="24" t="s">
        <v>870</v>
      </c>
      <c r="C450" s="24"/>
      <c r="D450" s="24" t="s">
        <v>1079</v>
      </c>
    </row>
    <row r="451" spans="2:4" x14ac:dyDescent="0.25">
      <c r="B451" s="24" t="s">
        <v>143</v>
      </c>
      <c r="C451" s="24"/>
      <c r="D451" s="24" t="s">
        <v>1072</v>
      </c>
    </row>
    <row r="452" spans="2:4" x14ac:dyDescent="0.25">
      <c r="B452" s="24" t="s">
        <v>162</v>
      </c>
      <c r="C452" s="24"/>
      <c r="D452" s="24" t="s">
        <v>1077</v>
      </c>
    </row>
    <row r="453" spans="2:4" x14ac:dyDescent="0.25">
      <c r="B453" s="24" t="s">
        <v>282</v>
      </c>
      <c r="C453" s="24"/>
      <c r="D453" s="24" t="s">
        <v>1071</v>
      </c>
    </row>
    <row r="454" spans="2:4" x14ac:dyDescent="0.25">
      <c r="B454" s="24" t="s">
        <v>372</v>
      </c>
      <c r="C454" s="24"/>
      <c r="D454" s="24" t="s">
        <v>1078</v>
      </c>
    </row>
    <row r="455" spans="2:4" x14ac:dyDescent="0.25">
      <c r="B455" s="24" t="s">
        <v>708</v>
      </c>
      <c r="C455" s="24"/>
      <c r="D455" s="24" t="s">
        <v>1070</v>
      </c>
    </row>
    <row r="456" spans="2:4" x14ac:dyDescent="0.25">
      <c r="B456" s="24" t="s">
        <v>907</v>
      </c>
      <c r="C456" s="24"/>
      <c r="D456" s="24" t="s">
        <v>1069</v>
      </c>
    </row>
    <row r="457" spans="2:4" x14ac:dyDescent="0.25">
      <c r="B457" s="24" t="s">
        <v>152</v>
      </c>
      <c r="C457" s="24"/>
      <c r="D457" s="24" t="s">
        <v>1074</v>
      </c>
    </row>
    <row r="458" spans="2:4" x14ac:dyDescent="0.25">
      <c r="B458" s="24" t="s">
        <v>199</v>
      </c>
      <c r="C458" s="24"/>
      <c r="D458" s="24" t="s">
        <v>1069</v>
      </c>
    </row>
    <row r="459" spans="2:4" x14ac:dyDescent="0.25">
      <c r="B459" s="24" t="s">
        <v>210</v>
      </c>
      <c r="C459" s="24"/>
      <c r="D459" s="24" t="s">
        <v>1069</v>
      </c>
    </row>
    <row r="460" spans="2:4" x14ac:dyDescent="0.25">
      <c r="B460" s="24" t="s">
        <v>1037</v>
      </c>
      <c r="C460" s="24"/>
      <c r="D460" s="24" t="s">
        <v>1080</v>
      </c>
    </row>
    <row r="461" spans="2:4" x14ac:dyDescent="0.25">
      <c r="B461" s="24" t="s">
        <v>538</v>
      </c>
      <c r="C461" s="24"/>
      <c r="D461" s="24" t="s">
        <v>1074</v>
      </c>
    </row>
    <row r="462" spans="2:4" x14ac:dyDescent="0.25">
      <c r="B462" s="24" t="s">
        <v>412</v>
      </c>
      <c r="C462" s="24"/>
      <c r="D462" s="24" t="s">
        <v>1071</v>
      </c>
    </row>
    <row r="463" spans="2:4" x14ac:dyDescent="0.25">
      <c r="B463" s="24" t="s">
        <v>158</v>
      </c>
      <c r="C463" s="24"/>
      <c r="D463" s="24" t="s">
        <v>1080</v>
      </c>
    </row>
    <row r="464" spans="2:4" x14ac:dyDescent="0.25">
      <c r="B464" s="24" t="s">
        <v>429</v>
      </c>
      <c r="C464" s="24"/>
      <c r="D464" s="24" t="s">
        <v>1071</v>
      </c>
    </row>
    <row r="465" spans="2:4" x14ac:dyDescent="0.25">
      <c r="B465" s="24" t="s">
        <v>944</v>
      </c>
      <c r="C465" s="24"/>
      <c r="D465" s="24" t="s">
        <v>1080</v>
      </c>
    </row>
    <row r="466" spans="2:4" x14ac:dyDescent="0.25">
      <c r="B466" s="24" t="s">
        <v>475</v>
      </c>
      <c r="C466" s="24"/>
      <c r="D466" s="24" t="s">
        <v>1074</v>
      </c>
    </row>
    <row r="467" spans="2:4" x14ac:dyDescent="0.25">
      <c r="B467" s="24" t="s">
        <v>620</v>
      </c>
      <c r="C467" s="24"/>
      <c r="D467" s="24" t="s">
        <v>1080</v>
      </c>
    </row>
    <row r="468" spans="2:4" x14ac:dyDescent="0.25">
      <c r="B468" s="24" t="s">
        <v>698</v>
      </c>
      <c r="C468" s="24"/>
      <c r="D468" s="24" t="s">
        <v>1079</v>
      </c>
    </row>
    <row r="469" spans="2:4" x14ac:dyDescent="0.25">
      <c r="B469" s="24" t="s">
        <v>648</v>
      </c>
      <c r="C469" s="24"/>
      <c r="D469" s="24" t="s">
        <v>1078</v>
      </c>
    </row>
    <row r="470" spans="2:4" x14ac:dyDescent="0.25">
      <c r="B470" s="24" t="s">
        <v>722</v>
      </c>
      <c r="C470" s="24"/>
      <c r="D470" s="24" t="s">
        <v>1074</v>
      </c>
    </row>
    <row r="471" spans="2:4" x14ac:dyDescent="0.25">
      <c r="B471" s="24" t="s">
        <v>695</v>
      </c>
      <c r="C471" s="24"/>
      <c r="D471" s="24" t="s">
        <v>1076</v>
      </c>
    </row>
    <row r="472" spans="2:4" x14ac:dyDescent="0.25">
      <c r="B472" s="24" t="s">
        <v>576</v>
      </c>
      <c r="C472" s="24"/>
      <c r="D472" s="24" t="s">
        <v>1073</v>
      </c>
    </row>
    <row r="473" spans="2:4" x14ac:dyDescent="0.25">
      <c r="B473" s="24" t="s">
        <v>164</v>
      </c>
      <c r="C473" s="24"/>
      <c r="D473" s="24" t="s">
        <v>1071</v>
      </c>
    </row>
    <row r="474" spans="2:4" x14ac:dyDescent="0.25">
      <c r="B474" s="24" t="s">
        <v>893</v>
      </c>
      <c r="C474" s="24"/>
      <c r="D474" s="24" t="s">
        <v>1077</v>
      </c>
    </row>
    <row r="475" spans="2:4" x14ac:dyDescent="0.25">
      <c r="B475" s="24" t="s">
        <v>966</v>
      </c>
      <c r="C475" s="24"/>
      <c r="D475" s="24" t="s">
        <v>1071</v>
      </c>
    </row>
    <row r="476" spans="2:4" x14ac:dyDescent="0.25">
      <c r="B476" s="24" t="s">
        <v>422</v>
      </c>
      <c r="C476" s="24"/>
      <c r="D476" s="24" t="s">
        <v>1071</v>
      </c>
    </row>
    <row r="477" spans="2:4" x14ac:dyDescent="0.25">
      <c r="B477" s="24" t="s">
        <v>754</v>
      </c>
      <c r="C477" s="24"/>
      <c r="D477" s="24" t="s">
        <v>1080</v>
      </c>
    </row>
    <row r="478" spans="2:4" x14ac:dyDescent="0.25">
      <c r="B478" s="24" t="s">
        <v>620</v>
      </c>
      <c r="C478" s="24"/>
      <c r="D478" s="24" t="s">
        <v>1072</v>
      </c>
    </row>
    <row r="479" spans="2:4" x14ac:dyDescent="0.25">
      <c r="B479" s="24" t="s">
        <v>1098</v>
      </c>
      <c r="C479" s="24"/>
      <c r="D479" s="24" t="s">
        <v>1075</v>
      </c>
    </row>
    <row r="480" spans="2:4" x14ac:dyDescent="0.25">
      <c r="B480" s="24" t="s">
        <v>727</v>
      </c>
      <c r="C480" s="24"/>
      <c r="D480" s="24" t="s">
        <v>1075</v>
      </c>
    </row>
    <row r="481" spans="2:4" x14ac:dyDescent="0.25">
      <c r="B481" s="24" t="s">
        <v>1029</v>
      </c>
      <c r="C481" s="24"/>
      <c r="D481" s="24" t="s">
        <v>1076</v>
      </c>
    </row>
    <row r="482" spans="2:4" x14ac:dyDescent="0.25">
      <c r="B482" s="24" t="s">
        <v>892</v>
      </c>
      <c r="C482" s="24"/>
      <c r="D482" s="24" t="s">
        <v>1071</v>
      </c>
    </row>
    <row r="483" spans="2:4" x14ac:dyDescent="0.25">
      <c r="B483" s="24" t="s">
        <v>110</v>
      </c>
      <c r="C483" s="24"/>
      <c r="D483" s="24" t="s">
        <v>1072</v>
      </c>
    </row>
    <row r="484" spans="2:4" x14ac:dyDescent="0.25">
      <c r="B484" s="24" t="s">
        <v>661</v>
      </c>
      <c r="C484" s="24"/>
      <c r="D484" s="24" t="s">
        <v>1075</v>
      </c>
    </row>
    <row r="485" spans="2:4" x14ac:dyDescent="0.25">
      <c r="B485" s="24" t="s">
        <v>263</v>
      </c>
      <c r="C485" s="24"/>
      <c r="D485" s="24" t="s">
        <v>1079</v>
      </c>
    </row>
    <row r="486" spans="2:4" x14ac:dyDescent="0.25">
      <c r="B486" s="24" t="s">
        <v>642</v>
      </c>
      <c r="C486" s="24"/>
      <c r="D486" s="24" t="s">
        <v>1076</v>
      </c>
    </row>
    <row r="487" spans="2:4" x14ac:dyDescent="0.25">
      <c r="B487" s="24" t="s">
        <v>223</v>
      </c>
      <c r="C487" s="24"/>
      <c r="D487" s="24" t="s">
        <v>1073</v>
      </c>
    </row>
    <row r="488" spans="2:4" x14ac:dyDescent="0.25">
      <c r="B488" s="24" t="s">
        <v>505</v>
      </c>
      <c r="C488" s="24"/>
      <c r="D488" s="24" t="s">
        <v>1075</v>
      </c>
    </row>
    <row r="489" spans="2:4" x14ac:dyDescent="0.25">
      <c r="B489" s="24" t="s">
        <v>1091</v>
      </c>
      <c r="C489" s="24"/>
      <c r="D489" s="24" t="s">
        <v>1069</v>
      </c>
    </row>
    <row r="490" spans="2:4" x14ac:dyDescent="0.25">
      <c r="B490" s="24" t="s">
        <v>157</v>
      </c>
      <c r="C490" s="24"/>
      <c r="D490" s="24" t="s">
        <v>1071</v>
      </c>
    </row>
    <row r="491" spans="2:4" x14ac:dyDescent="0.25">
      <c r="B491" s="24" t="s">
        <v>1100</v>
      </c>
      <c r="C491" s="24"/>
      <c r="D491" s="24" t="s">
        <v>1079</v>
      </c>
    </row>
    <row r="492" spans="2:4" x14ac:dyDescent="0.25">
      <c r="B492" s="24" t="s">
        <v>186</v>
      </c>
      <c r="C492" s="24"/>
      <c r="D492" s="24" t="s">
        <v>1077</v>
      </c>
    </row>
    <row r="493" spans="2:4" x14ac:dyDescent="0.25">
      <c r="B493" s="24" t="s">
        <v>781</v>
      </c>
      <c r="C493" s="24"/>
      <c r="D493" s="24" t="s">
        <v>1072</v>
      </c>
    </row>
    <row r="494" spans="2:4" x14ac:dyDescent="0.25">
      <c r="B494" s="24" t="s">
        <v>595</v>
      </c>
      <c r="C494" s="24"/>
      <c r="D494" s="24" t="s">
        <v>1071</v>
      </c>
    </row>
    <row r="495" spans="2:4" x14ac:dyDescent="0.25">
      <c r="B495" s="24" t="s">
        <v>350</v>
      </c>
      <c r="C495" s="24"/>
      <c r="D495" s="24" t="s">
        <v>1072</v>
      </c>
    </row>
    <row r="496" spans="2:4" x14ac:dyDescent="0.25">
      <c r="B496" s="24" t="s">
        <v>751</v>
      </c>
      <c r="C496" s="24"/>
      <c r="D496" s="24" t="s">
        <v>1078</v>
      </c>
    </row>
    <row r="497" spans="2:4" x14ac:dyDescent="0.25">
      <c r="B497" s="24" t="s">
        <v>1086</v>
      </c>
      <c r="C497" s="24"/>
      <c r="D497" s="24" t="s">
        <v>1080</v>
      </c>
    </row>
    <row r="498" spans="2:4" x14ac:dyDescent="0.25">
      <c r="B498" s="24" t="s">
        <v>567</v>
      </c>
      <c r="C498" s="24"/>
      <c r="D498" s="24" t="s">
        <v>1072</v>
      </c>
    </row>
    <row r="499" spans="2:4" x14ac:dyDescent="0.25">
      <c r="B499" s="24" t="s">
        <v>232</v>
      </c>
      <c r="C499" s="24"/>
      <c r="D499" s="24" t="s">
        <v>1069</v>
      </c>
    </row>
    <row r="500" spans="2:4" x14ac:dyDescent="0.25">
      <c r="B500" s="24" t="s">
        <v>938</v>
      </c>
      <c r="C500" s="24"/>
      <c r="D500" s="24" t="s">
        <v>1072</v>
      </c>
    </row>
    <row r="501" spans="2:4" x14ac:dyDescent="0.25">
      <c r="B501" s="24" t="s">
        <v>254</v>
      </c>
      <c r="C501" s="24"/>
      <c r="D501" s="24" t="s">
        <v>1080</v>
      </c>
    </row>
    <row r="502" spans="2:4" x14ac:dyDescent="0.25">
      <c r="B502" s="24" t="s">
        <v>528</v>
      </c>
      <c r="C502" s="24"/>
      <c r="D502" s="24" t="s">
        <v>1072</v>
      </c>
    </row>
    <row r="503" spans="2:4" x14ac:dyDescent="0.25">
      <c r="B503" s="24" t="s">
        <v>907</v>
      </c>
      <c r="C503" s="24"/>
      <c r="D503" s="24" t="s">
        <v>1072</v>
      </c>
    </row>
    <row r="504" spans="2:4" x14ac:dyDescent="0.25">
      <c r="B504" s="24" t="s">
        <v>601</v>
      </c>
      <c r="C504" s="24"/>
      <c r="D504" s="24" t="s">
        <v>1074</v>
      </c>
    </row>
    <row r="505" spans="2:4" x14ac:dyDescent="0.25">
      <c r="B505" s="24" t="s">
        <v>1025</v>
      </c>
      <c r="C505" s="24"/>
      <c r="D505" s="24" t="s">
        <v>1079</v>
      </c>
    </row>
    <row r="506" spans="2:4" x14ac:dyDescent="0.25">
      <c r="B506" s="24" t="s">
        <v>341</v>
      </c>
      <c r="C506" s="24"/>
      <c r="D506" s="24" t="s">
        <v>1071</v>
      </c>
    </row>
    <row r="507" spans="2:4" x14ac:dyDescent="0.25">
      <c r="B507" s="24" t="s">
        <v>150</v>
      </c>
      <c r="C507" s="24"/>
      <c r="D507" s="24" t="s">
        <v>1078</v>
      </c>
    </row>
    <row r="508" spans="2:4" x14ac:dyDescent="0.25">
      <c r="B508" s="24" t="s">
        <v>220</v>
      </c>
      <c r="C508" s="24"/>
      <c r="D508" s="24" t="s">
        <v>1078</v>
      </c>
    </row>
    <row r="509" spans="2:4" x14ac:dyDescent="0.25">
      <c r="B509" s="24" t="s">
        <v>772</v>
      </c>
      <c r="C509" s="24"/>
      <c r="D509" s="24" t="s">
        <v>1072</v>
      </c>
    </row>
    <row r="510" spans="2:4" x14ac:dyDescent="0.25">
      <c r="B510" s="24" t="s">
        <v>734</v>
      </c>
      <c r="C510" s="24"/>
      <c r="D510" s="24" t="s">
        <v>1070</v>
      </c>
    </row>
    <row r="511" spans="2:4" x14ac:dyDescent="0.25">
      <c r="B511" s="24" t="s">
        <v>633</v>
      </c>
      <c r="C511" s="24"/>
      <c r="D511" s="24" t="s">
        <v>1076</v>
      </c>
    </row>
    <row r="512" spans="2:4" x14ac:dyDescent="0.25">
      <c r="B512" s="24" t="s">
        <v>409</v>
      </c>
      <c r="C512" s="24"/>
      <c r="D512" s="24" t="s">
        <v>1078</v>
      </c>
    </row>
    <row r="513" spans="2:4" x14ac:dyDescent="0.25">
      <c r="B513" s="24" t="s">
        <v>224</v>
      </c>
      <c r="C513" s="24"/>
      <c r="D513" s="24" t="s">
        <v>1079</v>
      </c>
    </row>
    <row r="514" spans="2:4" x14ac:dyDescent="0.25">
      <c r="B514" s="24" t="s">
        <v>870</v>
      </c>
      <c r="C514" s="24"/>
      <c r="D514" s="24" t="s">
        <v>1070</v>
      </c>
    </row>
    <row r="515" spans="2:4" x14ac:dyDescent="0.25">
      <c r="B515" s="24" t="s">
        <v>649</v>
      </c>
      <c r="C515" s="24"/>
      <c r="D515" s="24" t="s">
        <v>1076</v>
      </c>
    </row>
    <row r="516" spans="2:4" x14ac:dyDescent="0.25">
      <c r="B516" s="24" t="s">
        <v>460</v>
      </c>
      <c r="C516" s="24"/>
      <c r="D516" s="24" t="s">
        <v>1079</v>
      </c>
    </row>
    <row r="517" spans="2:4" x14ac:dyDescent="0.25">
      <c r="B517" s="24" t="s">
        <v>772</v>
      </c>
      <c r="C517" s="24"/>
      <c r="D517" s="24" t="s">
        <v>1077</v>
      </c>
    </row>
    <row r="518" spans="2:4" x14ac:dyDescent="0.25">
      <c r="B518" s="24" t="s">
        <v>776</v>
      </c>
      <c r="C518" s="24"/>
      <c r="D518" s="24" t="s">
        <v>1075</v>
      </c>
    </row>
    <row r="519" spans="2:4" x14ac:dyDescent="0.25">
      <c r="B519" s="24" t="s">
        <v>462</v>
      </c>
      <c r="C519" s="24"/>
      <c r="D519" s="24" t="s">
        <v>1071</v>
      </c>
    </row>
    <row r="520" spans="2:4" x14ac:dyDescent="0.25">
      <c r="B520" s="24" t="s">
        <v>774</v>
      </c>
      <c r="C520" s="24"/>
      <c r="D520" s="24" t="s">
        <v>1076</v>
      </c>
    </row>
    <row r="521" spans="2:4" x14ac:dyDescent="0.25">
      <c r="B521" s="24" t="s">
        <v>183</v>
      </c>
      <c r="C521" s="24"/>
      <c r="D521" s="24" t="s">
        <v>1074</v>
      </c>
    </row>
    <row r="522" spans="2:4" x14ac:dyDescent="0.25">
      <c r="B522" s="24" t="s">
        <v>863</v>
      </c>
      <c r="C522" s="24"/>
      <c r="D522" s="24" t="s">
        <v>1070</v>
      </c>
    </row>
    <row r="523" spans="2:4" x14ac:dyDescent="0.25">
      <c r="B523" s="24" t="s">
        <v>833</v>
      </c>
      <c r="C523" s="24"/>
      <c r="D523" s="24" t="s">
        <v>1073</v>
      </c>
    </row>
    <row r="524" spans="2:4" x14ac:dyDescent="0.25">
      <c r="B524" s="24" t="s">
        <v>428</v>
      </c>
      <c r="C524" s="24"/>
      <c r="D524" s="24" t="s">
        <v>1076</v>
      </c>
    </row>
    <row r="525" spans="2:4" x14ac:dyDescent="0.25">
      <c r="B525" s="24" t="s">
        <v>880</v>
      </c>
      <c r="C525" s="24"/>
      <c r="D525" s="24" t="s">
        <v>1077</v>
      </c>
    </row>
    <row r="526" spans="2:4" x14ac:dyDescent="0.25">
      <c r="B526" s="24" t="s">
        <v>459</v>
      </c>
      <c r="C526" s="24"/>
      <c r="D526" s="24" t="s">
        <v>1071</v>
      </c>
    </row>
    <row r="527" spans="2:4" x14ac:dyDescent="0.25">
      <c r="B527" s="24" t="s">
        <v>594</v>
      </c>
      <c r="C527" s="24"/>
      <c r="D527" s="24" t="s">
        <v>1071</v>
      </c>
    </row>
    <row r="528" spans="2:4" x14ac:dyDescent="0.25">
      <c r="B528" s="24" t="s">
        <v>586</v>
      </c>
      <c r="C528" s="24"/>
      <c r="D528" s="24" t="s">
        <v>1080</v>
      </c>
    </row>
    <row r="529" spans="2:4" x14ac:dyDescent="0.25">
      <c r="B529" s="24" t="s">
        <v>659</v>
      </c>
      <c r="C529" s="24"/>
      <c r="D529" s="24" t="s">
        <v>1077</v>
      </c>
    </row>
    <row r="530" spans="2:4" x14ac:dyDescent="0.25">
      <c r="B530" s="24" t="s">
        <v>248</v>
      </c>
      <c r="C530" s="24"/>
      <c r="D530" s="24" t="s">
        <v>1078</v>
      </c>
    </row>
    <row r="531" spans="2:4" x14ac:dyDescent="0.25">
      <c r="B531" s="24" t="s">
        <v>1050</v>
      </c>
      <c r="C531" s="24"/>
      <c r="D531" s="24" t="s">
        <v>1077</v>
      </c>
    </row>
    <row r="532" spans="2:4" x14ac:dyDescent="0.25">
      <c r="B532" s="24" t="s">
        <v>111</v>
      </c>
      <c r="C532" s="24"/>
      <c r="D532" s="24" t="s">
        <v>1070</v>
      </c>
    </row>
    <row r="533" spans="2:4" x14ac:dyDescent="0.25">
      <c r="B533" s="24" t="s">
        <v>995</v>
      </c>
      <c r="C533" s="24"/>
      <c r="D533" s="24" t="s">
        <v>1071</v>
      </c>
    </row>
    <row r="534" spans="2:4" x14ac:dyDescent="0.25">
      <c r="B534" s="24" t="s">
        <v>807</v>
      </c>
      <c r="C534" s="24"/>
      <c r="D534" s="24" t="s">
        <v>1072</v>
      </c>
    </row>
    <row r="535" spans="2:4" x14ac:dyDescent="0.25">
      <c r="B535" s="24" t="s">
        <v>502</v>
      </c>
      <c r="C535" s="24"/>
      <c r="D535" s="24" t="s">
        <v>1070</v>
      </c>
    </row>
    <row r="536" spans="2:4" x14ac:dyDescent="0.25">
      <c r="B536" s="24" t="s">
        <v>931</v>
      </c>
      <c r="C536" s="24"/>
      <c r="D536" s="24" t="s">
        <v>1072</v>
      </c>
    </row>
    <row r="537" spans="2:4" x14ac:dyDescent="0.25">
      <c r="B537" s="24" t="s">
        <v>693</v>
      </c>
      <c r="C537" s="24"/>
      <c r="D537" s="24" t="s">
        <v>1069</v>
      </c>
    </row>
    <row r="538" spans="2:4" x14ac:dyDescent="0.25">
      <c r="B538" s="24" t="s">
        <v>170</v>
      </c>
      <c r="C538" s="24"/>
      <c r="D538" s="24" t="s">
        <v>1072</v>
      </c>
    </row>
    <row r="539" spans="2:4" x14ac:dyDescent="0.25">
      <c r="B539" s="24" t="s">
        <v>821</v>
      </c>
      <c r="C539" s="24"/>
      <c r="D539" s="24" t="s">
        <v>1076</v>
      </c>
    </row>
    <row r="540" spans="2:4" x14ac:dyDescent="0.25">
      <c r="B540" s="24" t="s">
        <v>720</v>
      </c>
      <c r="C540" s="24"/>
      <c r="D540" s="24" t="s">
        <v>1078</v>
      </c>
    </row>
    <row r="541" spans="2:4" x14ac:dyDescent="0.25">
      <c r="B541" s="24" t="s">
        <v>282</v>
      </c>
      <c r="C541" s="24"/>
      <c r="D541" s="24" t="s">
        <v>1076</v>
      </c>
    </row>
    <row r="542" spans="2:4" x14ac:dyDescent="0.25">
      <c r="B542" s="24" t="s">
        <v>164</v>
      </c>
      <c r="C542" s="24"/>
      <c r="D542" s="24" t="s">
        <v>1074</v>
      </c>
    </row>
    <row r="543" spans="2:4" x14ac:dyDescent="0.25">
      <c r="B543" s="24" t="s">
        <v>874</v>
      </c>
      <c r="C543" s="24"/>
      <c r="D543" s="24" t="s">
        <v>1076</v>
      </c>
    </row>
    <row r="544" spans="2:4" x14ac:dyDescent="0.25">
      <c r="B544" s="24" t="s">
        <v>214</v>
      </c>
      <c r="C544" s="24"/>
      <c r="D544" s="24" t="s">
        <v>1069</v>
      </c>
    </row>
    <row r="545" spans="2:4" x14ac:dyDescent="0.25">
      <c r="B545" s="24" t="s">
        <v>548</v>
      </c>
      <c r="C545" s="24"/>
      <c r="D545" s="24" t="s">
        <v>1076</v>
      </c>
    </row>
    <row r="546" spans="2:4" x14ac:dyDescent="0.25">
      <c r="B546" s="24" t="s">
        <v>1090</v>
      </c>
      <c r="C546" s="24"/>
      <c r="D546" s="24" t="s">
        <v>1079</v>
      </c>
    </row>
    <row r="547" spans="2:4" x14ac:dyDescent="0.25">
      <c r="B547" s="24" t="s">
        <v>1052</v>
      </c>
      <c r="C547" s="24"/>
      <c r="D547" s="24" t="s">
        <v>1069</v>
      </c>
    </row>
    <row r="548" spans="2:4" x14ac:dyDescent="0.25">
      <c r="B548" s="24" t="s">
        <v>777</v>
      </c>
      <c r="C548" s="24"/>
      <c r="D548" s="24" t="s">
        <v>1073</v>
      </c>
    </row>
    <row r="549" spans="2:4" x14ac:dyDescent="0.25">
      <c r="B549" s="24" t="s">
        <v>1115</v>
      </c>
      <c r="C549" s="24"/>
      <c r="D549" s="24" t="s">
        <v>1077</v>
      </c>
    </row>
    <row r="550" spans="2:4" x14ac:dyDescent="0.25">
      <c r="B550" s="24" t="s">
        <v>1041</v>
      </c>
      <c r="C550" s="24"/>
      <c r="D550" s="24" t="s">
        <v>1078</v>
      </c>
    </row>
    <row r="551" spans="2:4" x14ac:dyDescent="0.25">
      <c r="B551" s="24" t="s">
        <v>694</v>
      </c>
      <c r="C551" s="24"/>
      <c r="D551" s="24" t="s">
        <v>1070</v>
      </c>
    </row>
    <row r="552" spans="2:4" x14ac:dyDescent="0.25">
      <c r="B552" s="24" t="s">
        <v>982</v>
      </c>
      <c r="C552" s="24"/>
      <c r="D552" s="24" t="s">
        <v>1079</v>
      </c>
    </row>
    <row r="553" spans="2:4" x14ac:dyDescent="0.25">
      <c r="B553" s="24" t="s">
        <v>731</v>
      </c>
      <c r="C553" s="24"/>
      <c r="D553" s="24" t="s">
        <v>1072</v>
      </c>
    </row>
    <row r="554" spans="2:4" x14ac:dyDescent="0.25">
      <c r="B554" s="24" t="s">
        <v>610</v>
      </c>
      <c r="C554" s="24"/>
      <c r="D554" s="24" t="s">
        <v>1072</v>
      </c>
    </row>
    <row r="555" spans="2:4" x14ac:dyDescent="0.25">
      <c r="B555" s="24" t="s">
        <v>754</v>
      </c>
      <c r="C555" s="24"/>
      <c r="D555" s="24" t="s">
        <v>1074</v>
      </c>
    </row>
    <row r="556" spans="2:4" x14ac:dyDescent="0.25">
      <c r="B556" s="24" t="s">
        <v>1025</v>
      </c>
      <c r="C556" s="24"/>
      <c r="D556" s="24" t="s">
        <v>1079</v>
      </c>
    </row>
    <row r="557" spans="2:4" x14ac:dyDescent="0.25">
      <c r="B557" s="24" t="s">
        <v>103</v>
      </c>
      <c r="C557" s="24"/>
      <c r="D557" s="24" t="s">
        <v>1079</v>
      </c>
    </row>
    <row r="558" spans="2:4" x14ac:dyDescent="0.25">
      <c r="B558" s="24" t="s">
        <v>248</v>
      </c>
      <c r="C558" s="24"/>
      <c r="D558" s="24" t="s">
        <v>1070</v>
      </c>
    </row>
    <row r="559" spans="2:4" x14ac:dyDescent="0.25">
      <c r="B559" s="24" t="s">
        <v>161</v>
      </c>
      <c r="C559" s="24"/>
      <c r="D559" s="24" t="s">
        <v>1075</v>
      </c>
    </row>
    <row r="560" spans="2:4" x14ac:dyDescent="0.25">
      <c r="B560" s="24" t="s">
        <v>177</v>
      </c>
      <c r="C560" s="24"/>
      <c r="D560" s="24" t="s">
        <v>1070</v>
      </c>
    </row>
    <row r="561" spans="2:4" x14ac:dyDescent="0.25">
      <c r="B561" s="24" t="s">
        <v>1041</v>
      </c>
      <c r="C561" s="24"/>
      <c r="D561" s="24" t="s">
        <v>1072</v>
      </c>
    </row>
    <row r="562" spans="2:4" x14ac:dyDescent="0.25">
      <c r="B562" s="24" t="s">
        <v>737</v>
      </c>
      <c r="C562" s="24"/>
      <c r="D562" s="24" t="s">
        <v>1069</v>
      </c>
    </row>
    <row r="563" spans="2:4" x14ac:dyDescent="0.25">
      <c r="B563" s="24" t="s">
        <v>321</v>
      </c>
      <c r="C563" s="24"/>
      <c r="D563" s="24" t="s">
        <v>1080</v>
      </c>
    </row>
    <row r="564" spans="2:4" x14ac:dyDescent="0.25">
      <c r="B564" s="24" t="s">
        <v>414</v>
      </c>
      <c r="C564" s="24"/>
      <c r="D564" s="24" t="s">
        <v>1075</v>
      </c>
    </row>
    <row r="565" spans="2:4" x14ac:dyDescent="0.25">
      <c r="B565" s="24" t="s">
        <v>189</v>
      </c>
      <c r="C565" s="24"/>
      <c r="D565" s="24" t="s">
        <v>1080</v>
      </c>
    </row>
    <row r="566" spans="2:4" x14ac:dyDescent="0.25">
      <c r="B566" s="24" t="s">
        <v>828</v>
      </c>
      <c r="C566" s="24"/>
      <c r="D566" s="24" t="s">
        <v>1070</v>
      </c>
    </row>
    <row r="567" spans="2:4" x14ac:dyDescent="0.25">
      <c r="B567" s="24" t="s">
        <v>701</v>
      </c>
      <c r="C567" s="24"/>
      <c r="D567" s="24" t="s">
        <v>1074</v>
      </c>
    </row>
    <row r="568" spans="2:4" x14ac:dyDescent="0.25">
      <c r="B568" s="24" t="s">
        <v>836</v>
      </c>
      <c r="C568" s="24"/>
      <c r="D568" s="24" t="s">
        <v>1078</v>
      </c>
    </row>
    <row r="569" spans="2:4" x14ac:dyDescent="0.25">
      <c r="B569" s="24" t="s">
        <v>451</v>
      </c>
      <c r="C569" s="24"/>
      <c r="D569" s="24" t="s">
        <v>1073</v>
      </c>
    </row>
    <row r="570" spans="2:4" x14ac:dyDescent="0.25">
      <c r="B570" s="24" t="s">
        <v>626</v>
      </c>
      <c r="C570" s="24"/>
      <c r="D570" s="24" t="s">
        <v>1074</v>
      </c>
    </row>
    <row r="571" spans="2:4" x14ac:dyDescent="0.25">
      <c r="B571" s="24" t="s">
        <v>297</v>
      </c>
      <c r="C571" s="24"/>
      <c r="D571" s="24" t="s">
        <v>1079</v>
      </c>
    </row>
    <row r="572" spans="2:4" x14ac:dyDescent="0.25">
      <c r="B572" s="24" t="s">
        <v>215</v>
      </c>
      <c r="C572" s="24"/>
      <c r="D572" s="24" t="s">
        <v>1078</v>
      </c>
    </row>
    <row r="573" spans="2:4" x14ac:dyDescent="0.25">
      <c r="B573" s="24" t="s">
        <v>500</v>
      </c>
      <c r="C573" s="24"/>
      <c r="D573" s="24" t="s">
        <v>1076</v>
      </c>
    </row>
    <row r="574" spans="2:4" x14ac:dyDescent="0.25">
      <c r="B574" s="24" t="s">
        <v>128</v>
      </c>
      <c r="C574" s="24"/>
      <c r="D574" s="24" t="s">
        <v>1070</v>
      </c>
    </row>
    <row r="575" spans="2:4" x14ac:dyDescent="0.25">
      <c r="B575" s="24" t="s">
        <v>1091</v>
      </c>
      <c r="C575" s="24"/>
      <c r="D575" s="24" t="s">
        <v>1080</v>
      </c>
    </row>
    <row r="576" spans="2:4" x14ac:dyDescent="0.25">
      <c r="B576" s="24" t="s">
        <v>386</v>
      </c>
      <c r="C576" s="24"/>
      <c r="D576" s="24" t="s">
        <v>1075</v>
      </c>
    </row>
    <row r="577" spans="2:4" x14ac:dyDescent="0.25">
      <c r="B577" s="24" t="s">
        <v>271</v>
      </c>
      <c r="C577" s="24"/>
      <c r="D577" s="24" t="s">
        <v>1077</v>
      </c>
    </row>
    <row r="578" spans="2:4" x14ac:dyDescent="0.25">
      <c r="B578" s="24" t="s">
        <v>691</v>
      </c>
      <c r="C578" s="24"/>
      <c r="D578" s="24" t="s">
        <v>1070</v>
      </c>
    </row>
    <row r="579" spans="2:4" x14ac:dyDescent="0.25">
      <c r="B579" s="24" t="s">
        <v>519</v>
      </c>
      <c r="C579" s="24"/>
      <c r="D579" s="24" t="s">
        <v>1080</v>
      </c>
    </row>
    <row r="580" spans="2:4" x14ac:dyDescent="0.25">
      <c r="B580" s="24" t="s">
        <v>882</v>
      </c>
      <c r="C580" s="24"/>
      <c r="D580" s="24" t="s">
        <v>1078</v>
      </c>
    </row>
    <row r="581" spans="2:4" x14ac:dyDescent="0.25">
      <c r="B581" s="24" t="s">
        <v>443</v>
      </c>
      <c r="C581" s="24"/>
      <c r="D581" s="24" t="s">
        <v>1078</v>
      </c>
    </row>
    <row r="582" spans="2:4" x14ac:dyDescent="0.25">
      <c r="B582" s="24" t="s">
        <v>636</v>
      </c>
      <c r="C582" s="24"/>
      <c r="D582" s="24" t="s">
        <v>1076</v>
      </c>
    </row>
    <row r="583" spans="2:4" x14ac:dyDescent="0.25">
      <c r="B583" s="24" t="s">
        <v>187</v>
      </c>
      <c r="C583" s="24"/>
      <c r="D583" s="24" t="s">
        <v>1080</v>
      </c>
    </row>
    <row r="584" spans="2:4" x14ac:dyDescent="0.25">
      <c r="B584" s="24" t="s">
        <v>400</v>
      </c>
      <c r="C584" s="24"/>
      <c r="D584" s="24" t="s">
        <v>1075</v>
      </c>
    </row>
    <row r="585" spans="2:4" x14ac:dyDescent="0.25">
      <c r="B585" s="24" t="s">
        <v>981</v>
      </c>
      <c r="C585" s="24"/>
      <c r="D585" s="24" t="s">
        <v>1073</v>
      </c>
    </row>
    <row r="586" spans="2:4" x14ac:dyDescent="0.25">
      <c r="B586" s="24" t="s">
        <v>616</v>
      </c>
      <c r="C586" s="24"/>
      <c r="D586" s="24" t="s">
        <v>1079</v>
      </c>
    </row>
    <row r="587" spans="2:4" x14ac:dyDescent="0.25">
      <c r="B587" s="24" t="s">
        <v>1106</v>
      </c>
      <c r="C587" s="24"/>
      <c r="D587" s="24" t="s">
        <v>1070</v>
      </c>
    </row>
    <row r="588" spans="2:4" x14ac:dyDescent="0.25">
      <c r="B588" s="24" t="s">
        <v>210</v>
      </c>
      <c r="C588" s="24"/>
      <c r="D588" s="24" t="s">
        <v>1077</v>
      </c>
    </row>
    <row r="589" spans="2:4" x14ac:dyDescent="0.25">
      <c r="B589" s="24" t="s">
        <v>647</v>
      </c>
      <c r="C589" s="24"/>
      <c r="D589" s="24" t="s">
        <v>1069</v>
      </c>
    </row>
    <row r="590" spans="2:4" x14ac:dyDescent="0.25">
      <c r="B590" s="24" t="s">
        <v>205</v>
      </c>
      <c r="C590" s="24"/>
      <c r="D590" s="24" t="s">
        <v>1071</v>
      </c>
    </row>
    <row r="591" spans="2:4" x14ac:dyDescent="0.25">
      <c r="B591" s="24" t="s">
        <v>272</v>
      </c>
      <c r="C591" s="24"/>
      <c r="D591" s="24" t="s">
        <v>1072</v>
      </c>
    </row>
    <row r="592" spans="2:4" x14ac:dyDescent="0.25">
      <c r="B592" s="24" t="s">
        <v>746</v>
      </c>
      <c r="C592" s="24"/>
      <c r="D592" s="24" t="s">
        <v>1076</v>
      </c>
    </row>
    <row r="593" spans="2:4" x14ac:dyDescent="0.25">
      <c r="B593" s="24" t="s">
        <v>409</v>
      </c>
      <c r="C593" s="24"/>
      <c r="D593" s="24" t="s">
        <v>1076</v>
      </c>
    </row>
    <row r="594" spans="2:4" x14ac:dyDescent="0.25">
      <c r="B594" s="24" t="s">
        <v>329</v>
      </c>
      <c r="C594" s="24"/>
      <c r="D594" s="24" t="s">
        <v>1077</v>
      </c>
    </row>
    <row r="595" spans="2:4" x14ac:dyDescent="0.25">
      <c r="B595" s="24" t="s">
        <v>310</v>
      </c>
      <c r="C595" s="24"/>
      <c r="D595" s="24" t="s">
        <v>1070</v>
      </c>
    </row>
    <row r="596" spans="2:4" x14ac:dyDescent="0.25">
      <c r="B596" s="24" t="s">
        <v>138</v>
      </c>
      <c r="C596" s="24"/>
      <c r="D596" s="24" t="s">
        <v>1073</v>
      </c>
    </row>
    <row r="597" spans="2:4" x14ac:dyDescent="0.25">
      <c r="B597" s="24" t="s">
        <v>1033</v>
      </c>
      <c r="C597" s="24"/>
      <c r="D597" s="24" t="s">
        <v>1073</v>
      </c>
    </row>
    <row r="598" spans="2:4" x14ac:dyDescent="0.25">
      <c r="B598" s="24" t="s">
        <v>835</v>
      </c>
      <c r="C598" s="24"/>
      <c r="D598" s="24" t="s">
        <v>1074</v>
      </c>
    </row>
    <row r="599" spans="2:4" x14ac:dyDescent="0.25">
      <c r="B599" s="24" t="s">
        <v>771</v>
      </c>
      <c r="C599" s="24"/>
      <c r="D599" s="24" t="s">
        <v>1069</v>
      </c>
    </row>
    <row r="600" spans="2:4" x14ac:dyDescent="0.25">
      <c r="B600" s="24" t="s">
        <v>559</v>
      </c>
      <c r="C600" s="24"/>
      <c r="D600" s="24" t="s">
        <v>1069</v>
      </c>
    </row>
    <row r="601" spans="2:4" x14ac:dyDescent="0.25">
      <c r="B601" s="24" t="s">
        <v>523</v>
      </c>
      <c r="C601" s="24"/>
      <c r="D601" s="24" t="s">
        <v>1074</v>
      </c>
    </row>
    <row r="602" spans="2:4" x14ac:dyDescent="0.25">
      <c r="B602" s="24" t="s">
        <v>976</v>
      </c>
      <c r="C602" s="24"/>
      <c r="D602" s="24" t="s">
        <v>1079</v>
      </c>
    </row>
    <row r="603" spans="2:4" x14ac:dyDescent="0.25">
      <c r="B603" s="24" t="s">
        <v>772</v>
      </c>
      <c r="C603" s="24"/>
      <c r="D603" s="24" t="s">
        <v>1074</v>
      </c>
    </row>
    <row r="604" spans="2:4" x14ac:dyDescent="0.25">
      <c r="B604" s="24" t="s">
        <v>899</v>
      </c>
      <c r="C604" s="24"/>
      <c r="D604" s="24" t="s">
        <v>1075</v>
      </c>
    </row>
    <row r="605" spans="2:4" x14ac:dyDescent="0.25">
      <c r="B605" s="24" t="s">
        <v>697</v>
      </c>
      <c r="C605" s="24"/>
      <c r="D605" s="24" t="s">
        <v>1073</v>
      </c>
    </row>
    <row r="606" spans="2:4" x14ac:dyDescent="0.25">
      <c r="B606" s="24" t="s">
        <v>871</v>
      </c>
      <c r="C606" s="24"/>
      <c r="D606" s="24" t="s">
        <v>1074</v>
      </c>
    </row>
    <row r="607" spans="2:4" x14ac:dyDescent="0.25">
      <c r="B607" s="24" t="s">
        <v>423</v>
      </c>
      <c r="C607" s="24"/>
      <c r="D607" s="24" t="s">
        <v>1072</v>
      </c>
    </row>
    <row r="608" spans="2:4" x14ac:dyDescent="0.25">
      <c r="B608" s="24" t="s">
        <v>191</v>
      </c>
      <c r="C608" s="24"/>
      <c r="D608" s="24" t="s">
        <v>1080</v>
      </c>
    </row>
    <row r="609" spans="2:4" x14ac:dyDescent="0.25">
      <c r="B609" s="24" t="s">
        <v>611</v>
      </c>
      <c r="C609" s="24"/>
      <c r="D609" s="24" t="s">
        <v>1074</v>
      </c>
    </row>
    <row r="610" spans="2:4" x14ac:dyDescent="0.25">
      <c r="B610" s="24" t="s">
        <v>1045</v>
      </c>
      <c r="C610" s="24"/>
      <c r="D610" s="24" t="s">
        <v>1069</v>
      </c>
    </row>
    <row r="611" spans="2:4" x14ac:dyDescent="0.25">
      <c r="B611" s="24" t="s">
        <v>336</v>
      </c>
      <c r="C611" s="24"/>
      <c r="D611" s="24" t="s">
        <v>1070</v>
      </c>
    </row>
    <row r="612" spans="2:4" x14ac:dyDescent="0.25">
      <c r="B612" s="24" t="s">
        <v>1041</v>
      </c>
      <c r="C612" s="24"/>
      <c r="D612" s="24" t="s">
        <v>1072</v>
      </c>
    </row>
    <row r="613" spans="2:4" x14ac:dyDescent="0.25">
      <c r="B613" s="24" t="s">
        <v>1109</v>
      </c>
      <c r="C613" s="24"/>
      <c r="D613" s="24" t="s">
        <v>1078</v>
      </c>
    </row>
    <row r="614" spans="2:4" x14ac:dyDescent="0.25">
      <c r="B614" s="24" t="s">
        <v>849</v>
      </c>
      <c r="C614" s="24"/>
      <c r="D614" s="24" t="s">
        <v>1077</v>
      </c>
    </row>
    <row r="615" spans="2:4" x14ac:dyDescent="0.25">
      <c r="B615" s="24" t="s">
        <v>162</v>
      </c>
      <c r="C615" s="24"/>
      <c r="D615" s="24" t="s">
        <v>1079</v>
      </c>
    </row>
    <row r="616" spans="2:4" x14ac:dyDescent="0.25">
      <c r="B616" s="24" t="s">
        <v>245</v>
      </c>
      <c r="C616" s="24"/>
      <c r="D616" s="24" t="s">
        <v>1079</v>
      </c>
    </row>
    <row r="617" spans="2:4" x14ac:dyDescent="0.25">
      <c r="B617" s="24" t="s">
        <v>204</v>
      </c>
      <c r="C617" s="24"/>
      <c r="D617" s="24" t="s">
        <v>1070</v>
      </c>
    </row>
    <row r="618" spans="2:4" x14ac:dyDescent="0.25">
      <c r="B618" s="24" t="s">
        <v>150</v>
      </c>
      <c r="C618" s="24"/>
      <c r="D618" s="24" t="s">
        <v>1080</v>
      </c>
    </row>
    <row r="619" spans="2:4" x14ac:dyDescent="0.25">
      <c r="B619" s="24" t="s">
        <v>1082</v>
      </c>
      <c r="C619" s="24"/>
      <c r="D619" s="24" t="s">
        <v>1072</v>
      </c>
    </row>
    <row r="620" spans="2:4" x14ac:dyDescent="0.25">
      <c r="B620" s="24" t="s">
        <v>240</v>
      </c>
      <c r="C620" s="24"/>
      <c r="D620" s="24" t="s">
        <v>1070</v>
      </c>
    </row>
    <row r="621" spans="2:4" x14ac:dyDescent="0.25">
      <c r="B621" s="24" t="s">
        <v>802</v>
      </c>
      <c r="C621" s="24"/>
      <c r="D621" s="24" t="s">
        <v>1078</v>
      </c>
    </row>
    <row r="622" spans="2:4" x14ac:dyDescent="0.25">
      <c r="B622" s="24" t="s">
        <v>574</v>
      </c>
      <c r="C622" s="24"/>
      <c r="D622" s="24" t="s">
        <v>1069</v>
      </c>
    </row>
    <row r="623" spans="2:4" x14ac:dyDescent="0.25">
      <c r="B623" s="24" t="s">
        <v>191</v>
      </c>
      <c r="C623" s="24"/>
      <c r="D623" s="24" t="s">
        <v>1079</v>
      </c>
    </row>
    <row r="624" spans="2:4" x14ac:dyDescent="0.25">
      <c r="B624" s="24" t="s">
        <v>584</v>
      </c>
      <c r="C624" s="24"/>
      <c r="D624" s="24" t="s">
        <v>1070</v>
      </c>
    </row>
    <row r="625" spans="2:4" x14ac:dyDescent="0.25">
      <c r="B625" s="24" t="s">
        <v>1051</v>
      </c>
      <c r="C625" s="24"/>
      <c r="D625" s="24" t="s">
        <v>1074</v>
      </c>
    </row>
    <row r="626" spans="2:4" x14ac:dyDescent="0.25">
      <c r="B626" s="24" t="s">
        <v>242</v>
      </c>
      <c r="C626" s="24"/>
      <c r="D626" s="24" t="s">
        <v>1077</v>
      </c>
    </row>
    <row r="627" spans="2:4" x14ac:dyDescent="0.25">
      <c r="B627" s="24" t="s">
        <v>262</v>
      </c>
      <c r="C627" s="24"/>
      <c r="D627" s="24" t="s">
        <v>1073</v>
      </c>
    </row>
    <row r="628" spans="2:4" x14ac:dyDescent="0.25">
      <c r="B628" s="24" t="s">
        <v>504</v>
      </c>
      <c r="C628" s="24"/>
      <c r="D628" s="24" t="s">
        <v>1080</v>
      </c>
    </row>
    <row r="629" spans="2:4" x14ac:dyDescent="0.25">
      <c r="B629" s="24" t="s">
        <v>771</v>
      </c>
      <c r="C629" s="24"/>
      <c r="D629" s="24" t="s">
        <v>1079</v>
      </c>
    </row>
    <row r="630" spans="2:4" x14ac:dyDescent="0.25">
      <c r="B630" s="24" t="s">
        <v>1112</v>
      </c>
      <c r="C630" s="24"/>
      <c r="D630" s="24" t="s">
        <v>1078</v>
      </c>
    </row>
    <row r="631" spans="2:4" x14ac:dyDescent="0.25">
      <c r="B631" s="24" t="s">
        <v>956</v>
      </c>
      <c r="C631" s="24"/>
      <c r="D631" s="24" t="s">
        <v>1077</v>
      </c>
    </row>
    <row r="632" spans="2:4" x14ac:dyDescent="0.25">
      <c r="B632" s="24" t="s">
        <v>343</v>
      </c>
      <c r="C632" s="24"/>
      <c r="D632" s="24" t="s">
        <v>1072</v>
      </c>
    </row>
    <row r="633" spans="2:4" x14ac:dyDescent="0.25">
      <c r="B633" s="24" t="s">
        <v>176</v>
      </c>
      <c r="C633" s="24"/>
      <c r="D633" s="24" t="s">
        <v>1076</v>
      </c>
    </row>
    <row r="634" spans="2:4" x14ac:dyDescent="0.25">
      <c r="B634" s="24" t="s">
        <v>489</v>
      </c>
      <c r="C634" s="24"/>
      <c r="D634" s="24" t="s">
        <v>1069</v>
      </c>
    </row>
    <row r="635" spans="2:4" x14ac:dyDescent="0.25">
      <c r="B635" s="24" t="s">
        <v>539</v>
      </c>
      <c r="C635" s="24"/>
      <c r="D635" s="24" t="s">
        <v>1069</v>
      </c>
    </row>
    <row r="636" spans="2:4" x14ac:dyDescent="0.25">
      <c r="B636" s="24" t="s">
        <v>1108</v>
      </c>
      <c r="C636" s="24"/>
      <c r="D636" s="24" t="s">
        <v>1075</v>
      </c>
    </row>
    <row r="637" spans="2:4" x14ac:dyDescent="0.25">
      <c r="B637" s="24" t="s">
        <v>139</v>
      </c>
      <c r="C637" s="24"/>
      <c r="D637" s="24" t="s">
        <v>1078</v>
      </c>
    </row>
    <row r="638" spans="2:4" x14ac:dyDescent="0.25">
      <c r="B638" s="24" t="s">
        <v>685</v>
      </c>
      <c r="C638" s="24"/>
      <c r="D638" s="24" t="s">
        <v>1073</v>
      </c>
    </row>
    <row r="639" spans="2:4" x14ac:dyDescent="0.25">
      <c r="B639" s="24" t="s">
        <v>218</v>
      </c>
      <c r="C639" s="24"/>
      <c r="D639" s="24" t="s">
        <v>1080</v>
      </c>
    </row>
    <row r="640" spans="2:4" x14ac:dyDescent="0.25">
      <c r="B640" s="24" t="s">
        <v>853</v>
      </c>
      <c r="C640" s="24"/>
      <c r="D640" s="24" t="s">
        <v>1069</v>
      </c>
    </row>
    <row r="641" spans="2:4" x14ac:dyDescent="0.25">
      <c r="B641" s="24" t="s">
        <v>838</v>
      </c>
      <c r="C641" s="24"/>
      <c r="D641" s="24" t="s">
        <v>1078</v>
      </c>
    </row>
    <row r="642" spans="2:4" x14ac:dyDescent="0.25">
      <c r="B642" s="24" t="s">
        <v>333</v>
      </c>
      <c r="C642" s="24"/>
      <c r="D642" s="24" t="s">
        <v>1073</v>
      </c>
    </row>
    <row r="643" spans="2:4" x14ac:dyDescent="0.25">
      <c r="B643" s="24" t="s">
        <v>727</v>
      </c>
      <c r="C643" s="24"/>
      <c r="D643" s="24" t="s">
        <v>1079</v>
      </c>
    </row>
    <row r="644" spans="2:4" x14ac:dyDescent="0.25">
      <c r="B644" s="24" t="s">
        <v>455</v>
      </c>
      <c r="C644" s="24"/>
      <c r="D644" s="24" t="s">
        <v>1071</v>
      </c>
    </row>
    <row r="645" spans="2:4" x14ac:dyDescent="0.25">
      <c r="B645" s="24" t="s">
        <v>270</v>
      </c>
      <c r="C645" s="24"/>
      <c r="D645" s="24" t="s">
        <v>1075</v>
      </c>
    </row>
    <row r="646" spans="2:4" x14ac:dyDescent="0.25">
      <c r="B646" s="24" t="s">
        <v>926</v>
      </c>
      <c r="C646" s="24"/>
      <c r="D646" s="24" t="s">
        <v>1069</v>
      </c>
    </row>
    <row r="647" spans="2:4" x14ac:dyDescent="0.25">
      <c r="B647" s="24" t="s">
        <v>863</v>
      </c>
      <c r="C647" s="24"/>
      <c r="D647" s="24" t="s">
        <v>1073</v>
      </c>
    </row>
    <row r="648" spans="2:4" x14ac:dyDescent="0.25">
      <c r="B648" s="24" t="s">
        <v>762</v>
      </c>
      <c r="C648" s="24"/>
      <c r="D648" s="24" t="s">
        <v>1070</v>
      </c>
    </row>
    <row r="649" spans="2:4" x14ac:dyDescent="0.25">
      <c r="B649" s="24" t="s">
        <v>594</v>
      </c>
      <c r="C649" s="24"/>
      <c r="D649" s="24" t="s">
        <v>1074</v>
      </c>
    </row>
    <row r="650" spans="2:4" x14ac:dyDescent="0.25">
      <c r="B650" s="24" t="s">
        <v>434</v>
      </c>
      <c r="C650" s="24"/>
      <c r="D650" s="24" t="s">
        <v>1069</v>
      </c>
    </row>
    <row r="651" spans="2:4" x14ac:dyDescent="0.25">
      <c r="B651" s="24" t="s">
        <v>904</v>
      </c>
      <c r="C651" s="24"/>
      <c r="D651" s="24" t="s">
        <v>1071</v>
      </c>
    </row>
    <row r="652" spans="2:4" x14ac:dyDescent="0.25">
      <c r="B652" s="24" t="s">
        <v>363</v>
      </c>
      <c r="C652" s="24"/>
      <c r="D652" s="24" t="s">
        <v>1079</v>
      </c>
    </row>
    <row r="653" spans="2:4" x14ac:dyDescent="0.25">
      <c r="B653" s="24" t="s">
        <v>814</v>
      </c>
      <c r="C653" s="24"/>
      <c r="D653" s="24" t="s">
        <v>1070</v>
      </c>
    </row>
    <row r="654" spans="2:4" x14ac:dyDescent="0.25">
      <c r="B654" s="24" t="s">
        <v>625</v>
      </c>
      <c r="C654" s="24"/>
      <c r="D654" s="24" t="s">
        <v>1080</v>
      </c>
    </row>
    <row r="655" spans="2:4" x14ac:dyDescent="0.25">
      <c r="B655" s="24" t="s">
        <v>166</v>
      </c>
      <c r="C655" s="24"/>
      <c r="D655" s="24" t="s">
        <v>1070</v>
      </c>
    </row>
    <row r="656" spans="2:4" x14ac:dyDescent="0.25">
      <c r="B656" s="24" t="s">
        <v>910</v>
      </c>
      <c r="C656" s="24"/>
      <c r="D656" s="24" t="s">
        <v>1069</v>
      </c>
    </row>
    <row r="657" spans="2:4" x14ac:dyDescent="0.25">
      <c r="B657" s="24" t="s">
        <v>193</v>
      </c>
      <c r="C657" s="24"/>
      <c r="D657" s="24" t="s">
        <v>1071</v>
      </c>
    </row>
    <row r="658" spans="2:4" x14ac:dyDescent="0.25">
      <c r="B658" s="24" t="s">
        <v>719</v>
      </c>
      <c r="C658" s="24"/>
      <c r="D658" s="24" t="s">
        <v>1075</v>
      </c>
    </row>
    <row r="659" spans="2:4" x14ac:dyDescent="0.25">
      <c r="B659" s="24" t="s">
        <v>420</v>
      </c>
      <c r="C659" s="24"/>
      <c r="D659" s="24" t="s">
        <v>1076</v>
      </c>
    </row>
    <row r="660" spans="2:4" x14ac:dyDescent="0.25">
      <c r="B660" s="24" t="s">
        <v>779</v>
      </c>
      <c r="C660" s="24"/>
      <c r="D660" s="24" t="s">
        <v>1077</v>
      </c>
    </row>
    <row r="661" spans="2:4" x14ac:dyDescent="0.25">
      <c r="B661" s="24" t="s">
        <v>693</v>
      </c>
      <c r="C661" s="24"/>
      <c r="D661" s="24" t="s">
        <v>1075</v>
      </c>
    </row>
    <row r="662" spans="2:4" x14ac:dyDescent="0.25">
      <c r="B662" s="24" t="s">
        <v>806</v>
      </c>
      <c r="C662" s="24"/>
      <c r="D662" s="24" t="s">
        <v>1080</v>
      </c>
    </row>
    <row r="663" spans="2:4" x14ac:dyDescent="0.25">
      <c r="B663" s="24" t="s">
        <v>525</v>
      </c>
      <c r="C663" s="24"/>
      <c r="D663" s="24" t="s">
        <v>1078</v>
      </c>
    </row>
    <row r="664" spans="2:4" x14ac:dyDescent="0.25">
      <c r="B664" s="24" t="s">
        <v>434</v>
      </c>
      <c r="C664" s="24"/>
      <c r="D664" s="24" t="s">
        <v>1075</v>
      </c>
    </row>
    <row r="665" spans="2:4" x14ac:dyDescent="0.25">
      <c r="B665" s="24" t="s">
        <v>632</v>
      </c>
      <c r="C665" s="24"/>
      <c r="D665" s="24" t="s">
        <v>1080</v>
      </c>
    </row>
    <row r="666" spans="2:4" x14ac:dyDescent="0.25">
      <c r="B666" s="24" t="s">
        <v>384</v>
      </c>
      <c r="C666" s="24"/>
      <c r="D666" s="24" t="s">
        <v>1076</v>
      </c>
    </row>
    <row r="667" spans="2:4" x14ac:dyDescent="0.25">
      <c r="B667" s="24" t="s">
        <v>818</v>
      </c>
      <c r="C667" s="24"/>
      <c r="D667" s="24" t="s">
        <v>1078</v>
      </c>
    </row>
    <row r="668" spans="2:4" x14ac:dyDescent="0.25">
      <c r="B668" s="24" t="s">
        <v>961</v>
      </c>
      <c r="C668" s="24"/>
      <c r="D668" s="24" t="s">
        <v>1072</v>
      </c>
    </row>
    <row r="669" spans="2:4" x14ac:dyDescent="0.25">
      <c r="B669" s="24" t="s">
        <v>1048</v>
      </c>
      <c r="C669" s="24"/>
      <c r="D669" s="24" t="s">
        <v>1074</v>
      </c>
    </row>
    <row r="670" spans="2:4" x14ac:dyDescent="0.25">
      <c r="B670" s="24" t="s">
        <v>789</v>
      </c>
      <c r="C670" s="24"/>
      <c r="D670" s="24" t="s">
        <v>1072</v>
      </c>
    </row>
    <row r="671" spans="2:4" x14ac:dyDescent="0.25">
      <c r="B671" s="24" t="s">
        <v>677</v>
      </c>
      <c r="C671" s="24"/>
      <c r="D671" s="24" t="s">
        <v>1078</v>
      </c>
    </row>
    <row r="672" spans="2:4" x14ac:dyDescent="0.25">
      <c r="B672" s="24" t="s">
        <v>662</v>
      </c>
      <c r="C672" s="24"/>
      <c r="D672" s="24" t="s">
        <v>1076</v>
      </c>
    </row>
    <row r="673" spans="2:4" x14ac:dyDescent="0.25">
      <c r="B673" s="24" t="s">
        <v>221</v>
      </c>
      <c r="C673" s="24"/>
      <c r="D673" s="24" t="s">
        <v>1079</v>
      </c>
    </row>
    <row r="674" spans="2:4" x14ac:dyDescent="0.25">
      <c r="B674" s="24" t="s">
        <v>819</v>
      </c>
      <c r="C674" s="24"/>
      <c r="D674" s="24" t="s">
        <v>1072</v>
      </c>
    </row>
    <row r="675" spans="2:4" x14ac:dyDescent="0.25">
      <c r="B675" s="24" t="s">
        <v>958</v>
      </c>
      <c r="C675" s="24"/>
      <c r="D675" s="24" t="s">
        <v>1074</v>
      </c>
    </row>
    <row r="676" spans="2:4" x14ac:dyDescent="0.25">
      <c r="B676" s="24" t="s">
        <v>410</v>
      </c>
      <c r="C676" s="24"/>
      <c r="D676" s="24" t="s">
        <v>1079</v>
      </c>
    </row>
    <row r="677" spans="2:4" x14ac:dyDescent="0.25">
      <c r="B677" s="24" t="s">
        <v>243</v>
      </c>
      <c r="C677" s="24"/>
      <c r="D677" s="24" t="s">
        <v>1075</v>
      </c>
    </row>
    <row r="678" spans="2:4" x14ac:dyDescent="0.25">
      <c r="B678" s="24" t="s">
        <v>134</v>
      </c>
      <c r="C678" s="24"/>
      <c r="D678" s="24" t="s">
        <v>1078</v>
      </c>
    </row>
    <row r="679" spans="2:4" x14ac:dyDescent="0.25">
      <c r="B679" s="24" t="s">
        <v>581</v>
      </c>
      <c r="C679" s="24"/>
      <c r="D679" s="24" t="s">
        <v>1075</v>
      </c>
    </row>
    <row r="680" spans="2:4" x14ac:dyDescent="0.25">
      <c r="B680" s="24" t="s">
        <v>243</v>
      </c>
      <c r="C680" s="24"/>
      <c r="D680" s="24" t="s">
        <v>1073</v>
      </c>
    </row>
    <row r="681" spans="2:4" x14ac:dyDescent="0.25">
      <c r="B681" s="24" t="s">
        <v>443</v>
      </c>
      <c r="C681" s="24"/>
      <c r="D681" s="24" t="s">
        <v>1075</v>
      </c>
    </row>
    <row r="682" spans="2:4" x14ac:dyDescent="0.25">
      <c r="B682" s="24" t="s">
        <v>733</v>
      </c>
      <c r="C682" s="24"/>
      <c r="D682" s="24" t="s">
        <v>1079</v>
      </c>
    </row>
    <row r="683" spans="2:4" x14ac:dyDescent="0.25">
      <c r="B683" s="24" t="s">
        <v>920</v>
      </c>
      <c r="C683" s="24"/>
      <c r="D683" s="24" t="s">
        <v>1071</v>
      </c>
    </row>
    <row r="684" spans="2:4" x14ac:dyDescent="0.25">
      <c r="B684" s="24" t="s">
        <v>821</v>
      </c>
      <c r="C684" s="24"/>
      <c r="D684" s="24" t="s">
        <v>1072</v>
      </c>
    </row>
    <row r="685" spans="2:4" x14ac:dyDescent="0.25">
      <c r="B685" s="24" t="s">
        <v>925</v>
      </c>
      <c r="C685" s="24"/>
      <c r="D685" s="24" t="s">
        <v>1074</v>
      </c>
    </row>
    <row r="686" spans="2:4" x14ac:dyDescent="0.25">
      <c r="B686" s="24" t="s">
        <v>600</v>
      </c>
      <c r="C686" s="24"/>
      <c r="D686" s="24" t="s">
        <v>1072</v>
      </c>
    </row>
    <row r="687" spans="2:4" x14ac:dyDescent="0.25">
      <c r="B687" s="24" t="s">
        <v>439</v>
      </c>
      <c r="C687" s="24"/>
      <c r="D687" s="24" t="s">
        <v>1076</v>
      </c>
    </row>
    <row r="688" spans="2:4" x14ac:dyDescent="0.25">
      <c r="B688" s="24" t="s">
        <v>993</v>
      </c>
      <c r="C688" s="24"/>
      <c r="D688" s="24" t="s">
        <v>1077</v>
      </c>
    </row>
    <row r="689" spans="2:4" x14ac:dyDescent="0.25">
      <c r="B689" s="24" t="s">
        <v>1114</v>
      </c>
      <c r="C689" s="24"/>
      <c r="D689" s="24" t="s">
        <v>1075</v>
      </c>
    </row>
    <row r="690" spans="2:4" x14ac:dyDescent="0.25">
      <c r="B690" s="24" t="s">
        <v>1052</v>
      </c>
      <c r="C690" s="24"/>
      <c r="D690" s="24" t="s">
        <v>1077</v>
      </c>
    </row>
    <row r="691" spans="2:4" x14ac:dyDescent="0.25">
      <c r="B691" s="24" t="s">
        <v>1052</v>
      </c>
      <c r="C691" s="24"/>
      <c r="D691" s="24" t="s">
        <v>1078</v>
      </c>
    </row>
    <row r="692" spans="2:4" x14ac:dyDescent="0.25">
      <c r="B692" s="24" t="s">
        <v>232</v>
      </c>
      <c r="C692" s="24"/>
      <c r="D692" s="24" t="s">
        <v>1070</v>
      </c>
    </row>
    <row r="693" spans="2:4" x14ac:dyDescent="0.25">
      <c r="B693" s="24" t="s">
        <v>1043</v>
      </c>
      <c r="C693" s="24"/>
      <c r="D693" s="24" t="s">
        <v>1071</v>
      </c>
    </row>
    <row r="694" spans="2:4" x14ac:dyDescent="0.25">
      <c r="B694" s="24" t="s">
        <v>283</v>
      </c>
      <c r="C694" s="24"/>
      <c r="D694" s="24" t="s">
        <v>1070</v>
      </c>
    </row>
    <row r="695" spans="2:4" x14ac:dyDescent="0.25">
      <c r="B695" s="24" t="s">
        <v>697</v>
      </c>
      <c r="C695" s="24"/>
      <c r="D695" s="24" t="s">
        <v>1074</v>
      </c>
    </row>
    <row r="696" spans="2:4" x14ac:dyDescent="0.25">
      <c r="B696" s="24" t="s">
        <v>1113</v>
      </c>
      <c r="C696" s="24"/>
      <c r="D696" s="24" t="s">
        <v>1071</v>
      </c>
    </row>
    <row r="697" spans="2:4" x14ac:dyDescent="0.25">
      <c r="B697" s="24" t="s">
        <v>180</v>
      </c>
      <c r="C697" s="24"/>
      <c r="D697" s="24" t="s">
        <v>1073</v>
      </c>
    </row>
    <row r="698" spans="2:4" x14ac:dyDescent="0.25">
      <c r="B698" s="24" t="s">
        <v>904</v>
      </c>
      <c r="C698" s="24"/>
      <c r="D698" s="24" t="s">
        <v>1071</v>
      </c>
    </row>
    <row r="699" spans="2:4" x14ac:dyDescent="0.25">
      <c r="B699" s="24" t="s">
        <v>876</v>
      </c>
      <c r="C699" s="24"/>
      <c r="D699" s="24" t="s">
        <v>1075</v>
      </c>
    </row>
    <row r="700" spans="2:4" x14ac:dyDescent="0.25">
      <c r="B700" s="24" t="s">
        <v>826</v>
      </c>
      <c r="C700" s="24"/>
      <c r="D700" s="24" t="s">
        <v>1069</v>
      </c>
    </row>
    <row r="701" spans="2:4" x14ac:dyDescent="0.25">
      <c r="B701" s="24" t="s">
        <v>668</v>
      </c>
      <c r="C701" s="24"/>
      <c r="D701" s="24" t="s">
        <v>1080</v>
      </c>
    </row>
    <row r="702" spans="2:4" x14ac:dyDescent="0.25">
      <c r="B702" s="24" t="s">
        <v>453</v>
      </c>
      <c r="C702" s="24"/>
      <c r="D702" s="24" t="s">
        <v>1075</v>
      </c>
    </row>
    <row r="703" spans="2:4" x14ac:dyDescent="0.25">
      <c r="B703" s="24" t="s">
        <v>1109</v>
      </c>
      <c r="C703" s="24"/>
      <c r="D703" s="24" t="s">
        <v>1073</v>
      </c>
    </row>
    <row r="704" spans="2:4" x14ac:dyDescent="0.25">
      <c r="B704" s="24" t="s">
        <v>837</v>
      </c>
      <c r="C704" s="24"/>
      <c r="D704" s="24" t="s">
        <v>1073</v>
      </c>
    </row>
    <row r="705" spans="2:4" x14ac:dyDescent="0.25">
      <c r="B705" s="24" t="s">
        <v>953</v>
      </c>
      <c r="C705" s="24"/>
      <c r="D705" s="24" t="s">
        <v>1069</v>
      </c>
    </row>
    <row r="706" spans="2:4" x14ac:dyDescent="0.25">
      <c r="B706" s="24" t="s">
        <v>772</v>
      </c>
      <c r="C706" s="24"/>
      <c r="D706" s="24" t="s">
        <v>1080</v>
      </c>
    </row>
    <row r="707" spans="2:4" x14ac:dyDescent="0.25">
      <c r="B707" s="24" t="s">
        <v>299</v>
      </c>
      <c r="C707" s="24"/>
      <c r="D707" s="24" t="s">
        <v>1079</v>
      </c>
    </row>
    <row r="708" spans="2:4" x14ac:dyDescent="0.25">
      <c r="B708" s="24" t="s">
        <v>152</v>
      </c>
      <c r="C708" s="24"/>
      <c r="D708" s="24" t="s">
        <v>1072</v>
      </c>
    </row>
    <row r="709" spans="2:4" x14ac:dyDescent="0.25">
      <c r="B709" s="24" t="s">
        <v>254</v>
      </c>
      <c r="C709" s="24"/>
      <c r="D709" s="24" t="s">
        <v>1072</v>
      </c>
    </row>
    <row r="710" spans="2:4" x14ac:dyDescent="0.25">
      <c r="B710" s="24" t="s">
        <v>671</v>
      </c>
      <c r="C710" s="24"/>
      <c r="D710" s="24" t="s">
        <v>1080</v>
      </c>
    </row>
    <row r="711" spans="2:4" x14ac:dyDescent="0.25">
      <c r="B711" s="24" t="s">
        <v>536</v>
      </c>
      <c r="C711" s="24"/>
      <c r="D711" s="24" t="s">
        <v>1076</v>
      </c>
    </row>
    <row r="712" spans="2:4" x14ac:dyDescent="0.25">
      <c r="B712" s="24" t="s">
        <v>883</v>
      </c>
      <c r="C712" s="24"/>
      <c r="D712" s="24" t="s">
        <v>1076</v>
      </c>
    </row>
    <row r="713" spans="2:4" x14ac:dyDescent="0.25">
      <c r="B713" s="24" t="s">
        <v>972</v>
      </c>
      <c r="C713" s="24"/>
      <c r="D713" s="24" t="s">
        <v>1071</v>
      </c>
    </row>
    <row r="714" spans="2:4" x14ac:dyDescent="0.25">
      <c r="B714" s="24" t="s">
        <v>317</v>
      </c>
      <c r="C714" s="24"/>
      <c r="D714" s="24" t="s">
        <v>1076</v>
      </c>
    </row>
    <row r="715" spans="2:4" x14ac:dyDescent="0.25">
      <c r="B715" s="24" t="s">
        <v>351</v>
      </c>
      <c r="C715" s="24"/>
      <c r="D715" s="24" t="s">
        <v>1079</v>
      </c>
    </row>
    <row r="716" spans="2:4" x14ac:dyDescent="0.25">
      <c r="B716" s="24" t="s">
        <v>884</v>
      </c>
      <c r="C716" s="24"/>
      <c r="D716" s="24" t="s">
        <v>1077</v>
      </c>
    </row>
    <row r="717" spans="2:4" x14ac:dyDescent="0.25">
      <c r="B717" s="24" t="s">
        <v>406</v>
      </c>
      <c r="C717" s="24"/>
      <c r="D717" s="24" t="s">
        <v>1079</v>
      </c>
    </row>
    <row r="718" spans="2:4" x14ac:dyDescent="0.25">
      <c r="B718" s="24" t="s">
        <v>744</v>
      </c>
      <c r="C718" s="24"/>
      <c r="D718" s="24" t="s">
        <v>1076</v>
      </c>
    </row>
    <row r="719" spans="2:4" x14ac:dyDescent="0.25">
      <c r="B719" s="24" t="s">
        <v>278</v>
      </c>
      <c r="C719" s="24"/>
      <c r="D719" s="24" t="s">
        <v>1069</v>
      </c>
    </row>
    <row r="720" spans="2:4" x14ac:dyDescent="0.25">
      <c r="B720" s="24" t="s">
        <v>102</v>
      </c>
      <c r="C720" s="24"/>
      <c r="D720" s="24" t="s">
        <v>1078</v>
      </c>
    </row>
    <row r="721" spans="2:4" x14ac:dyDescent="0.25">
      <c r="B721" s="24" t="s">
        <v>987</v>
      </c>
      <c r="C721" s="24"/>
      <c r="D721" s="24" t="s">
        <v>1074</v>
      </c>
    </row>
    <row r="722" spans="2:4" x14ac:dyDescent="0.25">
      <c r="B722" s="24" t="s">
        <v>442</v>
      </c>
      <c r="C722" s="24"/>
      <c r="D722" s="24" t="s">
        <v>1080</v>
      </c>
    </row>
    <row r="723" spans="2:4" x14ac:dyDescent="0.25">
      <c r="B723" s="24" t="s">
        <v>382</v>
      </c>
      <c r="C723" s="24"/>
      <c r="D723" s="24" t="s">
        <v>1072</v>
      </c>
    </row>
    <row r="724" spans="2:4" x14ac:dyDescent="0.25">
      <c r="B724" s="24" t="s">
        <v>1099</v>
      </c>
      <c r="C724" s="24"/>
      <c r="D724" s="24" t="s">
        <v>1071</v>
      </c>
    </row>
    <row r="725" spans="2:4" x14ac:dyDescent="0.25">
      <c r="B725" s="24" t="s">
        <v>1044</v>
      </c>
      <c r="C725" s="24"/>
      <c r="D725" s="24" t="s">
        <v>1069</v>
      </c>
    </row>
    <row r="726" spans="2:4" x14ac:dyDescent="0.25">
      <c r="B726" s="24" t="s">
        <v>720</v>
      </c>
      <c r="C726" s="24"/>
      <c r="D726" s="24" t="s">
        <v>1073</v>
      </c>
    </row>
    <row r="727" spans="2:4" x14ac:dyDescent="0.25">
      <c r="B727" s="24" t="s">
        <v>740</v>
      </c>
      <c r="C727" s="24"/>
      <c r="D727" s="24" t="s">
        <v>1069</v>
      </c>
    </row>
    <row r="728" spans="2:4" x14ac:dyDescent="0.25">
      <c r="B728" s="24" t="s">
        <v>556</v>
      </c>
      <c r="C728" s="24"/>
      <c r="D728" s="24" t="s">
        <v>1071</v>
      </c>
    </row>
    <row r="729" spans="2:4" x14ac:dyDescent="0.25">
      <c r="B729" s="24" t="s">
        <v>1041</v>
      </c>
      <c r="C729" s="24"/>
      <c r="D729" s="24" t="s">
        <v>1073</v>
      </c>
    </row>
    <row r="730" spans="2:4" x14ac:dyDescent="0.25">
      <c r="B730" s="24" t="s">
        <v>343</v>
      </c>
      <c r="C730" s="24"/>
      <c r="D730" s="24" t="s">
        <v>1073</v>
      </c>
    </row>
    <row r="731" spans="2:4" x14ac:dyDescent="0.25">
      <c r="B731" s="24" t="s">
        <v>959</v>
      </c>
      <c r="C731" s="24"/>
      <c r="D731" s="24" t="s">
        <v>1071</v>
      </c>
    </row>
    <row r="732" spans="2:4" x14ac:dyDescent="0.25">
      <c r="B732" s="24" t="s">
        <v>905</v>
      </c>
      <c r="C732" s="24"/>
      <c r="D732" s="24" t="s">
        <v>1076</v>
      </c>
    </row>
    <row r="733" spans="2:4" x14ac:dyDescent="0.25">
      <c r="B733" s="24" t="s">
        <v>290</v>
      </c>
      <c r="C733" s="24"/>
      <c r="D733" s="24" t="s">
        <v>1076</v>
      </c>
    </row>
    <row r="734" spans="2:4" x14ac:dyDescent="0.25">
      <c r="B734" s="24" t="s">
        <v>894</v>
      </c>
      <c r="C734" s="24"/>
      <c r="D734" s="24" t="s">
        <v>1077</v>
      </c>
    </row>
    <row r="735" spans="2:4" x14ac:dyDescent="0.25">
      <c r="B735" s="24" t="s">
        <v>660</v>
      </c>
      <c r="C735" s="24"/>
      <c r="D735" s="24" t="s">
        <v>1073</v>
      </c>
    </row>
    <row r="736" spans="2:4" x14ac:dyDescent="0.25">
      <c r="B736" s="24" t="s">
        <v>648</v>
      </c>
      <c r="C736" s="24"/>
      <c r="D736" s="24" t="s">
        <v>1071</v>
      </c>
    </row>
    <row r="737" spans="2:4" x14ac:dyDescent="0.25">
      <c r="B737" s="24" t="s">
        <v>353</v>
      </c>
      <c r="C737" s="24"/>
      <c r="D737" s="24" t="s">
        <v>1074</v>
      </c>
    </row>
    <row r="738" spans="2:4" x14ac:dyDescent="0.25">
      <c r="B738" s="24" t="s">
        <v>436</v>
      </c>
      <c r="C738" s="24"/>
      <c r="D738" s="24" t="s">
        <v>1074</v>
      </c>
    </row>
    <row r="739" spans="2:4" x14ac:dyDescent="0.25">
      <c r="B739" s="24" t="s">
        <v>943</v>
      </c>
      <c r="C739" s="24"/>
      <c r="D739" s="24" t="s">
        <v>1080</v>
      </c>
    </row>
    <row r="740" spans="2:4" x14ac:dyDescent="0.25">
      <c r="B740" s="24" t="s">
        <v>903</v>
      </c>
      <c r="C740" s="24"/>
      <c r="D740" s="24" t="s">
        <v>1071</v>
      </c>
    </row>
    <row r="741" spans="2:4" x14ac:dyDescent="0.25">
      <c r="B741" s="24" t="s">
        <v>548</v>
      </c>
      <c r="C741" s="24"/>
      <c r="D741" s="24" t="s">
        <v>1072</v>
      </c>
    </row>
    <row r="742" spans="2:4" x14ac:dyDescent="0.25">
      <c r="B742" s="24" t="s">
        <v>827</v>
      </c>
      <c r="C742" s="24"/>
      <c r="D742" s="24" t="s">
        <v>1073</v>
      </c>
    </row>
    <row r="743" spans="2:4" x14ac:dyDescent="0.25">
      <c r="B743" s="24" t="s">
        <v>972</v>
      </c>
      <c r="C743" s="24"/>
      <c r="D743" s="24" t="s">
        <v>1077</v>
      </c>
    </row>
    <row r="744" spans="2:4" x14ac:dyDescent="0.25">
      <c r="B744" s="24" t="s">
        <v>976</v>
      </c>
      <c r="C744" s="24"/>
      <c r="D744" s="24" t="s">
        <v>1070</v>
      </c>
    </row>
    <row r="745" spans="2:4" x14ac:dyDescent="0.25">
      <c r="B745" s="24" t="s">
        <v>473</v>
      </c>
      <c r="C745" s="24"/>
      <c r="D745" s="24" t="s">
        <v>1075</v>
      </c>
    </row>
    <row r="746" spans="2:4" x14ac:dyDescent="0.25">
      <c r="B746" s="24" t="s">
        <v>404</v>
      </c>
      <c r="C746" s="24"/>
      <c r="D746" s="24" t="s">
        <v>1079</v>
      </c>
    </row>
    <row r="747" spans="2:4" x14ac:dyDescent="0.25">
      <c r="B747" s="24" t="s">
        <v>415</v>
      </c>
      <c r="C747" s="24"/>
      <c r="D747" s="24" t="s">
        <v>1080</v>
      </c>
    </row>
    <row r="748" spans="2:4" x14ac:dyDescent="0.25">
      <c r="B748" s="24" t="s">
        <v>796</v>
      </c>
      <c r="C748" s="24"/>
      <c r="D748" s="24" t="s">
        <v>1076</v>
      </c>
    </row>
    <row r="749" spans="2:4" x14ac:dyDescent="0.25">
      <c r="B749" s="24" t="s">
        <v>473</v>
      </c>
      <c r="C749" s="24"/>
      <c r="D749" s="24" t="s">
        <v>1080</v>
      </c>
    </row>
    <row r="750" spans="2:4" x14ac:dyDescent="0.25">
      <c r="B750" s="24" t="s">
        <v>325</v>
      </c>
      <c r="C750" s="24"/>
      <c r="D750" s="24" t="s">
        <v>1072</v>
      </c>
    </row>
    <row r="751" spans="2:4" x14ac:dyDescent="0.25">
      <c r="B751" s="24" t="s">
        <v>903</v>
      </c>
      <c r="C751" s="24"/>
      <c r="D751" s="24" t="s">
        <v>1073</v>
      </c>
    </row>
    <row r="752" spans="2:4" x14ac:dyDescent="0.25">
      <c r="B752" s="24" t="s">
        <v>432</v>
      </c>
      <c r="C752" s="24"/>
      <c r="D752" s="24" t="s">
        <v>1077</v>
      </c>
    </row>
    <row r="753" spans="2:4" x14ac:dyDescent="0.25">
      <c r="B753" s="24" t="s">
        <v>177</v>
      </c>
      <c r="C753" s="24"/>
      <c r="D753" s="24" t="s">
        <v>1079</v>
      </c>
    </row>
    <row r="754" spans="2:4" x14ac:dyDescent="0.25">
      <c r="B754" s="24" t="s">
        <v>174</v>
      </c>
      <c r="C754" s="24"/>
      <c r="D754" s="24" t="s">
        <v>1077</v>
      </c>
    </row>
    <row r="755" spans="2:4" x14ac:dyDescent="0.25">
      <c r="B755" s="24" t="s">
        <v>673</v>
      </c>
      <c r="C755" s="24"/>
      <c r="D755" s="24" t="s">
        <v>1071</v>
      </c>
    </row>
    <row r="756" spans="2:4" x14ac:dyDescent="0.25">
      <c r="B756" s="24" t="s">
        <v>573</v>
      </c>
      <c r="C756" s="24"/>
      <c r="D756" s="24" t="s">
        <v>1073</v>
      </c>
    </row>
    <row r="757" spans="2:4" x14ac:dyDescent="0.25">
      <c r="B757" s="24" t="s">
        <v>938</v>
      </c>
      <c r="C757" s="24"/>
      <c r="D757" s="24" t="s">
        <v>1074</v>
      </c>
    </row>
    <row r="758" spans="2:4" x14ac:dyDescent="0.25">
      <c r="B758" s="24" t="s">
        <v>412</v>
      </c>
      <c r="C758" s="24"/>
      <c r="D758" s="24" t="s">
        <v>1072</v>
      </c>
    </row>
    <row r="759" spans="2:4" x14ac:dyDescent="0.25">
      <c r="B759" s="24" t="s">
        <v>898</v>
      </c>
      <c r="C759" s="24"/>
      <c r="D759" s="24" t="s">
        <v>1069</v>
      </c>
    </row>
    <row r="760" spans="2:4" x14ac:dyDescent="0.25">
      <c r="B760" s="24" t="s">
        <v>1116</v>
      </c>
      <c r="C760" s="24"/>
      <c r="D760" s="24" t="s">
        <v>1080</v>
      </c>
    </row>
    <row r="761" spans="2:4" x14ac:dyDescent="0.25">
      <c r="B761" s="24" t="s">
        <v>463</v>
      </c>
      <c r="C761" s="24"/>
      <c r="D761" s="24" t="s">
        <v>1071</v>
      </c>
    </row>
    <row r="762" spans="2:4" x14ac:dyDescent="0.25">
      <c r="B762" s="24" t="s">
        <v>896</v>
      </c>
      <c r="C762" s="24"/>
      <c r="D762" s="24" t="s">
        <v>1071</v>
      </c>
    </row>
    <row r="763" spans="2:4" x14ac:dyDescent="0.25">
      <c r="B763" s="24" t="s">
        <v>334</v>
      </c>
      <c r="C763" s="24"/>
      <c r="D763" s="24" t="s">
        <v>1072</v>
      </c>
    </row>
    <row r="764" spans="2:4" x14ac:dyDescent="0.25">
      <c r="B764" s="24" t="s">
        <v>467</v>
      </c>
      <c r="C764" s="24"/>
      <c r="D764" s="24" t="s">
        <v>1072</v>
      </c>
    </row>
    <row r="765" spans="2:4" x14ac:dyDescent="0.25">
      <c r="B765" s="24" t="s">
        <v>132</v>
      </c>
      <c r="C765" s="24"/>
      <c r="D765" s="24" t="s">
        <v>1080</v>
      </c>
    </row>
    <row r="766" spans="2:4" x14ac:dyDescent="0.25">
      <c r="B766" s="24" t="s">
        <v>407</v>
      </c>
      <c r="C766" s="24"/>
      <c r="D766" s="24" t="s">
        <v>1079</v>
      </c>
    </row>
    <row r="767" spans="2:4" x14ac:dyDescent="0.25">
      <c r="B767" s="24" t="s">
        <v>672</v>
      </c>
      <c r="C767" s="24"/>
      <c r="D767" s="24" t="s">
        <v>1069</v>
      </c>
    </row>
    <row r="768" spans="2:4" x14ac:dyDescent="0.25">
      <c r="B768" s="24" t="s">
        <v>338</v>
      </c>
      <c r="C768" s="24"/>
      <c r="D768" s="24" t="s">
        <v>1075</v>
      </c>
    </row>
    <row r="769" spans="2:4" x14ac:dyDescent="0.25">
      <c r="B769" s="24" t="s">
        <v>615</v>
      </c>
      <c r="C769" s="24"/>
      <c r="D769" s="24" t="s">
        <v>1074</v>
      </c>
    </row>
    <row r="770" spans="2:4" x14ac:dyDescent="0.25">
      <c r="B770" s="24" t="s">
        <v>1054</v>
      </c>
      <c r="C770" s="24"/>
      <c r="D770" s="24" t="s">
        <v>1069</v>
      </c>
    </row>
    <row r="771" spans="2:4" x14ac:dyDescent="0.25">
      <c r="B771" s="24" t="s">
        <v>210</v>
      </c>
      <c r="C771" s="24"/>
      <c r="D771" s="24" t="s">
        <v>1079</v>
      </c>
    </row>
    <row r="772" spans="2:4" x14ac:dyDescent="0.25">
      <c r="B772" s="24" t="s">
        <v>953</v>
      </c>
      <c r="C772" s="24"/>
      <c r="D772" s="24" t="s">
        <v>1075</v>
      </c>
    </row>
    <row r="773" spans="2:4" x14ac:dyDescent="0.25">
      <c r="B773" s="24" t="s">
        <v>394</v>
      </c>
      <c r="C773" s="24"/>
      <c r="D773" s="24" t="s">
        <v>1079</v>
      </c>
    </row>
    <row r="774" spans="2:4" x14ac:dyDescent="0.25">
      <c r="B774" s="24" t="s">
        <v>847</v>
      </c>
      <c r="C774" s="24"/>
      <c r="D774" s="24" t="s">
        <v>1071</v>
      </c>
    </row>
    <row r="775" spans="2:4" x14ac:dyDescent="0.25">
      <c r="B775" s="24" t="s">
        <v>182</v>
      </c>
      <c r="C775" s="24"/>
      <c r="D775" s="24" t="s">
        <v>1073</v>
      </c>
    </row>
    <row r="776" spans="2:4" x14ac:dyDescent="0.25">
      <c r="B776" s="24" t="s">
        <v>765</v>
      </c>
      <c r="C776" s="24"/>
      <c r="D776" s="24" t="s">
        <v>1080</v>
      </c>
    </row>
    <row r="777" spans="2:4" x14ac:dyDescent="0.25">
      <c r="B777" s="24" t="s">
        <v>164</v>
      </c>
      <c r="C777" s="24"/>
      <c r="D777" s="24" t="s">
        <v>1075</v>
      </c>
    </row>
    <row r="778" spans="2:4" x14ac:dyDescent="0.25">
      <c r="B778" s="24" t="s">
        <v>264</v>
      </c>
      <c r="C778" s="24"/>
      <c r="D778" s="24" t="s">
        <v>1073</v>
      </c>
    </row>
    <row r="779" spans="2:4" x14ac:dyDescent="0.25">
      <c r="B779" s="24" t="s">
        <v>381</v>
      </c>
      <c r="C779" s="24"/>
      <c r="D779" s="24" t="s">
        <v>1071</v>
      </c>
    </row>
    <row r="780" spans="2:4" x14ac:dyDescent="0.25">
      <c r="B780" s="24" t="s">
        <v>801</v>
      </c>
      <c r="C780" s="24"/>
      <c r="D780" s="24" t="s">
        <v>1076</v>
      </c>
    </row>
    <row r="781" spans="2:4" x14ac:dyDescent="0.25">
      <c r="B781" s="24" t="s">
        <v>397</v>
      </c>
      <c r="C781" s="24"/>
      <c r="D781" s="24" t="s">
        <v>1070</v>
      </c>
    </row>
    <row r="782" spans="2:4" x14ac:dyDescent="0.25">
      <c r="B782" s="24" t="s">
        <v>562</v>
      </c>
      <c r="C782" s="24"/>
      <c r="D782" s="24" t="s">
        <v>1077</v>
      </c>
    </row>
    <row r="783" spans="2:4" x14ac:dyDescent="0.25">
      <c r="B783" s="24" t="s">
        <v>607</v>
      </c>
      <c r="C783" s="24"/>
      <c r="D783" s="24" t="s">
        <v>1080</v>
      </c>
    </row>
    <row r="784" spans="2:4" x14ac:dyDescent="0.25">
      <c r="B784" s="24" t="s">
        <v>274</v>
      </c>
      <c r="C784" s="24"/>
      <c r="D784" s="24" t="s">
        <v>1071</v>
      </c>
    </row>
    <row r="785" spans="2:4" x14ac:dyDescent="0.25">
      <c r="B785" s="24" t="s">
        <v>840</v>
      </c>
      <c r="C785" s="24"/>
      <c r="D785" s="24" t="s">
        <v>1078</v>
      </c>
    </row>
    <row r="786" spans="2:4" x14ac:dyDescent="0.25">
      <c r="B786" s="24" t="s">
        <v>474</v>
      </c>
      <c r="C786" s="24"/>
      <c r="D786" s="24" t="s">
        <v>1078</v>
      </c>
    </row>
    <row r="787" spans="2:4" x14ac:dyDescent="0.25">
      <c r="B787" s="24" t="s">
        <v>194</v>
      </c>
      <c r="C787" s="24"/>
      <c r="D787" s="24" t="s">
        <v>1080</v>
      </c>
    </row>
    <row r="788" spans="2:4" x14ac:dyDescent="0.25">
      <c r="B788" s="24" t="s">
        <v>974</v>
      </c>
      <c r="C788" s="24"/>
      <c r="D788" s="24" t="s">
        <v>1073</v>
      </c>
    </row>
    <row r="789" spans="2:4" x14ac:dyDescent="0.25">
      <c r="B789" s="24" t="s">
        <v>1040</v>
      </c>
      <c r="C789" s="24"/>
      <c r="D789" s="24" t="s">
        <v>1077</v>
      </c>
    </row>
    <row r="790" spans="2:4" x14ac:dyDescent="0.25">
      <c r="B790" s="24" t="s">
        <v>577</v>
      </c>
      <c r="C790" s="24"/>
      <c r="D790" s="24" t="s">
        <v>1080</v>
      </c>
    </row>
    <row r="791" spans="2:4" x14ac:dyDescent="0.25">
      <c r="B791" s="24" t="s">
        <v>441</v>
      </c>
      <c r="C791" s="24"/>
      <c r="D791" s="24" t="s">
        <v>1077</v>
      </c>
    </row>
    <row r="792" spans="2:4" x14ac:dyDescent="0.25">
      <c r="B792" s="24" t="s">
        <v>926</v>
      </c>
      <c r="C792" s="24"/>
      <c r="D792" s="24" t="s">
        <v>1076</v>
      </c>
    </row>
    <row r="793" spans="2:4" x14ac:dyDescent="0.25">
      <c r="B793" s="24" t="s">
        <v>708</v>
      </c>
      <c r="C793" s="24"/>
      <c r="D793" s="24" t="s">
        <v>1080</v>
      </c>
    </row>
    <row r="794" spans="2:4" x14ac:dyDescent="0.25">
      <c r="B794" s="24" t="s">
        <v>855</v>
      </c>
      <c r="C794" s="24"/>
      <c r="D794" s="24" t="s">
        <v>1074</v>
      </c>
    </row>
    <row r="795" spans="2:4" x14ac:dyDescent="0.25">
      <c r="B795" s="24" t="s">
        <v>220</v>
      </c>
      <c r="C795" s="24"/>
      <c r="D795" s="24" t="s">
        <v>1072</v>
      </c>
    </row>
    <row r="796" spans="2:4" x14ac:dyDescent="0.25">
      <c r="B796" s="24" t="s">
        <v>731</v>
      </c>
      <c r="C796" s="24"/>
      <c r="D796" s="24" t="s">
        <v>1070</v>
      </c>
    </row>
    <row r="797" spans="2:4" x14ac:dyDescent="0.25">
      <c r="B797" s="24" t="s">
        <v>442</v>
      </c>
      <c r="C797" s="24"/>
      <c r="D797" s="24" t="s">
        <v>1075</v>
      </c>
    </row>
    <row r="798" spans="2:4" x14ac:dyDescent="0.25">
      <c r="B798" s="24" t="s">
        <v>210</v>
      </c>
      <c r="C798" s="24"/>
      <c r="D798" s="24" t="s">
        <v>1075</v>
      </c>
    </row>
    <row r="799" spans="2:4" x14ac:dyDescent="0.25">
      <c r="B799" s="24" t="s">
        <v>373</v>
      </c>
      <c r="C799" s="24"/>
      <c r="D799" s="24" t="s">
        <v>1074</v>
      </c>
    </row>
    <row r="800" spans="2:4" x14ac:dyDescent="0.25">
      <c r="B800" s="24" t="s">
        <v>149</v>
      </c>
      <c r="C800" s="24"/>
      <c r="D800" s="24" t="s">
        <v>1080</v>
      </c>
    </row>
    <row r="801" spans="2:4" x14ac:dyDescent="0.25">
      <c r="B801" s="24" t="s">
        <v>1030</v>
      </c>
      <c r="C801" s="24"/>
      <c r="D801" s="24" t="s">
        <v>1076</v>
      </c>
    </row>
    <row r="802" spans="2:4" x14ac:dyDescent="0.25">
      <c r="B802" s="24" t="s">
        <v>850</v>
      </c>
      <c r="C802" s="24"/>
      <c r="D802" s="24" t="s">
        <v>1070</v>
      </c>
    </row>
    <row r="803" spans="2:4" x14ac:dyDescent="0.25">
      <c r="B803" s="24" t="s">
        <v>292</v>
      </c>
      <c r="C803" s="24"/>
      <c r="D803" s="24" t="s">
        <v>1075</v>
      </c>
    </row>
    <row r="804" spans="2:4" x14ac:dyDescent="0.25">
      <c r="B804" s="24" t="s">
        <v>546</v>
      </c>
      <c r="C804" s="24"/>
      <c r="D804" s="24" t="s">
        <v>1075</v>
      </c>
    </row>
    <row r="805" spans="2:4" x14ac:dyDescent="0.25">
      <c r="B805" s="24" t="s">
        <v>1032</v>
      </c>
      <c r="C805" s="24"/>
      <c r="D805" s="24" t="s">
        <v>1079</v>
      </c>
    </row>
    <row r="806" spans="2:4" x14ac:dyDescent="0.25">
      <c r="B806" s="24" t="s">
        <v>974</v>
      </c>
      <c r="C806" s="24"/>
      <c r="D806" s="24" t="s">
        <v>1079</v>
      </c>
    </row>
    <row r="807" spans="2:4" x14ac:dyDescent="0.25">
      <c r="B807" s="24" t="s">
        <v>362</v>
      </c>
      <c r="C807" s="24"/>
      <c r="D807" s="24" t="s">
        <v>1078</v>
      </c>
    </row>
    <row r="808" spans="2:4" x14ac:dyDescent="0.25">
      <c r="B808" s="24" t="s">
        <v>494</v>
      </c>
      <c r="C808" s="24"/>
      <c r="D808" s="24" t="s">
        <v>1075</v>
      </c>
    </row>
    <row r="809" spans="2:4" x14ac:dyDescent="0.25">
      <c r="B809" s="24" t="s">
        <v>293</v>
      </c>
      <c r="C809" s="24"/>
      <c r="D809" s="24" t="s">
        <v>1070</v>
      </c>
    </row>
    <row r="810" spans="2:4" x14ac:dyDescent="0.25">
      <c r="B810" s="24" t="s">
        <v>139</v>
      </c>
      <c r="C810" s="24"/>
      <c r="D810" s="24" t="s">
        <v>1075</v>
      </c>
    </row>
    <row r="811" spans="2:4" x14ac:dyDescent="0.25">
      <c r="B811" s="24" t="s">
        <v>492</v>
      </c>
      <c r="C811" s="24"/>
      <c r="D811" s="24" t="s">
        <v>1080</v>
      </c>
    </row>
    <row r="812" spans="2:4" x14ac:dyDescent="0.25">
      <c r="B812" s="24" t="s">
        <v>165</v>
      </c>
      <c r="C812" s="24"/>
      <c r="D812" s="24" t="s">
        <v>1075</v>
      </c>
    </row>
    <row r="813" spans="2:4" x14ac:dyDescent="0.25">
      <c r="B813" s="24" t="s">
        <v>421</v>
      </c>
      <c r="C813" s="24"/>
      <c r="D813" s="24" t="s">
        <v>1077</v>
      </c>
    </row>
    <row r="814" spans="2:4" x14ac:dyDescent="0.25">
      <c r="B814" s="24" t="s">
        <v>724</v>
      </c>
      <c r="C814" s="24"/>
      <c r="D814" s="24" t="s">
        <v>1069</v>
      </c>
    </row>
    <row r="815" spans="2:4" x14ac:dyDescent="0.25">
      <c r="B815" s="24" t="s">
        <v>609</v>
      </c>
      <c r="C815" s="24"/>
      <c r="D815" s="24" t="s">
        <v>1074</v>
      </c>
    </row>
    <row r="816" spans="2:4" x14ac:dyDescent="0.25">
      <c r="B816" s="24" t="s">
        <v>849</v>
      </c>
      <c r="C816" s="24"/>
      <c r="D816" s="24" t="s">
        <v>1077</v>
      </c>
    </row>
    <row r="817" spans="2:4" x14ac:dyDescent="0.25">
      <c r="B817" s="24" t="s">
        <v>292</v>
      </c>
      <c r="C817" s="24"/>
      <c r="D817" s="24" t="s">
        <v>1078</v>
      </c>
    </row>
    <row r="818" spans="2:4" x14ac:dyDescent="0.25">
      <c r="B818" s="24" t="s">
        <v>605</v>
      </c>
      <c r="C818" s="24"/>
      <c r="D818" s="24" t="s">
        <v>1069</v>
      </c>
    </row>
    <row r="819" spans="2:4" x14ac:dyDescent="0.25">
      <c r="B819" s="24" t="s">
        <v>167</v>
      </c>
      <c r="C819" s="24"/>
      <c r="D819" s="24" t="s">
        <v>1070</v>
      </c>
    </row>
    <row r="820" spans="2:4" x14ac:dyDescent="0.25">
      <c r="B820" s="24" t="s">
        <v>553</v>
      </c>
      <c r="C820" s="24"/>
      <c r="D820" s="24" t="s">
        <v>1077</v>
      </c>
    </row>
    <row r="821" spans="2:4" x14ac:dyDescent="0.25">
      <c r="B821" s="24" t="s">
        <v>525</v>
      </c>
      <c r="C821" s="24"/>
      <c r="D821" s="24" t="s">
        <v>1070</v>
      </c>
    </row>
    <row r="822" spans="2:4" x14ac:dyDescent="0.25">
      <c r="B822" s="24" t="s">
        <v>484</v>
      </c>
      <c r="C822" s="24"/>
      <c r="D822" s="24" t="s">
        <v>1071</v>
      </c>
    </row>
    <row r="823" spans="2:4" x14ac:dyDescent="0.25">
      <c r="B823" s="24" t="s">
        <v>586</v>
      </c>
      <c r="C823" s="24"/>
      <c r="D823" s="24" t="s">
        <v>1069</v>
      </c>
    </row>
    <row r="824" spans="2:4" x14ac:dyDescent="0.25">
      <c r="B824" s="24" t="s">
        <v>351</v>
      </c>
      <c r="C824" s="24"/>
      <c r="D824" s="24" t="s">
        <v>1080</v>
      </c>
    </row>
    <row r="825" spans="2:4" x14ac:dyDescent="0.25">
      <c r="B825" s="24" t="s">
        <v>1046</v>
      </c>
      <c r="C825" s="24"/>
      <c r="D825" s="24" t="s">
        <v>1069</v>
      </c>
    </row>
    <row r="826" spans="2:4" x14ac:dyDescent="0.25">
      <c r="B826" s="24" t="s">
        <v>465</v>
      </c>
      <c r="C826" s="24"/>
      <c r="D826" s="24" t="s">
        <v>1070</v>
      </c>
    </row>
    <row r="827" spans="2:4" x14ac:dyDescent="0.25">
      <c r="B827" s="24" t="s">
        <v>861</v>
      </c>
      <c r="C827" s="24"/>
      <c r="D827" s="24" t="s">
        <v>1074</v>
      </c>
    </row>
    <row r="828" spans="2:4" x14ac:dyDescent="0.25">
      <c r="B828" s="24" t="s">
        <v>965</v>
      </c>
      <c r="C828" s="24"/>
      <c r="D828" s="24" t="s">
        <v>1074</v>
      </c>
    </row>
    <row r="829" spans="2:4" x14ac:dyDescent="0.25">
      <c r="B829" s="24" t="s">
        <v>486</v>
      </c>
      <c r="C829" s="24"/>
      <c r="D829" s="24" t="s">
        <v>1078</v>
      </c>
    </row>
    <row r="830" spans="2:4" x14ac:dyDescent="0.25">
      <c r="B830" s="24" t="s">
        <v>548</v>
      </c>
      <c r="C830" s="24"/>
      <c r="D830" s="24" t="s">
        <v>1076</v>
      </c>
    </row>
    <row r="831" spans="2:4" x14ac:dyDescent="0.25">
      <c r="B831" s="24" t="s">
        <v>981</v>
      </c>
      <c r="C831" s="24"/>
      <c r="D831" s="24" t="s">
        <v>1079</v>
      </c>
    </row>
    <row r="832" spans="2:4" x14ac:dyDescent="0.25">
      <c r="B832" s="24" t="s">
        <v>329</v>
      </c>
      <c r="C832" s="24"/>
      <c r="D832" s="24" t="s">
        <v>1079</v>
      </c>
    </row>
    <row r="833" spans="2:4" x14ac:dyDescent="0.25">
      <c r="B833" s="24" t="s">
        <v>798</v>
      </c>
      <c r="C833" s="24"/>
      <c r="D833" s="24" t="s">
        <v>1078</v>
      </c>
    </row>
    <row r="834" spans="2:4" x14ac:dyDescent="0.25">
      <c r="B834" s="24" t="s">
        <v>135</v>
      </c>
      <c r="C834" s="24"/>
      <c r="D834" s="24" t="s">
        <v>1075</v>
      </c>
    </row>
    <row r="835" spans="2:4" x14ac:dyDescent="0.25">
      <c r="B835" s="24" t="s">
        <v>460</v>
      </c>
      <c r="C835" s="24"/>
      <c r="D835" s="24" t="s">
        <v>1079</v>
      </c>
    </row>
    <row r="836" spans="2:4" x14ac:dyDescent="0.25">
      <c r="B836" s="24" t="s">
        <v>903</v>
      </c>
      <c r="C836" s="24"/>
      <c r="D836" s="24" t="s">
        <v>1070</v>
      </c>
    </row>
    <row r="837" spans="2:4" x14ac:dyDescent="0.25">
      <c r="B837" s="24" t="s">
        <v>689</v>
      </c>
      <c r="C837" s="24"/>
      <c r="D837" s="24" t="s">
        <v>1080</v>
      </c>
    </row>
    <row r="838" spans="2:4" x14ac:dyDescent="0.25">
      <c r="B838" s="24" t="s">
        <v>478</v>
      </c>
      <c r="C838" s="24"/>
      <c r="D838" s="24" t="s">
        <v>1073</v>
      </c>
    </row>
    <row r="839" spans="2:4" x14ac:dyDescent="0.25">
      <c r="B839" s="24" t="s">
        <v>778</v>
      </c>
      <c r="C839" s="24"/>
      <c r="D839" s="24" t="s">
        <v>1079</v>
      </c>
    </row>
    <row r="840" spans="2:4" x14ac:dyDescent="0.25">
      <c r="B840" s="24" t="s">
        <v>406</v>
      </c>
      <c r="C840" s="24"/>
      <c r="D840" s="24" t="s">
        <v>1073</v>
      </c>
    </row>
    <row r="841" spans="2:4" x14ac:dyDescent="0.25">
      <c r="B841" s="24" t="s">
        <v>123</v>
      </c>
      <c r="C841" s="24"/>
      <c r="D841" s="24" t="s">
        <v>1080</v>
      </c>
    </row>
    <row r="842" spans="2:4" x14ac:dyDescent="0.25">
      <c r="B842" s="24" t="s">
        <v>276</v>
      </c>
      <c r="C842" s="24"/>
      <c r="D842" s="24" t="s">
        <v>1076</v>
      </c>
    </row>
    <row r="843" spans="2:4" x14ac:dyDescent="0.25">
      <c r="B843" s="24" t="s">
        <v>993</v>
      </c>
      <c r="C843" s="24"/>
      <c r="D843" s="24" t="s">
        <v>1069</v>
      </c>
    </row>
    <row r="844" spans="2:4" x14ac:dyDescent="0.25">
      <c r="B844" s="24" t="s">
        <v>110</v>
      </c>
      <c r="C844" s="24"/>
      <c r="D844" s="24" t="s">
        <v>1080</v>
      </c>
    </row>
    <row r="845" spans="2:4" x14ac:dyDescent="0.25">
      <c r="B845" s="24" t="s">
        <v>789</v>
      </c>
      <c r="C845" s="24"/>
      <c r="D845" s="24" t="s">
        <v>1069</v>
      </c>
    </row>
    <row r="846" spans="2:4" x14ac:dyDescent="0.25">
      <c r="B846" s="24" t="s">
        <v>1097</v>
      </c>
      <c r="C846" s="24"/>
      <c r="D846" s="24" t="s">
        <v>1071</v>
      </c>
    </row>
    <row r="847" spans="2:4" x14ac:dyDescent="0.25">
      <c r="B847" s="24" t="s">
        <v>177</v>
      </c>
      <c r="C847" s="24"/>
      <c r="D847" s="24" t="s">
        <v>1076</v>
      </c>
    </row>
    <row r="848" spans="2:4" x14ac:dyDescent="0.25">
      <c r="B848" s="24" t="s">
        <v>449</v>
      </c>
      <c r="C848" s="24"/>
      <c r="D848" s="24" t="s">
        <v>1073</v>
      </c>
    </row>
    <row r="849" spans="2:4" x14ac:dyDescent="0.25">
      <c r="B849" s="24" t="s">
        <v>727</v>
      </c>
      <c r="C849" s="24"/>
      <c r="D849" s="24" t="s">
        <v>1078</v>
      </c>
    </row>
    <row r="850" spans="2:4" x14ac:dyDescent="0.25">
      <c r="B850" s="24" t="s">
        <v>814</v>
      </c>
      <c r="C850" s="24"/>
      <c r="D850" s="24" t="s">
        <v>1072</v>
      </c>
    </row>
    <row r="851" spans="2:4" x14ac:dyDescent="0.25">
      <c r="B851" s="24" t="s">
        <v>834</v>
      </c>
      <c r="C851" s="24"/>
      <c r="D851" s="24" t="s">
        <v>1075</v>
      </c>
    </row>
    <row r="852" spans="2:4" x14ac:dyDescent="0.25">
      <c r="B852" s="24" t="s">
        <v>529</v>
      </c>
      <c r="C852" s="24"/>
      <c r="D852" s="24" t="s">
        <v>1076</v>
      </c>
    </row>
    <row r="853" spans="2:4" x14ac:dyDescent="0.25">
      <c r="B853" s="24" t="s">
        <v>681</v>
      </c>
      <c r="C853" s="24"/>
      <c r="D853" s="24" t="s">
        <v>1078</v>
      </c>
    </row>
    <row r="854" spans="2:4" x14ac:dyDescent="0.25">
      <c r="B854" s="24" t="s">
        <v>377</v>
      </c>
      <c r="C854" s="24"/>
      <c r="D854" s="24" t="s">
        <v>1078</v>
      </c>
    </row>
    <row r="855" spans="2:4" x14ac:dyDescent="0.25">
      <c r="B855" s="24" t="s">
        <v>603</v>
      </c>
      <c r="C855" s="24"/>
      <c r="D855" s="24" t="s">
        <v>1080</v>
      </c>
    </row>
    <row r="856" spans="2:4" x14ac:dyDescent="0.25">
      <c r="B856" s="24" t="s">
        <v>569</v>
      </c>
      <c r="C856" s="24"/>
      <c r="D856" s="24" t="s">
        <v>1072</v>
      </c>
    </row>
    <row r="857" spans="2:4" x14ac:dyDescent="0.25">
      <c r="B857" s="24" t="s">
        <v>676</v>
      </c>
      <c r="C857" s="24"/>
      <c r="D857" s="24" t="s">
        <v>1071</v>
      </c>
    </row>
    <row r="858" spans="2:4" x14ac:dyDescent="0.25">
      <c r="B858" s="24" t="s">
        <v>945</v>
      </c>
      <c r="C858" s="24"/>
      <c r="D858" s="24" t="s">
        <v>1076</v>
      </c>
    </row>
    <row r="859" spans="2:4" x14ac:dyDescent="0.25">
      <c r="B859" s="24" t="s">
        <v>552</v>
      </c>
      <c r="C859" s="24"/>
      <c r="D859" s="24" t="s">
        <v>1076</v>
      </c>
    </row>
    <row r="860" spans="2:4" x14ac:dyDescent="0.25">
      <c r="B860" s="24" t="s">
        <v>438</v>
      </c>
      <c r="C860" s="24"/>
      <c r="D860" s="24" t="s">
        <v>1078</v>
      </c>
    </row>
    <row r="861" spans="2:4" x14ac:dyDescent="0.25">
      <c r="B861" s="24" t="s">
        <v>507</v>
      </c>
      <c r="C861" s="24"/>
      <c r="D861" s="24" t="s">
        <v>1073</v>
      </c>
    </row>
    <row r="862" spans="2:4" x14ac:dyDescent="0.25">
      <c r="B862" s="24" t="s">
        <v>688</v>
      </c>
      <c r="C862" s="24"/>
      <c r="D862" s="24" t="s">
        <v>1077</v>
      </c>
    </row>
    <row r="863" spans="2:4" x14ac:dyDescent="0.25">
      <c r="B863" s="24" t="s">
        <v>790</v>
      </c>
      <c r="C863" s="24"/>
      <c r="D863" s="24" t="s">
        <v>1070</v>
      </c>
    </row>
    <row r="864" spans="2:4" x14ac:dyDescent="0.25">
      <c r="B864" s="24" t="s">
        <v>142</v>
      </c>
      <c r="C864" s="24"/>
      <c r="D864" s="24" t="s">
        <v>1074</v>
      </c>
    </row>
    <row r="865" spans="2:4" x14ac:dyDescent="0.25">
      <c r="B865" s="24" t="s">
        <v>232</v>
      </c>
      <c r="C865" s="24"/>
      <c r="D865" s="24" t="s">
        <v>1076</v>
      </c>
    </row>
    <row r="866" spans="2:4" x14ac:dyDescent="0.25">
      <c r="B866" s="24" t="s">
        <v>108</v>
      </c>
      <c r="C866" s="24"/>
      <c r="D866" s="24" t="s">
        <v>1079</v>
      </c>
    </row>
    <row r="867" spans="2:4" x14ac:dyDescent="0.25">
      <c r="B867" s="24" t="s">
        <v>956</v>
      </c>
      <c r="C867" s="24"/>
      <c r="D867" s="24" t="s">
        <v>1070</v>
      </c>
    </row>
    <row r="868" spans="2:4" x14ac:dyDescent="0.25">
      <c r="B868" s="24" t="s">
        <v>315</v>
      </c>
      <c r="C868" s="24"/>
      <c r="D868" s="24" t="s">
        <v>1080</v>
      </c>
    </row>
    <row r="869" spans="2:4" x14ac:dyDescent="0.25">
      <c r="B869" s="24" t="s">
        <v>652</v>
      </c>
      <c r="C869" s="24"/>
      <c r="D869" s="24" t="s">
        <v>1080</v>
      </c>
    </row>
    <row r="870" spans="2:4" x14ac:dyDescent="0.25">
      <c r="B870" s="24" t="s">
        <v>577</v>
      </c>
      <c r="C870" s="24"/>
      <c r="D870" s="24" t="s">
        <v>1080</v>
      </c>
    </row>
    <row r="871" spans="2:4" x14ac:dyDescent="0.25">
      <c r="B871" s="24" t="s">
        <v>700</v>
      </c>
      <c r="C871" s="24"/>
      <c r="D871" s="24" t="s">
        <v>1078</v>
      </c>
    </row>
    <row r="872" spans="2:4" x14ac:dyDescent="0.25">
      <c r="B872" s="24" t="s">
        <v>747</v>
      </c>
      <c r="C872" s="24"/>
      <c r="D872" s="24" t="s">
        <v>1075</v>
      </c>
    </row>
    <row r="873" spans="2:4" x14ac:dyDescent="0.25">
      <c r="B873" s="24" t="s">
        <v>878</v>
      </c>
      <c r="C873" s="24"/>
      <c r="D873" s="24" t="s">
        <v>1075</v>
      </c>
    </row>
    <row r="874" spans="2:4" x14ac:dyDescent="0.25">
      <c r="B874" s="24" t="s">
        <v>916</v>
      </c>
      <c r="C874" s="24"/>
      <c r="D874" s="24" t="s">
        <v>1078</v>
      </c>
    </row>
    <row r="875" spans="2:4" x14ac:dyDescent="0.25">
      <c r="B875" s="24" t="s">
        <v>176</v>
      </c>
      <c r="C875" s="24"/>
      <c r="D875" s="24" t="s">
        <v>1071</v>
      </c>
    </row>
    <row r="876" spans="2:4" x14ac:dyDescent="0.25">
      <c r="B876" s="24" t="s">
        <v>880</v>
      </c>
      <c r="C876" s="24"/>
      <c r="D876" s="24" t="s">
        <v>1072</v>
      </c>
    </row>
    <row r="877" spans="2:4" x14ac:dyDescent="0.25">
      <c r="B877" s="24" t="s">
        <v>769</v>
      </c>
      <c r="C877" s="24"/>
      <c r="D877" s="24" t="s">
        <v>1076</v>
      </c>
    </row>
    <row r="878" spans="2:4" x14ac:dyDescent="0.25">
      <c r="B878" s="24" t="s">
        <v>822</v>
      </c>
      <c r="C878" s="24"/>
      <c r="D878" s="24" t="s">
        <v>1077</v>
      </c>
    </row>
    <row r="879" spans="2:4" x14ac:dyDescent="0.25">
      <c r="B879" s="24" t="s">
        <v>533</v>
      </c>
      <c r="C879" s="24"/>
      <c r="D879" s="24" t="s">
        <v>1080</v>
      </c>
    </row>
    <row r="880" spans="2:4" x14ac:dyDescent="0.25">
      <c r="B880" s="24" t="s">
        <v>295</v>
      </c>
      <c r="C880" s="24"/>
      <c r="D880" s="24" t="s">
        <v>1077</v>
      </c>
    </row>
    <row r="881" spans="2:4" x14ac:dyDescent="0.25">
      <c r="B881" s="24" t="s">
        <v>440</v>
      </c>
      <c r="C881" s="24"/>
      <c r="D881" s="24" t="s">
        <v>1077</v>
      </c>
    </row>
    <row r="882" spans="2:4" x14ac:dyDescent="0.25">
      <c r="B882" s="24" t="s">
        <v>368</v>
      </c>
      <c r="C882" s="24"/>
      <c r="D882" s="24" t="s">
        <v>1075</v>
      </c>
    </row>
    <row r="883" spans="2:4" x14ac:dyDescent="0.25">
      <c r="B883" s="24" t="s">
        <v>489</v>
      </c>
      <c r="C883" s="24"/>
      <c r="D883" s="24" t="s">
        <v>1071</v>
      </c>
    </row>
    <row r="884" spans="2:4" x14ac:dyDescent="0.25">
      <c r="B884" s="24" t="s">
        <v>170</v>
      </c>
      <c r="C884" s="24"/>
      <c r="D884" s="24" t="s">
        <v>1074</v>
      </c>
    </row>
    <row r="885" spans="2:4" x14ac:dyDescent="0.25">
      <c r="B885" s="24" t="s">
        <v>755</v>
      </c>
      <c r="C885" s="24"/>
      <c r="D885" s="24" t="s">
        <v>1069</v>
      </c>
    </row>
    <row r="886" spans="2:4" x14ac:dyDescent="0.25">
      <c r="B886" s="24" t="s">
        <v>499</v>
      </c>
      <c r="C886" s="24"/>
      <c r="D886" s="24" t="s">
        <v>1075</v>
      </c>
    </row>
    <row r="887" spans="2:4" x14ac:dyDescent="0.25">
      <c r="B887" s="24" t="s">
        <v>734</v>
      </c>
      <c r="C887" s="24"/>
      <c r="D887" s="24" t="s">
        <v>1079</v>
      </c>
    </row>
    <row r="888" spans="2:4" x14ac:dyDescent="0.25">
      <c r="B888" s="24" t="s">
        <v>849</v>
      </c>
      <c r="C888" s="24"/>
      <c r="D888" s="24" t="s">
        <v>1074</v>
      </c>
    </row>
    <row r="889" spans="2:4" x14ac:dyDescent="0.25">
      <c r="B889" s="24" t="s">
        <v>885</v>
      </c>
      <c r="C889" s="24"/>
      <c r="D889" s="24" t="s">
        <v>1079</v>
      </c>
    </row>
    <row r="890" spans="2:4" x14ac:dyDescent="0.25">
      <c r="B890" s="24" t="s">
        <v>587</v>
      </c>
      <c r="C890" s="24"/>
      <c r="D890" s="24" t="s">
        <v>1073</v>
      </c>
    </row>
    <row r="891" spans="2:4" x14ac:dyDescent="0.25">
      <c r="B891" s="24" t="s">
        <v>509</v>
      </c>
      <c r="C891" s="24"/>
      <c r="D891" s="24" t="s">
        <v>1069</v>
      </c>
    </row>
    <row r="892" spans="2:4" x14ac:dyDescent="0.25">
      <c r="B892" s="24" t="s">
        <v>370</v>
      </c>
      <c r="C892" s="24"/>
      <c r="D892" s="24" t="s">
        <v>1079</v>
      </c>
    </row>
    <row r="893" spans="2:4" x14ac:dyDescent="0.25">
      <c r="B893" s="24" t="s">
        <v>751</v>
      </c>
      <c r="C893" s="24"/>
      <c r="D893" s="24" t="s">
        <v>1076</v>
      </c>
    </row>
    <row r="894" spans="2:4" x14ac:dyDescent="0.25">
      <c r="B894" s="24" t="s">
        <v>876</v>
      </c>
      <c r="C894" s="24"/>
      <c r="D894" s="24" t="s">
        <v>1080</v>
      </c>
    </row>
    <row r="895" spans="2:4" x14ac:dyDescent="0.25">
      <c r="B895" s="24" t="s">
        <v>1043</v>
      </c>
      <c r="C895" s="24"/>
      <c r="D895" s="24" t="s">
        <v>1077</v>
      </c>
    </row>
    <row r="896" spans="2:4" x14ac:dyDescent="0.25">
      <c r="B896" s="24" t="s">
        <v>812</v>
      </c>
      <c r="C896" s="24"/>
      <c r="D896" s="24" t="s">
        <v>1076</v>
      </c>
    </row>
    <row r="897" spans="2:4" x14ac:dyDescent="0.25">
      <c r="B897" s="24" t="s">
        <v>528</v>
      </c>
      <c r="C897" s="24"/>
      <c r="D897" s="24" t="s">
        <v>1075</v>
      </c>
    </row>
    <row r="898" spans="2:4" x14ac:dyDescent="0.25">
      <c r="B898" s="24" t="s">
        <v>1035</v>
      </c>
      <c r="C898" s="24"/>
      <c r="D898" s="24" t="s">
        <v>1077</v>
      </c>
    </row>
    <row r="899" spans="2:4" x14ac:dyDescent="0.25">
      <c r="B899" s="24" t="s">
        <v>1092</v>
      </c>
      <c r="C899" s="24"/>
      <c r="D899" s="24" t="s">
        <v>1080</v>
      </c>
    </row>
    <row r="900" spans="2:4" x14ac:dyDescent="0.25">
      <c r="B900" s="24" t="s">
        <v>978</v>
      </c>
      <c r="C900" s="24"/>
      <c r="D900" s="24" t="s">
        <v>1075</v>
      </c>
    </row>
    <row r="901" spans="2:4" x14ac:dyDescent="0.25">
      <c r="B901" s="24" t="s">
        <v>165</v>
      </c>
      <c r="C901" s="24"/>
      <c r="D901" s="24" t="s">
        <v>1070</v>
      </c>
    </row>
    <row r="902" spans="2:4" x14ac:dyDescent="0.25">
      <c r="B902" s="24" t="s">
        <v>539</v>
      </c>
      <c r="C902" s="24"/>
      <c r="D902" s="24" t="s">
        <v>1070</v>
      </c>
    </row>
    <row r="903" spans="2:4" x14ac:dyDescent="0.25">
      <c r="B903" s="24" t="s">
        <v>371</v>
      </c>
      <c r="C903" s="24"/>
      <c r="D903" s="24" t="s">
        <v>1078</v>
      </c>
    </row>
    <row r="904" spans="2:4" x14ac:dyDescent="0.25">
      <c r="B904" s="24" t="s">
        <v>783</v>
      </c>
      <c r="C904" s="24"/>
      <c r="D904" s="24" t="s">
        <v>1077</v>
      </c>
    </row>
    <row r="905" spans="2:4" x14ac:dyDescent="0.25">
      <c r="B905" s="24" t="s">
        <v>849</v>
      </c>
      <c r="C905" s="24"/>
      <c r="D905" s="24" t="s">
        <v>1076</v>
      </c>
    </row>
    <row r="906" spans="2:4" x14ac:dyDescent="0.25">
      <c r="B906" s="24" t="s">
        <v>353</v>
      </c>
      <c r="C906" s="24"/>
      <c r="D906" s="24" t="s">
        <v>1077</v>
      </c>
    </row>
    <row r="907" spans="2:4" x14ac:dyDescent="0.25">
      <c r="B907" s="24" t="s">
        <v>238</v>
      </c>
      <c r="C907" s="24"/>
      <c r="D907" s="24" t="s">
        <v>1079</v>
      </c>
    </row>
    <row r="908" spans="2:4" x14ac:dyDescent="0.25">
      <c r="B908" s="24" t="s">
        <v>766</v>
      </c>
      <c r="C908" s="24"/>
      <c r="D908" s="24" t="s">
        <v>1080</v>
      </c>
    </row>
    <row r="909" spans="2:4" x14ac:dyDescent="0.25">
      <c r="B909" s="24" t="s">
        <v>605</v>
      </c>
      <c r="C909" s="24"/>
      <c r="D909" s="24" t="s">
        <v>1077</v>
      </c>
    </row>
    <row r="910" spans="2:4" x14ac:dyDescent="0.25">
      <c r="B910" s="24" t="s">
        <v>271</v>
      </c>
      <c r="C910" s="24"/>
      <c r="D910" s="24" t="s">
        <v>1075</v>
      </c>
    </row>
    <row r="911" spans="2:4" x14ac:dyDescent="0.25">
      <c r="B911" s="24" t="s">
        <v>941</v>
      </c>
      <c r="C911" s="24"/>
      <c r="D911" s="24" t="s">
        <v>1073</v>
      </c>
    </row>
    <row r="912" spans="2:4" x14ac:dyDescent="0.25">
      <c r="B912" s="24" t="s">
        <v>629</v>
      </c>
      <c r="C912" s="24"/>
      <c r="D912" s="24" t="s">
        <v>1069</v>
      </c>
    </row>
    <row r="913" spans="2:4" x14ac:dyDescent="0.25">
      <c r="B913" s="24" t="s">
        <v>649</v>
      </c>
      <c r="C913" s="24"/>
      <c r="D913" s="24" t="s">
        <v>1071</v>
      </c>
    </row>
    <row r="914" spans="2:4" x14ac:dyDescent="0.25">
      <c r="B914" s="24" t="s">
        <v>487</v>
      </c>
      <c r="C914" s="24"/>
      <c r="D914" s="24" t="s">
        <v>1079</v>
      </c>
    </row>
    <row r="915" spans="2:4" x14ac:dyDescent="0.25">
      <c r="B915" s="24" t="s">
        <v>350</v>
      </c>
      <c r="C915" s="24"/>
      <c r="D915" s="24" t="s">
        <v>1073</v>
      </c>
    </row>
    <row r="916" spans="2:4" x14ac:dyDescent="0.25">
      <c r="B916" s="24" t="s">
        <v>697</v>
      </c>
      <c r="C916" s="24"/>
      <c r="D916" s="24" t="s">
        <v>1076</v>
      </c>
    </row>
    <row r="917" spans="2:4" x14ac:dyDescent="0.25">
      <c r="B917" s="24" t="s">
        <v>989</v>
      </c>
      <c r="C917" s="24"/>
      <c r="D917" s="24" t="s">
        <v>1074</v>
      </c>
    </row>
    <row r="918" spans="2:4" x14ac:dyDescent="0.25">
      <c r="B918" s="24" t="s">
        <v>118</v>
      </c>
      <c r="C918" s="24"/>
      <c r="D918" s="24" t="s">
        <v>1075</v>
      </c>
    </row>
    <row r="919" spans="2:4" x14ac:dyDescent="0.25">
      <c r="B919" s="24" t="s">
        <v>250</v>
      </c>
      <c r="C919" s="24"/>
      <c r="D919" s="24" t="s">
        <v>1079</v>
      </c>
    </row>
    <row r="920" spans="2:4" x14ac:dyDescent="0.25">
      <c r="B920" s="24" t="s">
        <v>459</v>
      </c>
      <c r="C920" s="24"/>
      <c r="D920" s="24" t="s">
        <v>1076</v>
      </c>
    </row>
    <row r="921" spans="2:4" x14ac:dyDescent="0.25">
      <c r="B921" s="24" t="s">
        <v>921</v>
      </c>
      <c r="C921" s="24"/>
      <c r="D921" s="24" t="s">
        <v>1077</v>
      </c>
    </row>
    <row r="922" spans="2:4" x14ac:dyDescent="0.25">
      <c r="B922" s="24" t="s">
        <v>611</v>
      </c>
      <c r="C922" s="24"/>
      <c r="D922" s="24" t="s">
        <v>1076</v>
      </c>
    </row>
    <row r="923" spans="2:4" x14ac:dyDescent="0.25">
      <c r="B923" s="24" t="s">
        <v>978</v>
      </c>
      <c r="C923" s="24"/>
      <c r="D923" s="24" t="s">
        <v>1075</v>
      </c>
    </row>
    <row r="924" spans="2:4" x14ac:dyDescent="0.25">
      <c r="B924" s="24" t="s">
        <v>1023</v>
      </c>
      <c r="C924" s="24"/>
      <c r="D924" s="24" t="s">
        <v>1072</v>
      </c>
    </row>
    <row r="925" spans="2:4" x14ac:dyDescent="0.25">
      <c r="B925" s="24" t="s">
        <v>485</v>
      </c>
      <c r="C925" s="24"/>
      <c r="D925" s="24" t="s">
        <v>1078</v>
      </c>
    </row>
    <row r="926" spans="2:4" x14ac:dyDescent="0.25">
      <c r="B926" s="24" t="s">
        <v>378</v>
      </c>
      <c r="C926" s="24"/>
      <c r="D926" s="24" t="s">
        <v>1069</v>
      </c>
    </row>
    <row r="927" spans="2:4" x14ac:dyDescent="0.25">
      <c r="B927" s="24" t="s">
        <v>937</v>
      </c>
      <c r="C927" s="24"/>
      <c r="D927" s="24" t="s">
        <v>1077</v>
      </c>
    </row>
    <row r="928" spans="2:4" x14ac:dyDescent="0.25">
      <c r="B928" s="24" t="s">
        <v>628</v>
      </c>
      <c r="C928" s="24"/>
      <c r="D928" s="24" t="s">
        <v>1079</v>
      </c>
    </row>
    <row r="929" spans="2:4" x14ac:dyDescent="0.25">
      <c r="B929" s="24" t="s">
        <v>954</v>
      </c>
      <c r="C929" s="24"/>
      <c r="D929" s="24" t="s">
        <v>1074</v>
      </c>
    </row>
    <row r="930" spans="2:4" x14ac:dyDescent="0.25">
      <c r="B930" s="24" t="s">
        <v>164</v>
      </c>
      <c r="C930" s="24"/>
      <c r="D930" s="24" t="s">
        <v>1078</v>
      </c>
    </row>
    <row r="931" spans="2:4" x14ac:dyDescent="0.25">
      <c r="B931" s="24" t="s">
        <v>983</v>
      </c>
      <c r="C931" s="24"/>
      <c r="D931" s="24" t="s">
        <v>1079</v>
      </c>
    </row>
    <row r="932" spans="2:4" x14ac:dyDescent="0.25">
      <c r="B932" s="24" t="s">
        <v>210</v>
      </c>
      <c r="C932" s="24"/>
      <c r="D932" s="24" t="s">
        <v>1073</v>
      </c>
    </row>
    <row r="933" spans="2:4" x14ac:dyDescent="0.25">
      <c r="B933" s="24" t="s">
        <v>451</v>
      </c>
      <c r="C933" s="24"/>
      <c r="D933" s="24" t="s">
        <v>1077</v>
      </c>
    </row>
    <row r="934" spans="2:4" x14ac:dyDescent="0.25">
      <c r="B934" s="24" t="s">
        <v>609</v>
      </c>
      <c r="C934" s="24"/>
      <c r="D934" s="24" t="s">
        <v>1069</v>
      </c>
    </row>
    <row r="935" spans="2:4" x14ac:dyDescent="0.25">
      <c r="B935" s="24" t="s">
        <v>1034</v>
      </c>
      <c r="C935" s="24"/>
      <c r="D935" s="24" t="s">
        <v>1078</v>
      </c>
    </row>
    <row r="936" spans="2:4" x14ac:dyDescent="0.25">
      <c r="B936" s="24" t="s">
        <v>760</v>
      </c>
      <c r="C936" s="24"/>
      <c r="D936" s="24" t="s">
        <v>1077</v>
      </c>
    </row>
    <row r="937" spans="2:4" x14ac:dyDescent="0.25">
      <c r="B937" s="24" t="s">
        <v>280</v>
      </c>
      <c r="C937" s="24"/>
      <c r="D937" s="24" t="s">
        <v>1072</v>
      </c>
    </row>
    <row r="938" spans="2:4" x14ac:dyDescent="0.25">
      <c r="B938" s="24" t="s">
        <v>782</v>
      </c>
      <c r="C938" s="24"/>
      <c r="D938" s="24" t="s">
        <v>1072</v>
      </c>
    </row>
    <row r="939" spans="2:4" x14ac:dyDescent="0.25">
      <c r="B939" s="24" t="s">
        <v>445</v>
      </c>
      <c r="C939" s="24"/>
      <c r="D939" s="24" t="s">
        <v>1069</v>
      </c>
    </row>
    <row r="940" spans="2:4" x14ac:dyDescent="0.25">
      <c r="B940" s="24" t="s">
        <v>988</v>
      </c>
      <c r="C940" s="24"/>
      <c r="D940" s="24" t="s">
        <v>1078</v>
      </c>
    </row>
    <row r="941" spans="2:4" x14ac:dyDescent="0.25">
      <c r="B941" s="24" t="s">
        <v>542</v>
      </c>
      <c r="C941" s="24"/>
      <c r="D941" s="24" t="s">
        <v>1076</v>
      </c>
    </row>
    <row r="942" spans="2:4" x14ac:dyDescent="0.25">
      <c r="B942" s="24" t="s">
        <v>619</v>
      </c>
      <c r="C942" s="24"/>
      <c r="D942" s="24" t="s">
        <v>1074</v>
      </c>
    </row>
    <row r="943" spans="2:4" x14ac:dyDescent="0.25">
      <c r="B943" s="24" t="s">
        <v>673</v>
      </c>
      <c r="C943" s="24"/>
      <c r="D943" s="24" t="s">
        <v>1080</v>
      </c>
    </row>
    <row r="944" spans="2:4" x14ac:dyDescent="0.25">
      <c r="B944" s="24" t="s">
        <v>720</v>
      </c>
      <c r="C944" s="24"/>
      <c r="D944" s="24" t="s">
        <v>1077</v>
      </c>
    </row>
    <row r="945" spans="2:4" x14ac:dyDescent="0.25">
      <c r="B945" s="24" t="s">
        <v>622</v>
      </c>
      <c r="C945" s="24"/>
      <c r="D945" s="24" t="s">
        <v>1077</v>
      </c>
    </row>
    <row r="946" spans="2:4" x14ac:dyDescent="0.25">
      <c r="B946" s="24" t="s">
        <v>440</v>
      </c>
      <c r="C946" s="24"/>
      <c r="D946" s="24" t="s">
        <v>1073</v>
      </c>
    </row>
    <row r="947" spans="2:4" x14ac:dyDescent="0.25">
      <c r="B947" s="24" t="s">
        <v>662</v>
      </c>
      <c r="C947" s="24"/>
      <c r="D947" s="24" t="s">
        <v>1078</v>
      </c>
    </row>
    <row r="948" spans="2:4" x14ac:dyDescent="0.25">
      <c r="B948" s="24" t="s">
        <v>401</v>
      </c>
      <c r="C948" s="24"/>
      <c r="D948" s="24" t="s">
        <v>1079</v>
      </c>
    </row>
    <row r="949" spans="2:4" x14ac:dyDescent="0.25">
      <c r="B949" s="24" t="s">
        <v>654</v>
      </c>
      <c r="C949" s="24"/>
      <c r="D949" s="24" t="s">
        <v>1075</v>
      </c>
    </row>
    <row r="950" spans="2:4" x14ac:dyDescent="0.25">
      <c r="B950" s="24" t="s">
        <v>456</v>
      </c>
      <c r="C950" s="24"/>
      <c r="D950" s="24" t="s">
        <v>1069</v>
      </c>
    </row>
    <row r="951" spans="2:4" x14ac:dyDescent="0.25">
      <c r="B951" s="24" t="s">
        <v>369</v>
      </c>
      <c r="C951" s="24"/>
      <c r="D951" s="24" t="s">
        <v>1071</v>
      </c>
    </row>
    <row r="952" spans="2:4" x14ac:dyDescent="0.25">
      <c r="B952" s="24" t="s">
        <v>619</v>
      </c>
      <c r="C952" s="24"/>
      <c r="D952" s="24" t="s">
        <v>1075</v>
      </c>
    </row>
    <row r="953" spans="2:4" x14ac:dyDescent="0.25">
      <c r="B953" s="24" t="s">
        <v>1049</v>
      </c>
      <c r="C953" s="24"/>
      <c r="D953" s="24" t="s">
        <v>1075</v>
      </c>
    </row>
    <row r="954" spans="2:4" x14ac:dyDescent="0.25">
      <c r="B954" s="24" t="s">
        <v>286</v>
      </c>
      <c r="C954" s="24"/>
      <c r="D954" s="24" t="s">
        <v>1075</v>
      </c>
    </row>
    <row r="955" spans="2:4" x14ac:dyDescent="0.25">
      <c r="B955" s="24" t="s">
        <v>252</v>
      </c>
      <c r="C955" s="24"/>
      <c r="D955" s="24" t="s">
        <v>1069</v>
      </c>
    </row>
    <row r="956" spans="2:4" x14ac:dyDescent="0.25">
      <c r="B956" s="24" t="s">
        <v>631</v>
      </c>
      <c r="C956" s="24"/>
      <c r="D956" s="24" t="s">
        <v>1078</v>
      </c>
    </row>
    <row r="957" spans="2:4" x14ac:dyDescent="0.25">
      <c r="B957" s="24" t="s">
        <v>928</v>
      </c>
      <c r="C957" s="24"/>
      <c r="D957" s="24" t="s">
        <v>1072</v>
      </c>
    </row>
    <row r="958" spans="2:4" x14ac:dyDescent="0.25">
      <c r="B958" s="24" t="s">
        <v>415</v>
      </c>
      <c r="C958" s="24"/>
      <c r="D958" s="24" t="s">
        <v>1069</v>
      </c>
    </row>
    <row r="959" spans="2:4" x14ac:dyDescent="0.25">
      <c r="B959" s="24" t="s">
        <v>788</v>
      </c>
      <c r="C959" s="24"/>
      <c r="D959" s="24" t="s">
        <v>1072</v>
      </c>
    </row>
    <row r="960" spans="2:4" x14ac:dyDescent="0.25">
      <c r="B960" s="24" t="s">
        <v>811</v>
      </c>
      <c r="C960" s="24"/>
      <c r="D960" s="24" t="s">
        <v>1071</v>
      </c>
    </row>
    <row r="961" spans="2:4" x14ac:dyDescent="0.25">
      <c r="B961" s="24" t="s">
        <v>780</v>
      </c>
      <c r="C961" s="24"/>
      <c r="D961" s="24" t="s">
        <v>1069</v>
      </c>
    </row>
    <row r="962" spans="2:4" x14ac:dyDescent="0.25">
      <c r="B962" s="24" t="s">
        <v>735</v>
      </c>
      <c r="C962" s="24"/>
      <c r="D962" s="24" t="s">
        <v>1075</v>
      </c>
    </row>
    <row r="963" spans="2:4" x14ac:dyDescent="0.25">
      <c r="B963" s="24" t="s">
        <v>1002</v>
      </c>
      <c r="C963" s="24"/>
      <c r="D963" s="24" t="s">
        <v>1076</v>
      </c>
    </row>
    <row r="964" spans="2:4" x14ac:dyDescent="0.25">
      <c r="B964" s="24" t="s">
        <v>205</v>
      </c>
      <c r="C964" s="24"/>
      <c r="D964" s="24" t="s">
        <v>1072</v>
      </c>
    </row>
    <row r="965" spans="2:4" x14ac:dyDescent="0.25">
      <c r="B965" s="24" t="s">
        <v>775</v>
      </c>
      <c r="C965" s="24"/>
      <c r="D965" s="24" t="s">
        <v>1070</v>
      </c>
    </row>
    <row r="966" spans="2:4" x14ac:dyDescent="0.25">
      <c r="B966" s="24" t="s">
        <v>1054</v>
      </c>
      <c r="C966" s="24"/>
      <c r="D966" s="24" t="s">
        <v>1069</v>
      </c>
    </row>
    <row r="967" spans="2:4" x14ac:dyDescent="0.25">
      <c r="B967" s="24" t="s">
        <v>913</v>
      </c>
      <c r="C967" s="24"/>
      <c r="D967" s="24" t="s">
        <v>1069</v>
      </c>
    </row>
    <row r="968" spans="2:4" x14ac:dyDescent="0.25">
      <c r="B968" s="24" t="s">
        <v>920</v>
      </c>
      <c r="C968" s="24"/>
      <c r="D968" s="24" t="s">
        <v>1073</v>
      </c>
    </row>
    <row r="969" spans="2:4" x14ac:dyDescent="0.25">
      <c r="B969" s="24" t="s">
        <v>389</v>
      </c>
      <c r="C969" s="24"/>
      <c r="D969" s="24" t="s">
        <v>1078</v>
      </c>
    </row>
    <row r="970" spans="2:4" x14ac:dyDescent="0.25">
      <c r="B970" s="24" t="s">
        <v>495</v>
      </c>
      <c r="C970" s="24"/>
      <c r="D970" s="24" t="s">
        <v>1080</v>
      </c>
    </row>
    <row r="971" spans="2:4" x14ac:dyDescent="0.25">
      <c r="B971" s="24" t="s">
        <v>1086</v>
      </c>
      <c r="C971" s="24"/>
      <c r="D971" s="24" t="s">
        <v>1076</v>
      </c>
    </row>
    <row r="972" spans="2:4" x14ac:dyDescent="0.25">
      <c r="B972" s="24" t="s">
        <v>816</v>
      </c>
      <c r="C972" s="24"/>
      <c r="D972" s="24" t="s">
        <v>1073</v>
      </c>
    </row>
    <row r="973" spans="2:4" x14ac:dyDescent="0.25">
      <c r="B973" s="24" t="s">
        <v>822</v>
      </c>
      <c r="C973" s="24"/>
      <c r="D973" s="24" t="s">
        <v>1071</v>
      </c>
    </row>
    <row r="974" spans="2:4" x14ac:dyDescent="0.25">
      <c r="B974" s="24" t="s">
        <v>160</v>
      </c>
      <c r="C974" s="24"/>
      <c r="D974" s="24" t="s">
        <v>1074</v>
      </c>
    </row>
    <row r="975" spans="2:4" x14ac:dyDescent="0.25">
      <c r="B975" s="24" t="s">
        <v>946</v>
      </c>
      <c r="C975" s="24"/>
      <c r="D975" s="24" t="s">
        <v>1070</v>
      </c>
    </row>
    <row r="976" spans="2:4" x14ac:dyDescent="0.25">
      <c r="B976" s="24" t="s">
        <v>812</v>
      </c>
      <c r="C976" s="24"/>
      <c r="D976" s="24" t="s">
        <v>1078</v>
      </c>
    </row>
    <row r="977" spans="2:4" x14ac:dyDescent="0.25">
      <c r="B977" s="24" t="s">
        <v>604</v>
      </c>
      <c r="C977" s="24"/>
      <c r="D977" s="24" t="s">
        <v>1076</v>
      </c>
    </row>
    <row r="978" spans="2:4" x14ac:dyDescent="0.25">
      <c r="B978" s="24" t="s">
        <v>470</v>
      </c>
      <c r="C978" s="24"/>
      <c r="D978" s="24" t="s">
        <v>1069</v>
      </c>
    </row>
    <row r="979" spans="2:4" x14ac:dyDescent="0.25">
      <c r="B979" s="24" t="s">
        <v>693</v>
      </c>
      <c r="C979" s="24"/>
      <c r="D979" s="24" t="s">
        <v>1069</v>
      </c>
    </row>
    <row r="980" spans="2:4" x14ac:dyDescent="0.25">
      <c r="B980" s="24" t="s">
        <v>503</v>
      </c>
      <c r="C980" s="24"/>
      <c r="D980" s="24" t="s">
        <v>1080</v>
      </c>
    </row>
    <row r="981" spans="2:4" x14ac:dyDescent="0.25">
      <c r="B981" s="24" t="s">
        <v>966</v>
      </c>
      <c r="C981" s="24"/>
      <c r="D981" s="24" t="s">
        <v>1071</v>
      </c>
    </row>
    <row r="982" spans="2:4" x14ac:dyDescent="0.25">
      <c r="B982" s="24" t="s">
        <v>779</v>
      </c>
      <c r="C982" s="24"/>
      <c r="D982" s="24" t="s">
        <v>1070</v>
      </c>
    </row>
    <row r="983" spans="2:4" x14ac:dyDescent="0.25">
      <c r="B983" s="24" t="s">
        <v>358</v>
      </c>
      <c r="C983" s="24"/>
      <c r="D983" s="24" t="s">
        <v>1072</v>
      </c>
    </row>
    <row r="984" spans="2:4" x14ac:dyDescent="0.25">
      <c r="B984" s="24" t="s">
        <v>597</v>
      </c>
      <c r="C984" s="24"/>
      <c r="D984" s="24" t="s">
        <v>1071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CD867-CD27-4E1F-8940-F58CF4F7B4CD}">
  <sheetPr codeName="Hoja6"/>
  <dimension ref="A2:J938"/>
  <sheetViews>
    <sheetView showGridLines="0" topLeftCell="A2" zoomScale="77" zoomScaleNormal="77" workbookViewId="0">
      <selection activeCell="H2" sqref="H1:H1048576"/>
    </sheetView>
  </sheetViews>
  <sheetFormatPr baseColWidth="10" defaultRowHeight="15" x14ac:dyDescent="0.25"/>
  <cols>
    <col min="1" max="1" width="15" customWidth="1"/>
    <col min="2" max="2" width="20" bestFit="1" customWidth="1"/>
    <col min="3" max="4" width="31.42578125" bestFit="1" customWidth="1"/>
    <col min="5" max="5" width="13.42578125" bestFit="1" customWidth="1"/>
    <col min="6" max="6" width="14.7109375" bestFit="1" customWidth="1"/>
    <col min="7" max="7" width="16.85546875" bestFit="1" customWidth="1"/>
    <col min="8" max="8" width="14.140625" bestFit="1" customWidth="1"/>
    <col min="9" max="9" width="14.42578125" bestFit="1" customWidth="1"/>
    <col min="10" max="10" width="20" bestFit="1" customWidth="1"/>
  </cols>
  <sheetData>
    <row r="2" spans="1:10" x14ac:dyDescent="0.25">
      <c r="A2" t="s">
        <v>65</v>
      </c>
    </row>
    <row r="6" spans="1:10" x14ac:dyDescent="0.25"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61</v>
      </c>
      <c r="H6" t="s">
        <v>64</v>
      </c>
      <c r="I6" t="s">
        <v>62</v>
      </c>
      <c r="J6" t="s">
        <v>1117</v>
      </c>
    </row>
    <row r="7" spans="1:10" x14ac:dyDescent="0.25">
      <c r="B7" s="29" t="s">
        <v>102</v>
      </c>
      <c r="C7" s="29" t="s">
        <v>99</v>
      </c>
      <c r="D7" s="29" t="s">
        <v>83</v>
      </c>
      <c r="E7" s="7">
        <v>45685</v>
      </c>
      <c r="F7" s="29" t="s">
        <v>57</v>
      </c>
      <c r="G7">
        <v>4</v>
      </c>
      <c r="H7">
        <v>2062</v>
      </c>
      <c r="I7" s="29" t="s">
        <v>1058</v>
      </c>
      <c r="J7">
        <v>8248</v>
      </c>
    </row>
    <row r="8" spans="1:10" x14ac:dyDescent="0.25">
      <c r="B8" s="29" t="s">
        <v>103</v>
      </c>
      <c r="C8" s="29" t="s">
        <v>100</v>
      </c>
      <c r="D8" s="29" t="s">
        <v>80</v>
      </c>
      <c r="E8" s="7">
        <v>46015</v>
      </c>
      <c r="F8" s="29" t="s">
        <v>57</v>
      </c>
      <c r="G8">
        <v>1</v>
      </c>
      <c r="H8">
        <v>4291</v>
      </c>
      <c r="I8" s="29" t="s">
        <v>1058</v>
      </c>
      <c r="J8">
        <v>4291</v>
      </c>
    </row>
    <row r="9" spans="1:10" x14ac:dyDescent="0.25">
      <c r="B9" s="29" t="s">
        <v>104</v>
      </c>
      <c r="C9" s="29" t="s">
        <v>91</v>
      </c>
      <c r="D9" s="29" t="s">
        <v>75</v>
      </c>
      <c r="E9" s="7">
        <v>45737</v>
      </c>
      <c r="F9" s="29" t="s">
        <v>60</v>
      </c>
      <c r="G9">
        <v>7</v>
      </c>
      <c r="H9">
        <v>460</v>
      </c>
      <c r="I9" s="29" t="s">
        <v>1058</v>
      </c>
      <c r="J9">
        <v>3220</v>
      </c>
    </row>
    <row r="10" spans="1:10" x14ac:dyDescent="0.25">
      <c r="B10" s="29" t="s">
        <v>105</v>
      </c>
      <c r="C10" s="29" t="s">
        <v>92</v>
      </c>
      <c r="D10" s="29" t="s">
        <v>75</v>
      </c>
      <c r="E10" s="7">
        <v>45944</v>
      </c>
      <c r="F10" s="29" t="s">
        <v>57</v>
      </c>
      <c r="G10">
        <v>5</v>
      </c>
      <c r="H10">
        <v>2216</v>
      </c>
      <c r="I10" s="29" t="s">
        <v>84</v>
      </c>
      <c r="J10">
        <v>11080</v>
      </c>
    </row>
    <row r="11" spans="1:10" x14ac:dyDescent="0.25">
      <c r="B11" s="29" t="s">
        <v>106</v>
      </c>
      <c r="C11" s="29" t="s">
        <v>77</v>
      </c>
      <c r="D11" s="29" t="s">
        <v>78</v>
      </c>
      <c r="E11" s="7">
        <v>46001</v>
      </c>
      <c r="F11" s="29" t="s">
        <v>57</v>
      </c>
      <c r="G11">
        <v>9</v>
      </c>
      <c r="H11">
        <v>115</v>
      </c>
      <c r="I11" s="29" t="s">
        <v>84</v>
      </c>
      <c r="J11">
        <v>1035</v>
      </c>
    </row>
    <row r="12" spans="1:10" x14ac:dyDescent="0.25">
      <c r="B12" s="29" t="s">
        <v>107</v>
      </c>
      <c r="C12" s="29" t="s">
        <v>96</v>
      </c>
      <c r="D12" s="29" t="s">
        <v>88</v>
      </c>
      <c r="E12" s="7">
        <v>45763</v>
      </c>
      <c r="F12" s="29" t="s">
        <v>60</v>
      </c>
      <c r="G12">
        <v>10</v>
      </c>
      <c r="H12">
        <v>980</v>
      </c>
      <c r="I12" s="29" t="s">
        <v>76</v>
      </c>
      <c r="J12">
        <v>9800</v>
      </c>
    </row>
    <row r="13" spans="1:10" x14ac:dyDescent="0.25">
      <c r="B13" s="29" t="s">
        <v>108</v>
      </c>
      <c r="C13" s="29" t="s">
        <v>85</v>
      </c>
      <c r="D13" s="29" t="s">
        <v>80</v>
      </c>
      <c r="E13" s="7">
        <v>45892</v>
      </c>
      <c r="F13" s="29" t="s">
        <v>60</v>
      </c>
      <c r="G13">
        <v>9</v>
      </c>
      <c r="H13">
        <v>502</v>
      </c>
      <c r="I13" s="29" t="s">
        <v>84</v>
      </c>
      <c r="J13">
        <v>4518</v>
      </c>
    </row>
    <row r="14" spans="1:10" x14ac:dyDescent="0.25">
      <c r="B14" s="29" t="s">
        <v>109</v>
      </c>
      <c r="C14" s="29" t="s">
        <v>95</v>
      </c>
      <c r="D14" s="29" t="s">
        <v>80</v>
      </c>
      <c r="E14" s="7">
        <v>46012</v>
      </c>
      <c r="F14" s="29" t="s">
        <v>60</v>
      </c>
      <c r="G14">
        <v>4</v>
      </c>
      <c r="H14">
        <v>680</v>
      </c>
      <c r="I14" s="29" t="s">
        <v>1058</v>
      </c>
      <c r="J14">
        <v>2720</v>
      </c>
    </row>
    <row r="15" spans="1:10" x14ac:dyDescent="0.25">
      <c r="B15" s="29" t="s">
        <v>110</v>
      </c>
      <c r="C15" s="29" t="s">
        <v>74</v>
      </c>
      <c r="D15" s="29" t="s">
        <v>75</v>
      </c>
      <c r="E15" s="7">
        <v>45942</v>
      </c>
      <c r="F15" s="29" t="s">
        <v>60</v>
      </c>
      <c r="G15">
        <v>2</v>
      </c>
      <c r="H15">
        <v>2342</v>
      </c>
      <c r="I15" s="29" t="s">
        <v>76</v>
      </c>
      <c r="J15">
        <v>4684</v>
      </c>
    </row>
    <row r="16" spans="1:10" x14ac:dyDescent="0.25">
      <c r="B16" s="29" t="s">
        <v>111</v>
      </c>
      <c r="C16" s="29" t="s">
        <v>91</v>
      </c>
      <c r="D16" s="29" t="s">
        <v>75</v>
      </c>
      <c r="E16" s="7">
        <v>45863</v>
      </c>
      <c r="F16" s="29" t="s">
        <v>60</v>
      </c>
      <c r="G16">
        <v>6</v>
      </c>
      <c r="H16">
        <v>2660</v>
      </c>
      <c r="I16" s="29" t="s">
        <v>84</v>
      </c>
      <c r="J16">
        <v>15960</v>
      </c>
    </row>
    <row r="17" spans="2:10" x14ac:dyDescent="0.25">
      <c r="B17" s="29" t="s">
        <v>112</v>
      </c>
      <c r="C17" s="29" t="s">
        <v>95</v>
      </c>
      <c r="D17" s="29" t="s">
        <v>80</v>
      </c>
      <c r="E17" s="7">
        <v>45734</v>
      </c>
      <c r="F17" s="29" t="s">
        <v>60</v>
      </c>
      <c r="G17">
        <v>1</v>
      </c>
      <c r="H17">
        <v>2619</v>
      </c>
      <c r="I17" s="29" t="s">
        <v>84</v>
      </c>
      <c r="J17">
        <v>2619</v>
      </c>
    </row>
    <row r="18" spans="2:10" x14ac:dyDescent="0.25">
      <c r="B18" s="29" t="s">
        <v>113</v>
      </c>
      <c r="C18" s="29" t="s">
        <v>100</v>
      </c>
      <c r="D18" s="29" t="s">
        <v>80</v>
      </c>
      <c r="E18" s="7">
        <v>45964</v>
      </c>
      <c r="F18" s="29" t="s">
        <v>57</v>
      </c>
      <c r="G18">
        <v>7</v>
      </c>
      <c r="H18">
        <v>4526</v>
      </c>
      <c r="I18" s="29" t="s">
        <v>76</v>
      </c>
      <c r="J18">
        <v>31682</v>
      </c>
    </row>
    <row r="19" spans="2:10" x14ac:dyDescent="0.25">
      <c r="B19" s="29" t="s">
        <v>114</v>
      </c>
      <c r="C19" s="29" t="s">
        <v>91</v>
      </c>
      <c r="D19" s="29" t="s">
        <v>78</v>
      </c>
      <c r="E19" s="7">
        <v>45663</v>
      </c>
      <c r="F19" s="29" t="s">
        <v>57</v>
      </c>
      <c r="G19">
        <v>6</v>
      </c>
      <c r="H19">
        <v>4542</v>
      </c>
      <c r="I19" s="29" t="s">
        <v>76</v>
      </c>
      <c r="J19">
        <v>27252</v>
      </c>
    </row>
    <row r="20" spans="2:10" x14ac:dyDescent="0.25">
      <c r="B20" s="29" t="s">
        <v>115</v>
      </c>
      <c r="C20" s="29" t="s">
        <v>94</v>
      </c>
      <c r="D20" s="29" t="s">
        <v>75</v>
      </c>
      <c r="E20" s="7">
        <v>45769</v>
      </c>
      <c r="F20" s="29" t="s">
        <v>57</v>
      </c>
      <c r="G20">
        <v>2</v>
      </c>
      <c r="H20">
        <v>149</v>
      </c>
      <c r="I20" s="29" t="s">
        <v>1058</v>
      </c>
      <c r="J20">
        <v>298</v>
      </c>
    </row>
    <row r="21" spans="2:10" x14ac:dyDescent="0.25">
      <c r="B21" s="29" t="s">
        <v>116</v>
      </c>
      <c r="C21" s="29" t="s">
        <v>99</v>
      </c>
      <c r="D21" s="29" t="s">
        <v>75</v>
      </c>
      <c r="E21" s="7">
        <v>45874</v>
      </c>
      <c r="F21" s="29" t="s">
        <v>60</v>
      </c>
      <c r="G21">
        <v>5</v>
      </c>
      <c r="H21">
        <v>2606</v>
      </c>
      <c r="I21" s="29" t="s">
        <v>1058</v>
      </c>
      <c r="J21">
        <v>13030</v>
      </c>
    </row>
    <row r="22" spans="2:10" x14ac:dyDescent="0.25">
      <c r="B22" s="29" t="s">
        <v>117</v>
      </c>
      <c r="C22" s="29" t="s">
        <v>98</v>
      </c>
      <c r="D22" s="29" t="s">
        <v>83</v>
      </c>
      <c r="E22" s="7">
        <v>45732</v>
      </c>
      <c r="F22" s="29" t="s">
        <v>60</v>
      </c>
      <c r="G22">
        <v>7</v>
      </c>
      <c r="H22">
        <v>4569</v>
      </c>
      <c r="I22" s="29" t="s">
        <v>1058</v>
      </c>
      <c r="J22">
        <v>31983</v>
      </c>
    </row>
    <row r="23" spans="2:10" x14ac:dyDescent="0.25">
      <c r="B23" s="29" t="s">
        <v>118</v>
      </c>
      <c r="C23" s="29" t="s">
        <v>94</v>
      </c>
      <c r="D23" s="29" t="s">
        <v>78</v>
      </c>
      <c r="E23" s="7">
        <v>45859</v>
      </c>
      <c r="F23" s="29" t="s">
        <v>57</v>
      </c>
      <c r="G23">
        <v>3</v>
      </c>
      <c r="H23">
        <v>2511</v>
      </c>
      <c r="I23" s="29" t="s">
        <v>1058</v>
      </c>
      <c r="J23">
        <v>7533</v>
      </c>
    </row>
    <row r="24" spans="2:10" x14ac:dyDescent="0.25">
      <c r="B24" s="29" t="s">
        <v>119</v>
      </c>
      <c r="C24" s="29" t="s">
        <v>95</v>
      </c>
      <c r="D24" s="29" t="s">
        <v>80</v>
      </c>
      <c r="E24" s="7">
        <v>45757</v>
      </c>
      <c r="F24" s="29" t="s">
        <v>57</v>
      </c>
      <c r="G24">
        <v>2</v>
      </c>
      <c r="H24">
        <v>4186</v>
      </c>
      <c r="I24" s="29" t="s">
        <v>84</v>
      </c>
      <c r="J24">
        <v>8372</v>
      </c>
    </row>
    <row r="25" spans="2:10" x14ac:dyDescent="0.25">
      <c r="B25" s="29" t="s">
        <v>120</v>
      </c>
      <c r="C25" s="29" t="s">
        <v>92</v>
      </c>
      <c r="D25" s="29" t="s">
        <v>78</v>
      </c>
      <c r="E25" s="7">
        <v>45852</v>
      </c>
      <c r="F25" s="29" t="s">
        <v>57</v>
      </c>
      <c r="G25">
        <v>4</v>
      </c>
      <c r="H25">
        <v>1241</v>
      </c>
      <c r="I25" s="29" t="s">
        <v>76</v>
      </c>
      <c r="J25">
        <v>4964</v>
      </c>
    </row>
    <row r="26" spans="2:10" x14ac:dyDescent="0.25">
      <c r="B26" s="29" t="s">
        <v>121</v>
      </c>
      <c r="C26" s="29" t="s">
        <v>100</v>
      </c>
      <c r="D26" s="29" t="s">
        <v>78</v>
      </c>
      <c r="E26" s="7">
        <v>45845</v>
      </c>
      <c r="F26" s="29" t="s">
        <v>60</v>
      </c>
      <c r="G26">
        <v>7</v>
      </c>
      <c r="H26">
        <v>1588</v>
      </c>
      <c r="I26" s="29" t="s">
        <v>1058</v>
      </c>
      <c r="J26">
        <v>11116</v>
      </c>
    </row>
    <row r="27" spans="2:10" x14ac:dyDescent="0.25">
      <c r="B27" s="29" t="s">
        <v>122</v>
      </c>
      <c r="C27" s="29" t="s">
        <v>85</v>
      </c>
      <c r="D27" s="29" t="s">
        <v>75</v>
      </c>
      <c r="E27" s="7">
        <v>45933</v>
      </c>
      <c r="F27" s="29" t="s">
        <v>57</v>
      </c>
      <c r="G27">
        <v>7</v>
      </c>
      <c r="H27">
        <v>2008</v>
      </c>
      <c r="I27" s="29" t="s">
        <v>1058</v>
      </c>
      <c r="J27">
        <v>14056</v>
      </c>
    </row>
    <row r="28" spans="2:10" x14ac:dyDescent="0.25">
      <c r="B28" s="29" t="s">
        <v>123</v>
      </c>
      <c r="C28" s="29" t="s">
        <v>93</v>
      </c>
      <c r="D28" s="29" t="s">
        <v>80</v>
      </c>
      <c r="E28" s="7">
        <v>45705</v>
      </c>
      <c r="F28" s="29" t="s">
        <v>57</v>
      </c>
      <c r="G28">
        <v>7</v>
      </c>
      <c r="H28">
        <v>607</v>
      </c>
      <c r="I28" s="29" t="s">
        <v>1058</v>
      </c>
      <c r="J28">
        <v>4249</v>
      </c>
    </row>
    <row r="29" spans="2:10" x14ac:dyDescent="0.25">
      <c r="B29" s="29" t="s">
        <v>124</v>
      </c>
      <c r="C29" s="29" t="s">
        <v>99</v>
      </c>
      <c r="D29" s="29" t="s">
        <v>83</v>
      </c>
      <c r="E29" s="7">
        <v>45886</v>
      </c>
      <c r="F29" s="29" t="s">
        <v>57</v>
      </c>
      <c r="G29">
        <v>1</v>
      </c>
      <c r="H29">
        <v>4286</v>
      </c>
      <c r="I29" s="29" t="s">
        <v>76</v>
      </c>
      <c r="J29">
        <v>4286</v>
      </c>
    </row>
    <row r="30" spans="2:10" x14ac:dyDescent="0.25">
      <c r="B30" s="29" t="s">
        <v>125</v>
      </c>
      <c r="C30" s="29" t="s">
        <v>91</v>
      </c>
      <c r="D30" s="29" t="s">
        <v>75</v>
      </c>
      <c r="E30" s="7">
        <v>45840</v>
      </c>
      <c r="F30" s="29" t="s">
        <v>60</v>
      </c>
      <c r="G30">
        <v>9</v>
      </c>
      <c r="H30">
        <v>1342</v>
      </c>
      <c r="I30" s="29" t="s">
        <v>84</v>
      </c>
      <c r="J30">
        <v>12078</v>
      </c>
    </row>
    <row r="31" spans="2:10" x14ac:dyDescent="0.25">
      <c r="B31" s="29" t="s">
        <v>126</v>
      </c>
      <c r="C31" s="29" t="s">
        <v>100</v>
      </c>
      <c r="D31" s="29" t="s">
        <v>88</v>
      </c>
      <c r="E31" s="7">
        <v>45846</v>
      </c>
      <c r="F31" s="29" t="s">
        <v>60</v>
      </c>
      <c r="G31">
        <v>10</v>
      </c>
      <c r="H31">
        <v>3812</v>
      </c>
      <c r="I31" s="29" t="s">
        <v>1058</v>
      </c>
      <c r="J31">
        <v>38120</v>
      </c>
    </row>
    <row r="32" spans="2:10" x14ac:dyDescent="0.25">
      <c r="B32" s="29" t="s">
        <v>127</v>
      </c>
      <c r="C32" s="29" t="s">
        <v>100</v>
      </c>
      <c r="D32" s="29" t="s">
        <v>83</v>
      </c>
      <c r="E32" s="7">
        <v>45823</v>
      </c>
      <c r="F32" s="29" t="s">
        <v>57</v>
      </c>
      <c r="G32">
        <v>1</v>
      </c>
      <c r="H32">
        <v>153</v>
      </c>
      <c r="I32" s="29" t="s">
        <v>84</v>
      </c>
      <c r="J32">
        <v>153</v>
      </c>
    </row>
    <row r="33" spans="2:10" x14ac:dyDescent="0.25">
      <c r="B33" s="29" t="s">
        <v>128</v>
      </c>
      <c r="C33" s="29" t="s">
        <v>99</v>
      </c>
      <c r="D33" s="29" t="s">
        <v>80</v>
      </c>
      <c r="E33" s="7">
        <v>45825</v>
      </c>
      <c r="F33" s="29" t="s">
        <v>60</v>
      </c>
      <c r="G33">
        <v>9</v>
      </c>
      <c r="H33">
        <v>2554</v>
      </c>
      <c r="I33" s="29" t="s">
        <v>76</v>
      </c>
      <c r="J33">
        <v>22986</v>
      </c>
    </row>
    <row r="34" spans="2:10" x14ac:dyDescent="0.25">
      <c r="B34" s="29" t="s">
        <v>129</v>
      </c>
      <c r="C34" s="29" t="s">
        <v>90</v>
      </c>
      <c r="D34" s="29" t="s">
        <v>78</v>
      </c>
      <c r="E34" s="7">
        <v>45965</v>
      </c>
      <c r="F34" s="29" t="s">
        <v>57</v>
      </c>
      <c r="G34">
        <v>6</v>
      </c>
      <c r="H34">
        <v>4609</v>
      </c>
      <c r="I34" s="29" t="s">
        <v>76</v>
      </c>
      <c r="J34">
        <v>27654</v>
      </c>
    </row>
    <row r="35" spans="2:10" x14ac:dyDescent="0.25">
      <c r="B35" s="29" t="s">
        <v>130</v>
      </c>
      <c r="C35" s="29" t="s">
        <v>100</v>
      </c>
      <c r="D35" s="29" t="s">
        <v>75</v>
      </c>
      <c r="E35" s="7">
        <v>45817</v>
      </c>
      <c r="F35" s="29" t="s">
        <v>60</v>
      </c>
      <c r="G35">
        <v>6</v>
      </c>
      <c r="H35">
        <v>3721</v>
      </c>
      <c r="I35" s="29" t="s">
        <v>76</v>
      </c>
      <c r="J35">
        <v>22326</v>
      </c>
    </row>
    <row r="36" spans="2:10" x14ac:dyDescent="0.25">
      <c r="B36" s="29" t="s">
        <v>131</v>
      </c>
      <c r="C36" s="29" t="s">
        <v>99</v>
      </c>
      <c r="D36" s="29" t="s">
        <v>78</v>
      </c>
      <c r="E36" s="7">
        <v>45997</v>
      </c>
      <c r="F36" s="29" t="s">
        <v>60</v>
      </c>
      <c r="G36">
        <v>7</v>
      </c>
      <c r="H36">
        <v>3600</v>
      </c>
      <c r="I36" s="29" t="s">
        <v>84</v>
      </c>
      <c r="J36">
        <v>25200</v>
      </c>
    </row>
    <row r="37" spans="2:10" x14ac:dyDescent="0.25">
      <c r="B37" s="29" t="s">
        <v>132</v>
      </c>
      <c r="C37" s="29" t="s">
        <v>94</v>
      </c>
      <c r="D37" s="29" t="s">
        <v>83</v>
      </c>
      <c r="E37" s="7">
        <v>45942</v>
      </c>
      <c r="F37" s="29" t="s">
        <v>60</v>
      </c>
      <c r="G37">
        <v>10</v>
      </c>
      <c r="H37">
        <v>1807</v>
      </c>
      <c r="I37" s="29" t="s">
        <v>76</v>
      </c>
      <c r="J37">
        <v>18070</v>
      </c>
    </row>
    <row r="38" spans="2:10" x14ac:dyDescent="0.25">
      <c r="B38" s="29" t="s">
        <v>133</v>
      </c>
      <c r="C38" s="29" t="s">
        <v>74</v>
      </c>
      <c r="D38" s="29" t="s">
        <v>78</v>
      </c>
      <c r="E38" s="7">
        <v>45729</v>
      </c>
      <c r="F38" s="29" t="s">
        <v>57</v>
      </c>
      <c r="G38">
        <v>1</v>
      </c>
      <c r="H38">
        <v>2205</v>
      </c>
      <c r="I38" s="29" t="s">
        <v>84</v>
      </c>
      <c r="J38">
        <v>2205</v>
      </c>
    </row>
    <row r="39" spans="2:10" x14ac:dyDescent="0.25">
      <c r="B39" s="29" t="s">
        <v>134</v>
      </c>
      <c r="C39" s="29" t="s">
        <v>79</v>
      </c>
      <c r="D39" s="29" t="s">
        <v>80</v>
      </c>
      <c r="E39" s="7">
        <v>45694</v>
      </c>
      <c r="F39" s="29" t="s">
        <v>60</v>
      </c>
      <c r="G39">
        <v>6</v>
      </c>
      <c r="H39">
        <v>2512</v>
      </c>
      <c r="I39" s="29" t="s">
        <v>76</v>
      </c>
      <c r="J39">
        <v>15072</v>
      </c>
    </row>
    <row r="40" spans="2:10" x14ac:dyDescent="0.25">
      <c r="B40" s="29" t="s">
        <v>135</v>
      </c>
      <c r="C40" s="29" t="s">
        <v>77</v>
      </c>
      <c r="D40" s="29" t="s">
        <v>75</v>
      </c>
      <c r="E40" s="7">
        <v>45766</v>
      </c>
      <c r="F40" s="29" t="s">
        <v>60</v>
      </c>
      <c r="G40">
        <v>7</v>
      </c>
      <c r="H40">
        <v>1766</v>
      </c>
      <c r="I40" s="29" t="s">
        <v>84</v>
      </c>
      <c r="J40">
        <v>12362</v>
      </c>
    </row>
    <row r="41" spans="2:10" x14ac:dyDescent="0.25">
      <c r="B41" s="29" t="s">
        <v>136</v>
      </c>
      <c r="C41" s="29" t="s">
        <v>95</v>
      </c>
      <c r="D41" s="29" t="s">
        <v>88</v>
      </c>
      <c r="E41" s="7">
        <v>45721</v>
      </c>
      <c r="F41" s="29" t="s">
        <v>57</v>
      </c>
      <c r="G41">
        <v>8</v>
      </c>
      <c r="H41">
        <v>2821</v>
      </c>
      <c r="I41" s="29" t="s">
        <v>76</v>
      </c>
      <c r="J41">
        <v>22568</v>
      </c>
    </row>
    <row r="42" spans="2:10" x14ac:dyDescent="0.25">
      <c r="B42" s="29" t="s">
        <v>137</v>
      </c>
      <c r="C42" s="29" t="s">
        <v>95</v>
      </c>
      <c r="D42" s="29" t="s">
        <v>88</v>
      </c>
      <c r="E42" s="7">
        <v>45718</v>
      </c>
      <c r="F42" s="29" t="s">
        <v>57</v>
      </c>
      <c r="G42">
        <v>7</v>
      </c>
      <c r="H42">
        <v>4871</v>
      </c>
      <c r="I42" s="29" t="s">
        <v>1058</v>
      </c>
      <c r="J42">
        <v>34097</v>
      </c>
    </row>
    <row r="43" spans="2:10" x14ac:dyDescent="0.25">
      <c r="B43" s="29" t="s">
        <v>138</v>
      </c>
      <c r="C43" s="29" t="s">
        <v>96</v>
      </c>
      <c r="D43" s="29" t="s">
        <v>75</v>
      </c>
      <c r="E43" s="7">
        <v>45718</v>
      </c>
      <c r="F43" s="29" t="s">
        <v>60</v>
      </c>
      <c r="G43">
        <v>4</v>
      </c>
      <c r="H43">
        <v>963</v>
      </c>
      <c r="I43" s="29" t="s">
        <v>1058</v>
      </c>
      <c r="J43">
        <v>3852</v>
      </c>
    </row>
    <row r="44" spans="2:10" x14ac:dyDescent="0.25">
      <c r="B44" s="29" t="s">
        <v>139</v>
      </c>
      <c r="C44" s="29" t="s">
        <v>93</v>
      </c>
      <c r="D44" s="29" t="s">
        <v>83</v>
      </c>
      <c r="E44" s="7">
        <v>45715</v>
      </c>
      <c r="F44" s="29" t="s">
        <v>60</v>
      </c>
      <c r="G44">
        <v>5</v>
      </c>
      <c r="H44">
        <v>410</v>
      </c>
      <c r="I44" s="29" t="s">
        <v>84</v>
      </c>
      <c r="J44">
        <v>2050</v>
      </c>
    </row>
    <row r="45" spans="2:10" x14ac:dyDescent="0.25">
      <c r="B45" s="29" t="s">
        <v>140</v>
      </c>
      <c r="C45" s="29" t="s">
        <v>77</v>
      </c>
      <c r="D45" s="29" t="s">
        <v>75</v>
      </c>
      <c r="E45" s="7">
        <v>45832</v>
      </c>
      <c r="F45" s="29" t="s">
        <v>57</v>
      </c>
      <c r="G45">
        <v>5</v>
      </c>
      <c r="H45">
        <v>1395</v>
      </c>
      <c r="I45" s="29" t="s">
        <v>1058</v>
      </c>
      <c r="J45">
        <v>6975</v>
      </c>
    </row>
    <row r="46" spans="2:10" x14ac:dyDescent="0.25">
      <c r="B46" s="29" t="s">
        <v>141</v>
      </c>
      <c r="C46" s="29" t="s">
        <v>87</v>
      </c>
      <c r="D46" s="29" t="s">
        <v>83</v>
      </c>
      <c r="E46" s="7">
        <v>45865</v>
      </c>
      <c r="F46" s="29" t="s">
        <v>57</v>
      </c>
      <c r="G46">
        <v>6</v>
      </c>
      <c r="H46">
        <v>3424</v>
      </c>
      <c r="I46" s="29" t="s">
        <v>76</v>
      </c>
      <c r="J46">
        <v>20544</v>
      </c>
    </row>
    <row r="47" spans="2:10" x14ac:dyDescent="0.25">
      <c r="B47" s="29" t="s">
        <v>142</v>
      </c>
      <c r="C47" s="29" t="s">
        <v>94</v>
      </c>
      <c r="D47" s="29" t="s">
        <v>83</v>
      </c>
      <c r="E47" s="7">
        <v>45832</v>
      </c>
      <c r="F47" s="29" t="s">
        <v>57</v>
      </c>
      <c r="G47">
        <v>3</v>
      </c>
      <c r="H47">
        <v>4835</v>
      </c>
      <c r="I47" s="29" t="s">
        <v>84</v>
      </c>
      <c r="J47">
        <v>14505</v>
      </c>
    </row>
    <row r="48" spans="2:10" x14ac:dyDescent="0.25">
      <c r="B48" s="29" t="s">
        <v>143</v>
      </c>
      <c r="C48" s="29" t="s">
        <v>95</v>
      </c>
      <c r="D48" s="29" t="s">
        <v>83</v>
      </c>
      <c r="E48" s="7">
        <v>45689</v>
      </c>
      <c r="F48" s="29" t="s">
        <v>60</v>
      </c>
      <c r="G48">
        <v>2</v>
      </c>
      <c r="H48">
        <v>311</v>
      </c>
      <c r="I48" s="29" t="s">
        <v>76</v>
      </c>
      <c r="J48">
        <v>622</v>
      </c>
    </row>
    <row r="49" spans="2:10" x14ac:dyDescent="0.25">
      <c r="B49" s="29" t="s">
        <v>144</v>
      </c>
      <c r="C49" s="29" t="s">
        <v>79</v>
      </c>
      <c r="D49" s="29" t="s">
        <v>78</v>
      </c>
      <c r="E49" s="7">
        <v>45672</v>
      </c>
      <c r="F49" s="29" t="s">
        <v>60</v>
      </c>
      <c r="G49">
        <v>3</v>
      </c>
      <c r="H49">
        <v>3287</v>
      </c>
      <c r="I49" s="29" t="s">
        <v>1058</v>
      </c>
      <c r="J49">
        <v>9861</v>
      </c>
    </row>
    <row r="50" spans="2:10" x14ac:dyDescent="0.25">
      <c r="B50" s="29" t="s">
        <v>145</v>
      </c>
      <c r="C50" s="29" t="s">
        <v>100</v>
      </c>
      <c r="D50" s="29" t="s">
        <v>78</v>
      </c>
      <c r="E50" s="7">
        <v>45937</v>
      </c>
      <c r="F50" s="29" t="s">
        <v>60</v>
      </c>
      <c r="G50">
        <v>2</v>
      </c>
      <c r="H50">
        <v>3621</v>
      </c>
      <c r="I50" s="29" t="s">
        <v>1058</v>
      </c>
      <c r="J50">
        <v>7242</v>
      </c>
    </row>
    <row r="51" spans="2:10" x14ac:dyDescent="0.25">
      <c r="B51" s="29" t="s">
        <v>146</v>
      </c>
      <c r="C51" s="29" t="s">
        <v>77</v>
      </c>
      <c r="D51" s="29" t="s">
        <v>88</v>
      </c>
      <c r="E51" s="7">
        <v>45795</v>
      </c>
      <c r="F51" s="29" t="s">
        <v>60</v>
      </c>
      <c r="G51">
        <v>5</v>
      </c>
      <c r="H51">
        <v>4943</v>
      </c>
      <c r="I51" s="29" t="s">
        <v>84</v>
      </c>
      <c r="J51">
        <v>24715</v>
      </c>
    </row>
    <row r="52" spans="2:10" x14ac:dyDescent="0.25">
      <c r="B52" s="29" t="s">
        <v>147</v>
      </c>
      <c r="C52" s="29" t="s">
        <v>92</v>
      </c>
      <c r="D52" s="29" t="s">
        <v>78</v>
      </c>
      <c r="E52" s="7">
        <v>45989</v>
      </c>
      <c r="F52" s="29" t="s">
        <v>60</v>
      </c>
      <c r="G52">
        <v>2</v>
      </c>
      <c r="H52">
        <v>2245</v>
      </c>
      <c r="I52" s="29" t="s">
        <v>1058</v>
      </c>
      <c r="J52">
        <v>4490</v>
      </c>
    </row>
    <row r="53" spans="2:10" x14ac:dyDescent="0.25">
      <c r="B53" s="29" t="s">
        <v>148</v>
      </c>
      <c r="C53" s="29" t="s">
        <v>87</v>
      </c>
      <c r="D53" s="29" t="s">
        <v>88</v>
      </c>
      <c r="E53" s="7">
        <v>45935</v>
      </c>
      <c r="F53" s="29" t="s">
        <v>57</v>
      </c>
      <c r="G53">
        <v>7</v>
      </c>
      <c r="H53">
        <v>4296</v>
      </c>
      <c r="I53" s="29" t="s">
        <v>84</v>
      </c>
      <c r="J53">
        <v>30072</v>
      </c>
    </row>
    <row r="54" spans="2:10" x14ac:dyDescent="0.25">
      <c r="B54" s="29" t="s">
        <v>149</v>
      </c>
      <c r="C54" s="29" t="s">
        <v>90</v>
      </c>
      <c r="D54" s="29" t="s">
        <v>80</v>
      </c>
      <c r="E54" s="7">
        <v>45925</v>
      </c>
      <c r="F54" s="29" t="s">
        <v>60</v>
      </c>
      <c r="G54">
        <v>7</v>
      </c>
      <c r="H54">
        <v>1261</v>
      </c>
      <c r="I54" s="29" t="s">
        <v>76</v>
      </c>
      <c r="J54">
        <v>8827</v>
      </c>
    </row>
    <row r="55" spans="2:10" x14ac:dyDescent="0.25">
      <c r="B55" s="29" t="s">
        <v>150</v>
      </c>
      <c r="C55" s="29" t="s">
        <v>98</v>
      </c>
      <c r="D55" s="29" t="s">
        <v>88</v>
      </c>
      <c r="E55" s="7">
        <v>45941</v>
      </c>
      <c r="F55" s="29" t="s">
        <v>60</v>
      </c>
      <c r="G55">
        <v>3</v>
      </c>
      <c r="H55">
        <v>2065</v>
      </c>
      <c r="I55" s="29" t="s">
        <v>1058</v>
      </c>
      <c r="J55">
        <v>6195</v>
      </c>
    </row>
    <row r="56" spans="2:10" x14ac:dyDescent="0.25">
      <c r="B56" s="29" t="s">
        <v>151</v>
      </c>
      <c r="C56" s="29" t="s">
        <v>92</v>
      </c>
      <c r="D56" s="29" t="s">
        <v>78</v>
      </c>
      <c r="E56" s="7">
        <v>45712</v>
      </c>
      <c r="F56" s="29" t="s">
        <v>60</v>
      </c>
      <c r="G56">
        <v>8</v>
      </c>
      <c r="H56">
        <v>2012</v>
      </c>
      <c r="I56" s="29" t="s">
        <v>1058</v>
      </c>
      <c r="J56">
        <v>16096</v>
      </c>
    </row>
    <row r="57" spans="2:10" x14ac:dyDescent="0.25">
      <c r="B57" s="29" t="s">
        <v>152</v>
      </c>
      <c r="C57" s="29" t="s">
        <v>93</v>
      </c>
      <c r="D57" s="29" t="s">
        <v>88</v>
      </c>
      <c r="E57" s="7">
        <v>45771</v>
      </c>
      <c r="F57" s="29" t="s">
        <v>57</v>
      </c>
      <c r="G57">
        <v>8</v>
      </c>
      <c r="H57">
        <v>217</v>
      </c>
      <c r="I57" s="29" t="s">
        <v>84</v>
      </c>
      <c r="J57">
        <v>1736</v>
      </c>
    </row>
    <row r="58" spans="2:10" x14ac:dyDescent="0.25">
      <c r="B58" s="29" t="s">
        <v>153</v>
      </c>
      <c r="C58" s="29" t="s">
        <v>82</v>
      </c>
      <c r="D58" s="29" t="s">
        <v>80</v>
      </c>
      <c r="E58" s="7">
        <v>46018</v>
      </c>
      <c r="F58" s="29" t="s">
        <v>60</v>
      </c>
      <c r="G58">
        <v>4</v>
      </c>
      <c r="H58">
        <v>2103</v>
      </c>
      <c r="I58" s="29" t="s">
        <v>1058</v>
      </c>
      <c r="J58">
        <v>8412</v>
      </c>
    </row>
    <row r="59" spans="2:10" x14ac:dyDescent="0.25">
      <c r="B59" s="29" t="s">
        <v>154</v>
      </c>
      <c r="C59" s="29" t="s">
        <v>99</v>
      </c>
      <c r="D59" s="29" t="s">
        <v>78</v>
      </c>
      <c r="E59" s="7">
        <v>45723</v>
      </c>
      <c r="F59" s="29" t="s">
        <v>60</v>
      </c>
      <c r="G59">
        <v>10</v>
      </c>
      <c r="H59">
        <v>1962</v>
      </c>
      <c r="I59" s="29" t="s">
        <v>84</v>
      </c>
      <c r="J59">
        <v>19620</v>
      </c>
    </row>
    <row r="60" spans="2:10" x14ac:dyDescent="0.25">
      <c r="B60" s="29" t="s">
        <v>155</v>
      </c>
      <c r="C60" s="29" t="s">
        <v>96</v>
      </c>
      <c r="D60" s="29" t="s">
        <v>83</v>
      </c>
      <c r="E60" s="7">
        <v>45795</v>
      </c>
      <c r="F60" s="29" t="s">
        <v>57</v>
      </c>
      <c r="G60">
        <v>2</v>
      </c>
      <c r="H60">
        <v>388</v>
      </c>
      <c r="I60" s="29" t="s">
        <v>76</v>
      </c>
      <c r="J60">
        <v>776</v>
      </c>
    </row>
    <row r="61" spans="2:10" x14ac:dyDescent="0.25">
      <c r="B61" s="29" t="s">
        <v>156</v>
      </c>
      <c r="C61" s="29" t="s">
        <v>98</v>
      </c>
      <c r="D61" s="29" t="s">
        <v>80</v>
      </c>
      <c r="E61" s="7">
        <v>45704</v>
      </c>
      <c r="F61" s="29" t="s">
        <v>60</v>
      </c>
      <c r="G61">
        <v>9</v>
      </c>
      <c r="H61">
        <v>1792</v>
      </c>
      <c r="I61" s="29" t="s">
        <v>84</v>
      </c>
      <c r="J61">
        <v>16128</v>
      </c>
    </row>
    <row r="62" spans="2:10" x14ac:dyDescent="0.25">
      <c r="B62" s="29" t="s">
        <v>157</v>
      </c>
      <c r="C62" s="29" t="s">
        <v>95</v>
      </c>
      <c r="D62" s="29" t="s">
        <v>80</v>
      </c>
      <c r="E62" s="7">
        <v>45670</v>
      </c>
      <c r="F62" s="29" t="s">
        <v>60</v>
      </c>
      <c r="G62">
        <v>6</v>
      </c>
      <c r="H62">
        <v>1945</v>
      </c>
      <c r="I62" s="29" t="s">
        <v>76</v>
      </c>
      <c r="J62">
        <v>11670</v>
      </c>
    </row>
    <row r="63" spans="2:10" x14ac:dyDescent="0.25">
      <c r="B63" s="29" t="s">
        <v>158</v>
      </c>
      <c r="C63" s="29" t="s">
        <v>82</v>
      </c>
      <c r="D63" s="29" t="s">
        <v>80</v>
      </c>
      <c r="E63" s="7">
        <v>45812</v>
      </c>
      <c r="F63" s="29" t="s">
        <v>60</v>
      </c>
      <c r="G63">
        <v>8</v>
      </c>
      <c r="H63">
        <v>429</v>
      </c>
      <c r="I63" s="29" t="s">
        <v>84</v>
      </c>
      <c r="J63">
        <v>3432</v>
      </c>
    </row>
    <row r="64" spans="2:10" x14ac:dyDescent="0.25">
      <c r="B64" s="29" t="s">
        <v>159</v>
      </c>
      <c r="C64" s="29" t="s">
        <v>92</v>
      </c>
      <c r="D64" s="29" t="s">
        <v>75</v>
      </c>
      <c r="E64" s="7">
        <v>45848</v>
      </c>
      <c r="F64" s="29" t="s">
        <v>57</v>
      </c>
      <c r="G64">
        <v>7</v>
      </c>
      <c r="H64">
        <v>3134</v>
      </c>
      <c r="I64" s="29" t="s">
        <v>76</v>
      </c>
      <c r="J64">
        <v>21938</v>
      </c>
    </row>
    <row r="65" spans="2:10" x14ac:dyDescent="0.25">
      <c r="B65" s="29" t="s">
        <v>160</v>
      </c>
      <c r="C65" s="29" t="s">
        <v>90</v>
      </c>
      <c r="D65" s="29" t="s">
        <v>83</v>
      </c>
      <c r="E65" s="7">
        <v>45668</v>
      </c>
      <c r="F65" s="29" t="s">
        <v>60</v>
      </c>
      <c r="G65">
        <v>4</v>
      </c>
      <c r="H65">
        <v>4818</v>
      </c>
      <c r="I65" s="29" t="s">
        <v>84</v>
      </c>
      <c r="J65">
        <v>19272</v>
      </c>
    </row>
    <row r="66" spans="2:10" x14ac:dyDescent="0.25">
      <c r="B66" s="29" t="s">
        <v>161</v>
      </c>
      <c r="C66" s="29" t="s">
        <v>92</v>
      </c>
      <c r="D66" s="29" t="s">
        <v>80</v>
      </c>
      <c r="E66" s="7">
        <v>45943</v>
      </c>
      <c r="F66" s="29" t="s">
        <v>57</v>
      </c>
      <c r="G66">
        <v>6</v>
      </c>
      <c r="H66">
        <v>1563</v>
      </c>
      <c r="I66" s="29" t="s">
        <v>76</v>
      </c>
      <c r="J66">
        <v>9378</v>
      </c>
    </row>
    <row r="67" spans="2:10" x14ac:dyDescent="0.25">
      <c r="B67" s="29" t="s">
        <v>162</v>
      </c>
      <c r="C67" s="29" t="s">
        <v>86</v>
      </c>
      <c r="D67" s="29" t="s">
        <v>75</v>
      </c>
      <c r="E67" s="7">
        <v>45995</v>
      </c>
      <c r="F67" s="29" t="s">
        <v>60</v>
      </c>
      <c r="G67">
        <v>2</v>
      </c>
      <c r="H67">
        <v>3227</v>
      </c>
      <c r="I67" s="29" t="s">
        <v>76</v>
      </c>
      <c r="J67">
        <v>6454</v>
      </c>
    </row>
    <row r="68" spans="2:10" x14ac:dyDescent="0.25">
      <c r="B68" s="29" t="s">
        <v>163</v>
      </c>
      <c r="C68" s="29" t="s">
        <v>91</v>
      </c>
      <c r="D68" s="29" t="s">
        <v>83</v>
      </c>
      <c r="E68" s="7">
        <v>45660</v>
      </c>
      <c r="F68" s="29" t="s">
        <v>57</v>
      </c>
      <c r="G68">
        <v>6</v>
      </c>
      <c r="H68">
        <v>1066</v>
      </c>
      <c r="I68" s="29" t="s">
        <v>76</v>
      </c>
      <c r="J68">
        <v>6396</v>
      </c>
    </row>
    <row r="69" spans="2:10" x14ac:dyDescent="0.25">
      <c r="B69" s="29" t="s">
        <v>164</v>
      </c>
      <c r="C69" s="29" t="s">
        <v>89</v>
      </c>
      <c r="D69" s="29" t="s">
        <v>78</v>
      </c>
      <c r="E69" s="7">
        <v>45879</v>
      </c>
      <c r="F69" s="29" t="s">
        <v>57</v>
      </c>
      <c r="G69">
        <v>4</v>
      </c>
      <c r="H69">
        <v>111</v>
      </c>
      <c r="I69" s="29" t="s">
        <v>1058</v>
      </c>
      <c r="J69">
        <v>444</v>
      </c>
    </row>
    <row r="70" spans="2:10" x14ac:dyDescent="0.25">
      <c r="B70" s="29" t="s">
        <v>165</v>
      </c>
      <c r="C70" s="29" t="s">
        <v>94</v>
      </c>
      <c r="D70" s="29" t="s">
        <v>75</v>
      </c>
      <c r="E70" s="7">
        <v>45926</v>
      </c>
      <c r="F70" s="29" t="s">
        <v>60</v>
      </c>
      <c r="G70">
        <v>6</v>
      </c>
      <c r="H70">
        <v>1738</v>
      </c>
      <c r="I70" s="29" t="s">
        <v>1058</v>
      </c>
      <c r="J70">
        <v>10428</v>
      </c>
    </row>
    <row r="71" spans="2:10" x14ac:dyDescent="0.25">
      <c r="B71" s="29" t="s">
        <v>166</v>
      </c>
      <c r="C71" s="29" t="s">
        <v>96</v>
      </c>
      <c r="D71" s="29" t="s">
        <v>80</v>
      </c>
      <c r="E71" s="7">
        <v>45846</v>
      </c>
      <c r="F71" s="29" t="s">
        <v>57</v>
      </c>
      <c r="G71">
        <v>3</v>
      </c>
      <c r="H71">
        <v>1172</v>
      </c>
      <c r="I71" s="29" t="s">
        <v>1058</v>
      </c>
      <c r="J71">
        <v>3516</v>
      </c>
    </row>
    <row r="72" spans="2:10" x14ac:dyDescent="0.25">
      <c r="B72" s="29" t="s">
        <v>167</v>
      </c>
      <c r="C72" s="29" t="s">
        <v>100</v>
      </c>
      <c r="D72" s="29" t="s">
        <v>88</v>
      </c>
      <c r="E72" s="7">
        <v>45893</v>
      </c>
      <c r="F72" s="29" t="s">
        <v>60</v>
      </c>
      <c r="G72">
        <v>3</v>
      </c>
      <c r="H72">
        <v>4923</v>
      </c>
      <c r="I72" s="29" t="s">
        <v>1058</v>
      </c>
      <c r="J72">
        <v>14769</v>
      </c>
    </row>
    <row r="73" spans="2:10" x14ac:dyDescent="0.25">
      <c r="B73" s="29" t="s">
        <v>168</v>
      </c>
      <c r="C73" s="29" t="s">
        <v>96</v>
      </c>
      <c r="D73" s="29" t="s">
        <v>83</v>
      </c>
      <c r="E73" s="7">
        <v>45882</v>
      </c>
      <c r="F73" s="29" t="s">
        <v>60</v>
      </c>
      <c r="G73">
        <v>3</v>
      </c>
      <c r="H73">
        <v>3392</v>
      </c>
      <c r="I73" s="29" t="s">
        <v>84</v>
      </c>
      <c r="J73">
        <v>10176</v>
      </c>
    </row>
    <row r="74" spans="2:10" x14ac:dyDescent="0.25">
      <c r="B74" s="29" t="s">
        <v>169</v>
      </c>
      <c r="C74" s="29" t="s">
        <v>93</v>
      </c>
      <c r="D74" s="29" t="s">
        <v>88</v>
      </c>
      <c r="E74" s="7">
        <v>45865</v>
      </c>
      <c r="F74" s="29" t="s">
        <v>60</v>
      </c>
      <c r="G74">
        <v>9</v>
      </c>
      <c r="H74">
        <v>3246</v>
      </c>
      <c r="I74" s="29" t="s">
        <v>76</v>
      </c>
      <c r="J74">
        <v>29214</v>
      </c>
    </row>
    <row r="75" spans="2:10" x14ac:dyDescent="0.25">
      <c r="B75" s="29" t="s">
        <v>170</v>
      </c>
      <c r="C75" s="29" t="s">
        <v>97</v>
      </c>
      <c r="D75" s="29" t="s">
        <v>88</v>
      </c>
      <c r="E75" s="7">
        <v>45978</v>
      </c>
      <c r="F75" s="29" t="s">
        <v>60</v>
      </c>
      <c r="G75">
        <v>4</v>
      </c>
      <c r="H75">
        <v>22</v>
      </c>
      <c r="I75" s="29" t="s">
        <v>76</v>
      </c>
      <c r="J75">
        <v>88</v>
      </c>
    </row>
    <row r="76" spans="2:10" x14ac:dyDescent="0.25">
      <c r="B76" s="29" t="s">
        <v>171</v>
      </c>
      <c r="C76" s="29" t="s">
        <v>77</v>
      </c>
      <c r="D76" s="29" t="s">
        <v>83</v>
      </c>
      <c r="E76" s="7">
        <v>45979</v>
      </c>
      <c r="F76" s="29" t="s">
        <v>60</v>
      </c>
      <c r="G76">
        <v>9</v>
      </c>
      <c r="H76">
        <v>541</v>
      </c>
      <c r="I76" s="29" t="s">
        <v>1058</v>
      </c>
      <c r="J76">
        <v>4869</v>
      </c>
    </row>
    <row r="77" spans="2:10" x14ac:dyDescent="0.25">
      <c r="B77" s="29" t="s">
        <v>172</v>
      </c>
      <c r="C77" s="29" t="s">
        <v>77</v>
      </c>
      <c r="D77" s="29" t="s">
        <v>78</v>
      </c>
      <c r="E77" s="7">
        <v>45890</v>
      </c>
      <c r="F77" s="29" t="s">
        <v>57</v>
      </c>
      <c r="G77">
        <v>4</v>
      </c>
      <c r="H77">
        <v>497</v>
      </c>
      <c r="I77" s="29" t="s">
        <v>76</v>
      </c>
      <c r="J77">
        <v>1988</v>
      </c>
    </row>
    <row r="78" spans="2:10" x14ac:dyDescent="0.25">
      <c r="B78" s="29" t="s">
        <v>173</v>
      </c>
      <c r="C78" s="29" t="s">
        <v>79</v>
      </c>
      <c r="D78" s="29" t="s">
        <v>80</v>
      </c>
      <c r="E78" s="7">
        <v>45672</v>
      </c>
      <c r="F78" s="29" t="s">
        <v>60</v>
      </c>
      <c r="G78">
        <v>8</v>
      </c>
      <c r="H78">
        <v>1886</v>
      </c>
      <c r="I78" s="29" t="s">
        <v>84</v>
      </c>
      <c r="J78">
        <v>15088</v>
      </c>
    </row>
    <row r="79" spans="2:10" x14ac:dyDescent="0.25">
      <c r="B79" s="29" t="s">
        <v>174</v>
      </c>
      <c r="C79" s="29" t="s">
        <v>94</v>
      </c>
      <c r="D79" s="29" t="s">
        <v>80</v>
      </c>
      <c r="E79" s="7">
        <v>45841</v>
      </c>
      <c r="F79" s="29" t="s">
        <v>57</v>
      </c>
      <c r="G79">
        <v>8</v>
      </c>
      <c r="H79">
        <v>557</v>
      </c>
      <c r="I79" s="29" t="s">
        <v>1058</v>
      </c>
      <c r="J79">
        <v>4456</v>
      </c>
    </row>
    <row r="80" spans="2:10" x14ac:dyDescent="0.25">
      <c r="B80" s="29" t="s">
        <v>175</v>
      </c>
      <c r="C80" s="29" t="s">
        <v>90</v>
      </c>
      <c r="D80" s="29" t="s">
        <v>78</v>
      </c>
      <c r="E80" s="7">
        <v>45884</v>
      </c>
      <c r="F80" s="29" t="s">
        <v>57</v>
      </c>
      <c r="G80">
        <v>7</v>
      </c>
      <c r="H80">
        <v>3642</v>
      </c>
      <c r="I80" s="29" t="s">
        <v>84</v>
      </c>
      <c r="J80">
        <v>25494</v>
      </c>
    </row>
    <row r="81" spans="2:10" x14ac:dyDescent="0.25">
      <c r="B81" s="29" t="s">
        <v>176</v>
      </c>
      <c r="C81" s="29" t="s">
        <v>87</v>
      </c>
      <c r="D81" s="29" t="s">
        <v>88</v>
      </c>
      <c r="E81" s="7">
        <v>45754</v>
      </c>
      <c r="F81" s="29" t="s">
        <v>57</v>
      </c>
      <c r="G81">
        <v>10</v>
      </c>
      <c r="H81">
        <v>2166</v>
      </c>
      <c r="I81" s="29" t="s">
        <v>76</v>
      </c>
      <c r="J81">
        <v>21660</v>
      </c>
    </row>
    <row r="82" spans="2:10" x14ac:dyDescent="0.25">
      <c r="B82" s="29" t="s">
        <v>177</v>
      </c>
      <c r="C82" s="29" t="s">
        <v>90</v>
      </c>
      <c r="D82" s="29" t="s">
        <v>78</v>
      </c>
      <c r="E82" s="7">
        <v>45889</v>
      </c>
      <c r="F82" s="29" t="s">
        <v>60</v>
      </c>
      <c r="G82">
        <v>7</v>
      </c>
      <c r="H82">
        <v>3417</v>
      </c>
      <c r="I82" s="29" t="s">
        <v>76</v>
      </c>
      <c r="J82">
        <v>23919</v>
      </c>
    </row>
    <row r="83" spans="2:10" x14ac:dyDescent="0.25">
      <c r="B83" s="29" t="s">
        <v>178</v>
      </c>
      <c r="C83" s="29" t="s">
        <v>97</v>
      </c>
      <c r="D83" s="29" t="s">
        <v>78</v>
      </c>
      <c r="E83" s="7">
        <v>45712</v>
      </c>
      <c r="F83" s="29" t="s">
        <v>60</v>
      </c>
      <c r="G83">
        <v>8</v>
      </c>
      <c r="H83">
        <v>3554</v>
      </c>
      <c r="I83" s="29" t="s">
        <v>76</v>
      </c>
      <c r="J83">
        <v>28432</v>
      </c>
    </row>
    <row r="84" spans="2:10" x14ac:dyDescent="0.25">
      <c r="B84" s="29" t="s">
        <v>179</v>
      </c>
      <c r="C84" s="29" t="s">
        <v>98</v>
      </c>
      <c r="D84" s="29" t="s">
        <v>88</v>
      </c>
      <c r="E84" s="7">
        <v>45792</v>
      </c>
      <c r="F84" s="29" t="s">
        <v>60</v>
      </c>
      <c r="G84">
        <v>1</v>
      </c>
      <c r="H84">
        <v>61</v>
      </c>
      <c r="I84" s="29" t="s">
        <v>76</v>
      </c>
      <c r="J84">
        <v>61</v>
      </c>
    </row>
    <row r="85" spans="2:10" x14ac:dyDescent="0.25">
      <c r="B85" s="29" t="s">
        <v>180</v>
      </c>
      <c r="C85" s="29" t="s">
        <v>98</v>
      </c>
      <c r="D85" s="29" t="s">
        <v>80</v>
      </c>
      <c r="E85" s="7">
        <v>45805</v>
      </c>
      <c r="F85" s="29" t="s">
        <v>57</v>
      </c>
      <c r="G85">
        <v>3</v>
      </c>
      <c r="H85">
        <v>4196</v>
      </c>
      <c r="I85" s="29" t="s">
        <v>76</v>
      </c>
      <c r="J85">
        <v>12588</v>
      </c>
    </row>
    <row r="86" spans="2:10" x14ac:dyDescent="0.25">
      <c r="B86" s="29" t="s">
        <v>181</v>
      </c>
      <c r="C86" s="29" t="s">
        <v>74</v>
      </c>
      <c r="D86" s="29" t="s">
        <v>75</v>
      </c>
      <c r="E86" s="7">
        <v>45731</v>
      </c>
      <c r="F86" s="29" t="s">
        <v>57</v>
      </c>
      <c r="G86">
        <v>7</v>
      </c>
      <c r="H86">
        <v>3635</v>
      </c>
      <c r="I86" s="29" t="s">
        <v>1058</v>
      </c>
      <c r="J86">
        <v>25445</v>
      </c>
    </row>
    <row r="87" spans="2:10" x14ac:dyDescent="0.25">
      <c r="B87" s="29" t="s">
        <v>182</v>
      </c>
      <c r="C87" s="29" t="s">
        <v>100</v>
      </c>
      <c r="D87" s="29" t="s">
        <v>78</v>
      </c>
      <c r="E87" s="7">
        <v>45833</v>
      </c>
      <c r="F87" s="29" t="s">
        <v>60</v>
      </c>
      <c r="G87">
        <v>7</v>
      </c>
      <c r="H87">
        <v>4811</v>
      </c>
      <c r="I87" s="29" t="s">
        <v>1058</v>
      </c>
      <c r="J87">
        <v>33677</v>
      </c>
    </row>
    <row r="88" spans="2:10" x14ac:dyDescent="0.25">
      <c r="B88" s="29" t="s">
        <v>183</v>
      </c>
      <c r="C88" s="29" t="s">
        <v>74</v>
      </c>
      <c r="D88" s="29" t="s">
        <v>75</v>
      </c>
      <c r="E88" s="7">
        <v>45949</v>
      </c>
      <c r="F88" s="29" t="s">
        <v>60</v>
      </c>
      <c r="G88">
        <v>3</v>
      </c>
      <c r="H88">
        <v>538</v>
      </c>
      <c r="I88" s="29" t="s">
        <v>76</v>
      </c>
      <c r="J88">
        <v>1614</v>
      </c>
    </row>
    <row r="89" spans="2:10" x14ac:dyDescent="0.25">
      <c r="B89" s="29" t="s">
        <v>184</v>
      </c>
      <c r="C89" s="29" t="s">
        <v>92</v>
      </c>
      <c r="D89" s="29" t="s">
        <v>83</v>
      </c>
      <c r="E89" s="7">
        <v>45778</v>
      </c>
      <c r="F89" s="29" t="s">
        <v>57</v>
      </c>
      <c r="G89">
        <v>5</v>
      </c>
      <c r="H89">
        <v>2384</v>
      </c>
      <c r="I89" s="29" t="s">
        <v>1058</v>
      </c>
      <c r="J89">
        <v>11920</v>
      </c>
    </row>
    <row r="90" spans="2:10" x14ac:dyDescent="0.25">
      <c r="B90" s="29" t="s">
        <v>185</v>
      </c>
      <c r="C90" s="29" t="s">
        <v>99</v>
      </c>
      <c r="D90" s="29" t="s">
        <v>83</v>
      </c>
      <c r="E90" s="7">
        <v>45717</v>
      </c>
      <c r="F90" s="29" t="s">
        <v>60</v>
      </c>
      <c r="G90">
        <v>1</v>
      </c>
      <c r="H90">
        <v>3319</v>
      </c>
      <c r="I90" s="29" t="s">
        <v>76</v>
      </c>
      <c r="J90">
        <v>3319</v>
      </c>
    </row>
    <row r="91" spans="2:10" x14ac:dyDescent="0.25">
      <c r="B91" s="29" t="s">
        <v>186</v>
      </c>
      <c r="C91" s="29" t="s">
        <v>99</v>
      </c>
      <c r="D91" s="29" t="s">
        <v>83</v>
      </c>
      <c r="E91" s="7">
        <v>45662</v>
      </c>
      <c r="F91" s="29" t="s">
        <v>60</v>
      </c>
      <c r="G91">
        <v>7</v>
      </c>
      <c r="H91">
        <v>125</v>
      </c>
      <c r="I91" s="29" t="s">
        <v>84</v>
      </c>
      <c r="J91">
        <v>875</v>
      </c>
    </row>
    <row r="92" spans="2:10" x14ac:dyDescent="0.25">
      <c r="B92" s="29" t="s">
        <v>187</v>
      </c>
      <c r="C92" s="29" t="s">
        <v>92</v>
      </c>
      <c r="D92" s="29" t="s">
        <v>83</v>
      </c>
      <c r="E92" s="7">
        <v>45897</v>
      </c>
      <c r="F92" s="29" t="s">
        <v>57</v>
      </c>
      <c r="G92">
        <v>6</v>
      </c>
      <c r="H92">
        <v>870</v>
      </c>
      <c r="I92" s="29" t="s">
        <v>76</v>
      </c>
      <c r="J92">
        <v>5220</v>
      </c>
    </row>
    <row r="93" spans="2:10" x14ac:dyDescent="0.25">
      <c r="B93" s="29" t="s">
        <v>188</v>
      </c>
      <c r="C93" s="29" t="s">
        <v>77</v>
      </c>
      <c r="D93" s="29" t="s">
        <v>88</v>
      </c>
      <c r="E93" s="7">
        <v>45667</v>
      </c>
      <c r="F93" s="29" t="s">
        <v>57</v>
      </c>
      <c r="G93">
        <v>1</v>
      </c>
      <c r="H93">
        <v>2490</v>
      </c>
      <c r="I93" s="29" t="s">
        <v>1058</v>
      </c>
      <c r="J93">
        <v>2490</v>
      </c>
    </row>
    <row r="94" spans="2:10" x14ac:dyDescent="0.25">
      <c r="B94" s="29" t="s">
        <v>189</v>
      </c>
      <c r="C94" s="29" t="s">
        <v>90</v>
      </c>
      <c r="D94" s="29" t="s">
        <v>83</v>
      </c>
      <c r="E94" s="7">
        <v>45813</v>
      </c>
      <c r="F94" s="29" t="s">
        <v>60</v>
      </c>
      <c r="G94">
        <v>3</v>
      </c>
      <c r="H94">
        <v>3248</v>
      </c>
      <c r="I94" s="29" t="s">
        <v>84</v>
      </c>
      <c r="J94">
        <v>9744</v>
      </c>
    </row>
    <row r="95" spans="2:10" x14ac:dyDescent="0.25">
      <c r="B95" s="29" t="s">
        <v>190</v>
      </c>
      <c r="C95" s="29" t="s">
        <v>100</v>
      </c>
      <c r="D95" s="29" t="s">
        <v>78</v>
      </c>
      <c r="E95" s="7">
        <v>45923</v>
      </c>
      <c r="F95" s="29" t="s">
        <v>57</v>
      </c>
      <c r="G95">
        <v>1</v>
      </c>
      <c r="H95">
        <v>237</v>
      </c>
      <c r="I95" s="29" t="s">
        <v>76</v>
      </c>
      <c r="J95">
        <v>237</v>
      </c>
    </row>
    <row r="96" spans="2:10" x14ac:dyDescent="0.25">
      <c r="B96" s="29" t="s">
        <v>191</v>
      </c>
      <c r="C96" s="29" t="s">
        <v>87</v>
      </c>
      <c r="D96" s="29" t="s">
        <v>75</v>
      </c>
      <c r="E96" s="7">
        <v>45822</v>
      </c>
      <c r="F96" s="29" t="s">
        <v>60</v>
      </c>
      <c r="G96">
        <v>2</v>
      </c>
      <c r="H96">
        <v>1835</v>
      </c>
      <c r="I96" s="29" t="s">
        <v>76</v>
      </c>
      <c r="J96">
        <v>3670</v>
      </c>
    </row>
    <row r="97" spans="2:10" x14ac:dyDescent="0.25">
      <c r="B97" s="29" t="s">
        <v>192</v>
      </c>
      <c r="C97" s="29" t="s">
        <v>96</v>
      </c>
      <c r="D97" s="29" t="s">
        <v>88</v>
      </c>
      <c r="E97" s="7">
        <v>45992</v>
      </c>
      <c r="F97" s="29" t="s">
        <v>57</v>
      </c>
      <c r="G97">
        <v>2</v>
      </c>
      <c r="H97">
        <v>311</v>
      </c>
      <c r="I97" s="29" t="s">
        <v>76</v>
      </c>
      <c r="J97">
        <v>622</v>
      </c>
    </row>
    <row r="98" spans="2:10" x14ac:dyDescent="0.25">
      <c r="B98" s="29" t="s">
        <v>193</v>
      </c>
      <c r="C98" s="29" t="s">
        <v>86</v>
      </c>
      <c r="D98" s="29" t="s">
        <v>78</v>
      </c>
      <c r="E98" s="7">
        <v>45840</v>
      </c>
      <c r="F98" s="29" t="s">
        <v>60</v>
      </c>
      <c r="G98">
        <v>5</v>
      </c>
      <c r="H98">
        <v>4200</v>
      </c>
      <c r="I98" s="29" t="s">
        <v>1058</v>
      </c>
      <c r="J98">
        <v>21000</v>
      </c>
    </row>
    <row r="99" spans="2:10" x14ac:dyDescent="0.25">
      <c r="B99" s="29" t="s">
        <v>194</v>
      </c>
      <c r="C99" s="29" t="s">
        <v>85</v>
      </c>
      <c r="D99" s="29" t="s">
        <v>88</v>
      </c>
      <c r="E99" s="7">
        <v>45983</v>
      </c>
      <c r="F99" s="29" t="s">
        <v>57</v>
      </c>
      <c r="G99">
        <v>3</v>
      </c>
      <c r="H99">
        <v>943</v>
      </c>
      <c r="I99" s="29" t="s">
        <v>76</v>
      </c>
      <c r="J99">
        <v>2829</v>
      </c>
    </row>
    <row r="100" spans="2:10" x14ac:dyDescent="0.25">
      <c r="B100" s="29" t="s">
        <v>195</v>
      </c>
      <c r="C100" s="29" t="s">
        <v>87</v>
      </c>
      <c r="D100" s="29" t="s">
        <v>78</v>
      </c>
      <c r="E100" s="7">
        <v>45999</v>
      </c>
      <c r="F100" s="29" t="s">
        <v>60</v>
      </c>
      <c r="G100">
        <v>5</v>
      </c>
      <c r="H100">
        <v>4212</v>
      </c>
      <c r="I100" s="29" t="s">
        <v>84</v>
      </c>
      <c r="J100">
        <v>21060</v>
      </c>
    </row>
    <row r="101" spans="2:10" x14ac:dyDescent="0.25">
      <c r="B101" s="29" t="s">
        <v>196</v>
      </c>
      <c r="C101" s="29" t="s">
        <v>85</v>
      </c>
      <c r="D101" s="29" t="s">
        <v>88</v>
      </c>
      <c r="E101" s="7">
        <v>45964</v>
      </c>
      <c r="F101" s="29" t="s">
        <v>60</v>
      </c>
      <c r="G101">
        <v>2</v>
      </c>
      <c r="H101">
        <v>1607</v>
      </c>
      <c r="I101" s="29" t="s">
        <v>84</v>
      </c>
      <c r="J101">
        <v>3214</v>
      </c>
    </row>
    <row r="102" spans="2:10" x14ac:dyDescent="0.25">
      <c r="B102" s="29" t="s">
        <v>197</v>
      </c>
      <c r="C102" s="29" t="s">
        <v>77</v>
      </c>
      <c r="D102" s="29" t="s">
        <v>75</v>
      </c>
      <c r="E102" s="7">
        <v>45709</v>
      </c>
      <c r="F102" s="29" t="s">
        <v>60</v>
      </c>
      <c r="G102">
        <v>10</v>
      </c>
      <c r="H102">
        <v>1971</v>
      </c>
      <c r="I102" s="29" t="s">
        <v>1058</v>
      </c>
      <c r="J102">
        <v>19710</v>
      </c>
    </row>
    <row r="103" spans="2:10" x14ac:dyDescent="0.25">
      <c r="B103" s="29" t="s">
        <v>198</v>
      </c>
      <c r="C103" s="29" t="s">
        <v>74</v>
      </c>
      <c r="D103" s="29" t="s">
        <v>83</v>
      </c>
      <c r="E103" s="7">
        <v>45813</v>
      </c>
      <c r="F103" s="29" t="s">
        <v>57</v>
      </c>
      <c r="G103">
        <v>4</v>
      </c>
      <c r="H103">
        <v>3022</v>
      </c>
      <c r="I103" s="29" t="s">
        <v>76</v>
      </c>
      <c r="J103">
        <v>12088</v>
      </c>
    </row>
    <row r="104" spans="2:10" x14ac:dyDescent="0.25">
      <c r="B104" s="29" t="s">
        <v>199</v>
      </c>
      <c r="C104" s="29" t="s">
        <v>87</v>
      </c>
      <c r="D104" s="29" t="s">
        <v>88</v>
      </c>
      <c r="E104" s="7">
        <v>45909</v>
      </c>
      <c r="F104" s="29" t="s">
        <v>57</v>
      </c>
      <c r="G104">
        <v>8</v>
      </c>
      <c r="H104">
        <v>3799</v>
      </c>
      <c r="I104" s="29" t="s">
        <v>84</v>
      </c>
      <c r="J104">
        <v>30392</v>
      </c>
    </row>
    <row r="105" spans="2:10" x14ac:dyDescent="0.25">
      <c r="B105" s="29" t="s">
        <v>200</v>
      </c>
      <c r="C105" s="29" t="s">
        <v>98</v>
      </c>
      <c r="D105" s="29" t="s">
        <v>88</v>
      </c>
      <c r="E105" s="7">
        <v>45792</v>
      </c>
      <c r="F105" s="29" t="s">
        <v>57</v>
      </c>
      <c r="G105">
        <v>3</v>
      </c>
      <c r="H105">
        <v>2174</v>
      </c>
      <c r="I105" s="29" t="s">
        <v>1058</v>
      </c>
      <c r="J105">
        <v>6522</v>
      </c>
    </row>
    <row r="106" spans="2:10" x14ac:dyDescent="0.25">
      <c r="B106" s="29" t="s">
        <v>201</v>
      </c>
      <c r="C106" s="29" t="s">
        <v>87</v>
      </c>
      <c r="D106" s="29" t="s">
        <v>78</v>
      </c>
      <c r="E106" s="7">
        <v>45935</v>
      </c>
      <c r="F106" s="29" t="s">
        <v>57</v>
      </c>
      <c r="G106">
        <v>10</v>
      </c>
      <c r="H106">
        <v>2322</v>
      </c>
      <c r="I106" s="29" t="s">
        <v>1058</v>
      </c>
      <c r="J106">
        <v>23220</v>
      </c>
    </row>
    <row r="107" spans="2:10" x14ac:dyDescent="0.25">
      <c r="B107" s="29" t="s">
        <v>203</v>
      </c>
      <c r="C107" s="29" t="s">
        <v>1011</v>
      </c>
      <c r="D107" s="29" t="s">
        <v>19</v>
      </c>
      <c r="E107" s="7">
        <v>45826</v>
      </c>
      <c r="F107" s="29" t="s">
        <v>58</v>
      </c>
      <c r="G107">
        <v>5</v>
      </c>
      <c r="H107">
        <v>2337</v>
      </c>
      <c r="I107" s="29" t="s">
        <v>84</v>
      </c>
      <c r="J107">
        <v>11685</v>
      </c>
    </row>
    <row r="108" spans="2:10" x14ac:dyDescent="0.25">
      <c r="B108" s="29" t="s">
        <v>204</v>
      </c>
      <c r="C108" s="29" t="s">
        <v>1011</v>
      </c>
      <c r="D108" s="29" t="s">
        <v>17</v>
      </c>
      <c r="E108" s="7">
        <v>45753</v>
      </c>
      <c r="F108" s="29" t="s">
        <v>58</v>
      </c>
      <c r="G108">
        <v>7</v>
      </c>
      <c r="H108">
        <v>3940</v>
      </c>
      <c r="I108" s="29" t="s">
        <v>76</v>
      </c>
      <c r="J108">
        <v>27580</v>
      </c>
    </row>
    <row r="109" spans="2:10" x14ac:dyDescent="0.25">
      <c r="B109" s="29" t="s">
        <v>205</v>
      </c>
      <c r="C109" s="29" t="s">
        <v>1012</v>
      </c>
      <c r="D109" s="29" t="s">
        <v>14</v>
      </c>
      <c r="E109" s="7">
        <v>45711</v>
      </c>
      <c r="F109" s="29" t="s">
        <v>58</v>
      </c>
      <c r="G109">
        <v>4</v>
      </c>
      <c r="H109">
        <v>3949</v>
      </c>
      <c r="I109" s="29" t="s">
        <v>84</v>
      </c>
      <c r="J109">
        <v>15796</v>
      </c>
    </row>
    <row r="110" spans="2:10" x14ac:dyDescent="0.25">
      <c r="B110" s="29" t="s">
        <v>206</v>
      </c>
      <c r="C110" s="29" t="s">
        <v>1015</v>
      </c>
      <c r="D110" s="29" t="s">
        <v>17</v>
      </c>
      <c r="E110" s="7">
        <v>45972</v>
      </c>
      <c r="F110" s="29" t="s">
        <v>57</v>
      </c>
      <c r="G110">
        <v>7</v>
      </c>
      <c r="H110">
        <v>3737</v>
      </c>
      <c r="I110" s="29" t="s">
        <v>84</v>
      </c>
      <c r="J110">
        <v>26159</v>
      </c>
    </row>
    <row r="111" spans="2:10" x14ac:dyDescent="0.25">
      <c r="B111" s="29" t="s">
        <v>207</v>
      </c>
      <c r="C111" s="29" t="s">
        <v>1011</v>
      </c>
      <c r="D111" s="29" t="s">
        <v>21</v>
      </c>
      <c r="E111" s="7">
        <v>45974</v>
      </c>
      <c r="F111" s="29" t="s">
        <v>58</v>
      </c>
      <c r="G111">
        <v>7</v>
      </c>
      <c r="H111">
        <v>3511</v>
      </c>
      <c r="I111" s="29" t="s">
        <v>76</v>
      </c>
      <c r="J111">
        <v>24577</v>
      </c>
    </row>
    <row r="112" spans="2:10" x14ac:dyDescent="0.25">
      <c r="B112" s="29" t="s">
        <v>208</v>
      </c>
      <c r="C112" s="29" t="s">
        <v>1013</v>
      </c>
      <c r="D112" s="29" t="s">
        <v>19</v>
      </c>
      <c r="E112" s="7">
        <v>45788</v>
      </c>
      <c r="F112" s="29" t="s">
        <v>58</v>
      </c>
      <c r="G112">
        <v>2</v>
      </c>
      <c r="H112">
        <v>4801</v>
      </c>
      <c r="I112" s="29" t="s">
        <v>1058</v>
      </c>
      <c r="J112">
        <v>9602</v>
      </c>
    </row>
    <row r="113" spans="2:10" x14ac:dyDescent="0.25">
      <c r="B113" s="29" t="s">
        <v>209</v>
      </c>
      <c r="C113" s="29" t="s">
        <v>1016</v>
      </c>
      <c r="D113" s="29" t="s">
        <v>14</v>
      </c>
      <c r="E113" s="7">
        <v>45780</v>
      </c>
      <c r="F113" s="29" t="s">
        <v>58</v>
      </c>
      <c r="G113">
        <v>9</v>
      </c>
      <c r="H113">
        <v>2988</v>
      </c>
      <c r="I113" s="29" t="s">
        <v>84</v>
      </c>
      <c r="J113">
        <v>26892</v>
      </c>
    </row>
    <row r="114" spans="2:10" x14ac:dyDescent="0.25">
      <c r="B114" s="29" t="s">
        <v>210</v>
      </c>
      <c r="C114" s="29" t="s">
        <v>1008</v>
      </c>
      <c r="D114" s="29" t="s">
        <v>17</v>
      </c>
      <c r="E114" s="7">
        <v>45940</v>
      </c>
      <c r="F114" s="29" t="s">
        <v>57</v>
      </c>
      <c r="G114">
        <v>4</v>
      </c>
      <c r="H114">
        <v>4739</v>
      </c>
      <c r="I114" s="29" t="s">
        <v>76</v>
      </c>
      <c r="J114">
        <v>18956</v>
      </c>
    </row>
    <row r="115" spans="2:10" x14ac:dyDescent="0.25">
      <c r="B115" s="29" t="s">
        <v>211</v>
      </c>
      <c r="C115" s="29" t="s">
        <v>1020</v>
      </c>
      <c r="D115" s="29" t="s">
        <v>14</v>
      </c>
      <c r="E115" s="7">
        <v>45974</v>
      </c>
      <c r="F115" s="29" t="s">
        <v>57</v>
      </c>
      <c r="G115">
        <v>9</v>
      </c>
      <c r="H115">
        <v>610</v>
      </c>
      <c r="I115" s="29" t="s">
        <v>1058</v>
      </c>
      <c r="J115">
        <v>5490</v>
      </c>
    </row>
    <row r="116" spans="2:10" x14ac:dyDescent="0.25">
      <c r="B116" s="29" t="s">
        <v>212</v>
      </c>
      <c r="C116" s="29" t="s">
        <v>1010</v>
      </c>
      <c r="D116" s="29" t="s">
        <v>19</v>
      </c>
      <c r="E116" s="7">
        <v>45734</v>
      </c>
      <c r="F116" s="29" t="s">
        <v>58</v>
      </c>
      <c r="G116">
        <v>6</v>
      </c>
      <c r="H116">
        <v>2404</v>
      </c>
      <c r="I116" s="29" t="s">
        <v>84</v>
      </c>
      <c r="J116">
        <v>14424</v>
      </c>
    </row>
    <row r="117" spans="2:10" x14ac:dyDescent="0.25">
      <c r="B117" s="29" t="s">
        <v>213</v>
      </c>
      <c r="C117" s="29" t="s">
        <v>1016</v>
      </c>
      <c r="D117" s="29" t="s">
        <v>21</v>
      </c>
      <c r="E117" s="7">
        <v>45916</v>
      </c>
      <c r="F117" s="29" t="s">
        <v>57</v>
      </c>
      <c r="G117">
        <v>7</v>
      </c>
      <c r="H117">
        <v>832</v>
      </c>
      <c r="I117" s="29" t="s">
        <v>1058</v>
      </c>
      <c r="J117">
        <v>5824</v>
      </c>
    </row>
    <row r="118" spans="2:10" x14ac:dyDescent="0.25">
      <c r="B118" s="29" t="s">
        <v>214</v>
      </c>
      <c r="C118" s="29" t="s">
        <v>1014</v>
      </c>
      <c r="D118" s="29" t="s">
        <v>21</v>
      </c>
      <c r="E118" s="7">
        <v>45740</v>
      </c>
      <c r="F118" s="29" t="s">
        <v>57</v>
      </c>
      <c r="G118">
        <v>7</v>
      </c>
      <c r="H118">
        <v>2873</v>
      </c>
      <c r="I118" s="29" t="s">
        <v>1058</v>
      </c>
      <c r="J118">
        <v>20111</v>
      </c>
    </row>
    <row r="119" spans="2:10" x14ac:dyDescent="0.25">
      <c r="B119" s="29" t="s">
        <v>215</v>
      </c>
      <c r="C119" s="29" t="s">
        <v>1021</v>
      </c>
      <c r="D119" s="29" t="s">
        <v>11</v>
      </c>
      <c r="E119" s="7">
        <v>45765</v>
      </c>
      <c r="F119" s="29" t="s">
        <v>57</v>
      </c>
      <c r="G119">
        <v>4</v>
      </c>
      <c r="H119">
        <v>4375</v>
      </c>
      <c r="I119" s="29" t="s">
        <v>84</v>
      </c>
      <c r="J119">
        <v>17500</v>
      </c>
    </row>
    <row r="120" spans="2:10" x14ac:dyDescent="0.25">
      <c r="B120" s="29" t="s">
        <v>216</v>
      </c>
      <c r="C120" s="29" t="s">
        <v>1020</v>
      </c>
      <c r="D120" s="29" t="s">
        <v>11</v>
      </c>
      <c r="E120" s="7">
        <v>45834</v>
      </c>
      <c r="F120" s="29" t="s">
        <v>58</v>
      </c>
      <c r="G120">
        <v>3</v>
      </c>
      <c r="H120">
        <v>2509</v>
      </c>
      <c r="I120" s="29" t="s">
        <v>1058</v>
      </c>
      <c r="J120">
        <v>7527</v>
      </c>
    </row>
    <row r="121" spans="2:10" x14ac:dyDescent="0.25">
      <c r="B121" s="29" t="s">
        <v>217</v>
      </c>
      <c r="C121" s="29" t="s">
        <v>1015</v>
      </c>
      <c r="D121" s="29" t="s">
        <v>17</v>
      </c>
      <c r="E121" s="7">
        <v>45876</v>
      </c>
      <c r="F121" s="29" t="s">
        <v>58</v>
      </c>
      <c r="G121">
        <v>8</v>
      </c>
      <c r="H121">
        <v>3241</v>
      </c>
      <c r="I121" s="29" t="s">
        <v>84</v>
      </c>
      <c r="J121">
        <v>25928</v>
      </c>
    </row>
    <row r="122" spans="2:10" x14ac:dyDescent="0.25">
      <c r="B122" s="29" t="s">
        <v>218</v>
      </c>
      <c r="C122" s="29" t="s">
        <v>1020</v>
      </c>
      <c r="D122" s="29" t="s">
        <v>27</v>
      </c>
      <c r="E122" s="7">
        <v>45989</v>
      </c>
      <c r="F122" s="29" t="s">
        <v>58</v>
      </c>
      <c r="G122">
        <v>9</v>
      </c>
      <c r="H122">
        <v>3898</v>
      </c>
      <c r="I122" s="29" t="s">
        <v>1058</v>
      </c>
      <c r="J122">
        <v>35082</v>
      </c>
    </row>
    <row r="123" spans="2:10" x14ac:dyDescent="0.25">
      <c r="B123" s="29" t="s">
        <v>219</v>
      </c>
      <c r="C123" s="29" t="s">
        <v>1014</v>
      </c>
      <c r="D123" s="29" t="s">
        <v>14</v>
      </c>
      <c r="E123" s="7">
        <v>45902</v>
      </c>
      <c r="F123" s="29" t="s">
        <v>58</v>
      </c>
      <c r="G123">
        <v>6</v>
      </c>
      <c r="H123">
        <v>640</v>
      </c>
      <c r="I123" s="29" t="s">
        <v>1058</v>
      </c>
      <c r="J123">
        <v>3840</v>
      </c>
    </row>
    <row r="124" spans="2:10" x14ac:dyDescent="0.25">
      <c r="B124" s="29" t="s">
        <v>220</v>
      </c>
      <c r="C124" s="29" t="s">
        <v>1010</v>
      </c>
      <c r="D124" s="29" t="s">
        <v>11</v>
      </c>
      <c r="E124" s="7">
        <v>45910</v>
      </c>
      <c r="F124" s="29" t="s">
        <v>58</v>
      </c>
      <c r="G124">
        <v>6</v>
      </c>
      <c r="H124">
        <v>912</v>
      </c>
      <c r="I124" s="29" t="s">
        <v>1058</v>
      </c>
      <c r="J124">
        <v>5472</v>
      </c>
    </row>
    <row r="125" spans="2:10" x14ac:dyDescent="0.25">
      <c r="B125" s="29" t="s">
        <v>221</v>
      </c>
      <c r="C125" s="29" t="s">
        <v>1009</v>
      </c>
      <c r="D125" s="29" t="s">
        <v>23</v>
      </c>
      <c r="E125" s="7">
        <v>45996</v>
      </c>
      <c r="F125" s="29" t="s">
        <v>58</v>
      </c>
      <c r="G125">
        <v>7</v>
      </c>
      <c r="H125">
        <v>1029</v>
      </c>
      <c r="I125" s="29" t="s">
        <v>76</v>
      </c>
      <c r="J125">
        <v>7203</v>
      </c>
    </row>
    <row r="126" spans="2:10" x14ac:dyDescent="0.25">
      <c r="B126" s="29" t="s">
        <v>222</v>
      </c>
      <c r="C126" s="29" t="s">
        <v>1010</v>
      </c>
      <c r="D126" s="29" t="s">
        <v>11</v>
      </c>
      <c r="E126" s="7">
        <v>45828</v>
      </c>
      <c r="F126" s="29" t="s">
        <v>57</v>
      </c>
      <c r="G126">
        <v>2</v>
      </c>
      <c r="H126">
        <v>3610</v>
      </c>
      <c r="I126" s="29" t="s">
        <v>1058</v>
      </c>
      <c r="J126">
        <v>7220</v>
      </c>
    </row>
    <row r="127" spans="2:10" x14ac:dyDescent="0.25">
      <c r="B127" s="29" t="s">
        <v>223</v>
      </c>
      <c r="C127" s="29" t="s">
        <v>1016</v>
      </c>
      <c r="D127" s="29" t="s">
        <v>27</v>
      </c>
      <c r="E127" s="7">
        <v>45952</v>
      </c>
      <c r="F127" s="29" t="s">
        <v>58</v>
      </c>
      <c r="G127">
        <v>5</v>
      </c>
      <c r="H127">
        <v>146</v>
      </c>
      <c r="I127" s="29" t="s">
        <v>84</v>
      </c>
      <c r="J127">
        <v>730</v>
      </c>
    </row>
    <row r="128" spans="2:10" x14ac:dyDescent="0.25">
      <c r="B128" s="29" t="s">
        <v>224</v>
      </c>
      <c r="C128" s="29" t="s">
        <v>1016</v>
      </c>
      <c r="D128" s="29" t="s">
        <v>14</v>
      </c>
      <c r="E128" s="7">
        <v>45926</v>
      </c>
      <c r="F128" s="29" t="s">
        <v>57</v>
      </c>
      <c r="G128">
        <v>6</v>
      </c>
      <c r="H128">
        <v>3373</v>
      </c>
      <c r="I128" s="29" t="s">
        <v>76</v>
      </c>
      <c r="J128">
        <v>20238</v>
      </c>
    </row>
    <row r="129" spans="2:10" x14ac:dyDescent="0.25">
      <c r="B129" s="29" t="s">
        <v>225</v>
      </c>
      <c r="C129" s="29" t="s">
        <v>1008</v>
      </c>
      <c r="D129" s="29" t="s">
        <v>14</v>
      </c>
      <c r="E129" s="7">
        <v>45727</v>
      </c>
      <c r="F129" s="29" t="s">
        <v>58</v>
      </c>
      <c r="G129">
        <v>6</v>
      </c>
      <c r="H129">
        <v>4938</v>
      </c>
      <c r="I129" s="29" t="s">
        <v>76</v>
      </c>
      <c r="J129">
        <v>29628</v>
      </c>
    </row>
    <row r="130" spans="2:10" x14ac:dyDescent="0.25">
      <c r="B130" s="29" t="s">
        <v>226</v>
      </c>
      <c r="C130" s="29" t="s">
        <v>1013</v>
      </c>
      <c r="D130" s="29" t="s">
        <v>23</v>
      </c>
      <c r="E130" s="7">
        <v>45812</v>
      </c>
      <c r="F130" s="29" t="s">
        <v>57</v>
      </c>
      <c r="G130">
        <v>10</v>
      </c>
      <c r="H130">
        <v>2789</v>
      </c>
      <c r="I130" s="29" t="s">
        <v>84</v>
      </c>
      <c r="J130">
        <v>27890</v>
      </c>
    </row>
    <row r="131" spans="2:10" x14ac:dyDescent="0.25">
      <c r="B131" s="29" t="s">
        <v>227</v>
      </c>
      <c r="C131" s="29" t="s">
        <v>1012</v>
      </c>
      <c r="D131" s="29" t="s">
        <v>21</v>
      </c>
      <c r="E131" s="7">
        <v>45737</v>
      </c>
      <c r="F131" s="29" t="s">
        <v>57</v>
      </c>
      <c r="G131">
        <v>7</v>
      </c>
      <c r="H131">
        <v>3671</v>
      </c>
      <c r="I131" s="29" t="s">
        <v>76</v>
      </c>
      <c r="J131">
        <v>25697</v>
      </c>
    </row>
    <row r="132" spans="2:10" x14ac:dyDescent="0.25">
      <c r="B132" s="29" t="s">
        <v>228</v>
      </c>
      <c r="C132" s="29" t="s">
        <v>1019</v>
      </c>
      <c r="D132" s="29" t="s">
        <v>17</v>
      </c>
      <c r="E132" s="7">
        <v>45676</v>
      </c>
      <c r="F132" s="29" t="s">
        <v>58</v>
      </c>
      <c r="G132">
        <v>8</v>
      </c>
      <c r="H132">
        <v>709</v>
      </c>
      <c r="I132" s="29" t="s">
        <v>76</v>
      </c>
      <c r="J132">
        <v>5672</v>
      </c>
    </row>
    <row r="133" spans="2:10" x14ac:dyDescent="0.25">
      <c r="B133" s="29" t="s">
        <v>229</v>
      </c>
      <c r="C133" s="29" t="s">
        <v>1007</v>
      </c>
      <c r="D133" s="29" t="s">
        <v>11</v>
      </c>
      <c r="E133" s="7">
        <v>45713</v>
      </c>
      <c r="F133" s="29" t="s">
        <v>57</v>
      </c>
      <c r="G133">
        <v>8</v>
      </c>
      <c r="H133">
        <v>802</v>
      </c>
      <c r="I133" s="29" t="s">
        <v>84</v>
      </c>
      <c r="J133">
        <v>6416</v>
      </c>
    </row>
    <row r="134" spans="2:10" x14ac:dyDescent="0.25">
      <c r="B134" s="29" t="s">
        <v>230</v>
      </c>
      <c r="C134" s="29" t="s">
        <v>1020</v>
      </c>
      <c r="D134" s="29" t="s">
        <v>23</v>
      </c>
      <c r="E134" s="7">
        <v>45907</v>
      </c>
      <c r="F134" s="29" t="s">
        <v>57</v>
      </c>
      <c r="G134">
        <v>6</v>
      </c>
      <c r="H134">
        <v>2212</v>
      </c>
      <c r="I134" s="29" t="s">
        <v>76</v>
      </c>
      <c r="J134">
        <v>13272</v>
      </c>
    </row>
    <row r="135" spans="2:10" x14ac:dyDescent="0.25">
      <c r="B135" s="29" t="s">
        <v>231</v>
      </c>
      <c r="C135" s="29" t="s">
        <v>1006</v>
      </c>
      <c r="D135" s="29" t="s">
        <v>19</v>
      </c>
      <c r="E135" s="7">
        <v>45840</v>
      </c>
      <c r="F135" s="29" t="s">
        <v>57</v>
      </c>
      <c r="G135">
        <v>2</v>
      </c>
      <c r="H135">
        <v>2031</v>
      </c>
      <c r="I135" s="29" t="s">
        <v>76</v>
      </c>
      <c r="J135">
        <v>4062</v>
      </c>
    </row>
    <row r="136" spans="2:10" x14ac:dyDescent="0.25">
      <c r="B136" s="29" t="s">
        <v>232</v>
      </c>
      <c r="C136" s="29" t="s">
        <v>1022</v>
      </c>
      <c r="D136" s="29" t="s">
        <v>14</v>
      </c>
      <c r="E136" s="7">
        <v>45795</v>
      </c>
      <c r="F136" s="29" t="s">
        <v>57</v>
      </c>
      <c r="G136">
        <v>3</v>
      </c>
      <c r="H136">
        <v>3659</v>
      </c>
      <c r="I136" s="29" t="s">
        <v>1058</v>
      </c>
      <c r="J136">
        <v>10977</v>
      </c>
    </row>
    <row r="137" spans="2:10" x14ac:dyDescent="0.25">
      <c r="B137" s="29" t="s">
        <v>233</v>
      </c>
      <c r="C137" s="29" t="s">
        <v>1009</v>
      </c>
      <c r="D137" s="29" t="s">
        <v>17</v>
      </c>
      <c r="E137" s="7">
        <v>45798</v>
      </c>
      <c r="F137" s="29" t="s">
        <v>57</v>
      </c>
      <c r="G137">
        <v>5</v>
      </c>
      <c r="H137">
        <v>4343</v>
      </c>
      <c r="I137" s="29" t="s">
        <v>84</v>
      </c>
      <c r="J137">
        <v>21715</v>
      </c>
    </row>
    <row r="138" spans="2:10" x14ac:dyDescent="0.25">
      <c r="B138" s="29" t="s">
        <v>234</v>
      </c>
      <c r="C138" s="29" t="s">
        <v>1012</v>
      </c>
      <c r="D138" s="29" t="s">
        <v>27</v>
      </c>
      <c r="E138" s="7">
        <v>45963</v>
      </c>
      <c r="F138" s="29" t="s">
        <v>57</v>
      </c>
      <c r="G138">
        <v>1</v>
      </c>
      <c r="H138">
        <v>2657</v>
      </c>
      <c r="I138" s="29" t="s">
        <v>84</v>
      </c>
      <c r="J138">
        <v>2657</v>
      </c>
    </row>
    <row r="139" spans="2:10" x14ac:dyDescent="0.25">
      <c r="B139" s="29" t="s">
        <v>235</v>
      </c>
      <c r="C139" s="29" t="s">
        <v>1015</v>
      </c>
      <c r="D139" s="29" t="s">
        <v>21</v>
      </c>
      <c r="E139" s="7">
        <v>45889</v>
      </c>
      <c r="F139" s="29" t="s">
        <v>57</v>
      </c>
      <c r="G139">
        <v>5</v>
      </c>
      <c r="H139">
        <v>986</v>
      </c>
      <c r="I139" s="29" t="s">
        <v>1058</v>
      </c>
      <c r="J139">
        <v>4930</v>
      </c>
    </row>
    <row r="140" spans="2:10" x14ac:dyDescent="0.25">
      <c r="B140" s="29" t="s">
        <v>236</v>
      </c>
      <c r="C140" s="29" t="s">
        <v>1013</v>
      </c>
      <c r="D140" s="29" t="s">
        <v>21</v>
      </c>
      <c r="E140" s="7">
        <v>45801</v>
      </c>
      <c r="F140" s="29" t="s">
        <v>58</v>
      </c>
      <c r="G140">
        <v>5</v>
      </c>
      <c r="H140">
        <v>3040</v>
      </c>
      <c r="I140" s="29" t="s">
        <v>76</v>
      </c>
      <c r="J140">
        <v>15200</v>
      </c>
    </row>
    <row r="141" spans="2:10" x14ac:dyDescent="0.25">
      <c r="B141" s="29" t="s">
        <v>237</v>
      </c>
      <c r="C141" s="29" t="s">
        <v>1020</v>
      </c>
      <c r="D141" s="29" t="s">
        <v>21</v>
      </c>
      <c r="E141" s="7">
        <v>45866</v>
      </c>
      <c r="F141" s="29" t="s">
        <v>58</v>
      </c>
      <c r="G141">
        <v>1</v>
      </c>
      <c r="H141">
        <v>1397</v>
      </c>
      <c r="I141" s="29" t="s">
        <v>1058</v>
      </c>
      <c r="J141">
        <v>1397</v>
      </c>
    </row>
    <row r="142" spans="2:10" x14ac:dyDescent="0.25">
      <c r="B142" s="29" t="s">
        <v>238</v>
      </c>
      <c r="C142" s="29" t="s">
        <v>1017</v>
      </c>
      <c r="D142" s="29" t="s">
        <v>11</v>
      </c>
      <c r="E142" s="7">
        <v>45826</v>
      </c>
      <c r="F142" s="29" t="s">
        <v>58</v>
      </c>
      <c r="G142">
        <v>10</v>
      </c>
      <c r="H142">
        <v>4904</v>
      </c>
      <c r="I142" s="29" t="s">
        <v>76</v>
      </c>
      <c r="J142">
        <v>49040</v>
      </c>
    </row>
    <row r="143" spans="2:10" x14ac:dyDescent="0.25">
      <c r="B143" s="29" t="s">
        <v>239</v>
      </c>
      <c r="C143" s="29" t="s">
        <v>1020</v>
      </c>
      <c r="D143" s="29" t="s">
        <v>21</v>
      </c>
      <c r="E143" s="7">
        <v>45983</v>
      </c>
      <c r="F143" s="29" t="s">
        <v>57</v>
      </c>
      <c r="G143">
        <v>8</v>
      </c>
      <c r="H143">
        <v>1314</v>
      </c>
      <c r="I143" s="29" t="s">
        <v>76</v>
      </c>
      <c r="J143">
        <v>10512</v>
      </c>
    </row>
    <row r="144" spans="2:10" x14ac:dyDescent="0.25">
      <c r="B144" s="29" t="s">
        <v>240</v>
      </c>
      <c r="C144" s="29" t="s">
        <v>1016</v>
      </c>
      <c r="D144" s="29" t="s">
        <v>19</v>
      </c>
      <c r="E144" s="7">
        <v>45909</v>
      </c>
      <c r="F144" s="29" t="s">
        <v>58</v>
      </c>
      <c r="G144">
        <v>6</v>
      </c>
      <c r="H144">
        <v>4611</v>
      </c>
      <c r="I144" s="29" t="s">
        <v>76</v>
      </c>
      <c r="J144">
        <v>27666</v>
      </c>
    </row>
    <row r="145" spans="2:10" x14ac:dyDescent="0.25">
      <c r="B145" s="29" t="s">
        <v>241</v>
      </c>
      <c r="C145" s="29" t="s">
        <v>1005</v>
      </c>
      <c r="D145" s="29" t="s">
        <v>23</v>
      </c>
      <c r="E145" s="7">
        <v>45794</v>
      </c>
      <c r="F145" s="29" t="s">
        <v>58</v>
      </c>
      <c r="G145">
        <v>9</v>
      </c>
      <c r="H145">
        <v>2704</v>
      </c>
      <c r="I145" s="29" t="s">
        <v>84</v>
      </c>
      <c r="J145">
        <v>24336</v>
      </c>
    </row>
    <row r="146" spans="2:10" x14ac:dyDescent="0.25">
      <c r="B146" s="29" t="s">
        <v>242</v>
      </c>
      <c r="C146" s="29" t="s">
        <v>1019</v>
      </c>
      <c r="D146" s="29" t="s">
        <v>27</v>
      </c>
      <c r="E146" s="7">
        <v>45744</v>
      </c>
      <c r="F146" s="29" t="s">
        <v>58</v>
      </c>
      <c r="G146">
        <v>4</v>
      </c>
      <c r="H146">
        <v>4749</v>
      </c>
      <c r="I146" s="29" t="s">
        <v>84</v>
      </c>
      <c r="J146">
        <v>18996</v>
      </c>
    </row>
    <row r="147" spans="2:10" x14ac:dyDescent="0.25">
      <c r="B147" s="29" t="s">
        <v>243</v>
      </c>
      <c r="C147" s="29" t="s">
        <v>1009</v>
      </c>
      <c r="D147" s="29" t="s">
        <v>21</v>
      </c>
      <c r="E147" s="7">
        <v>45695</v>
      </c>
      <c r="F147" s="29" t="s">
        <v>57</v>
      </c>
      <c r="G147">
        <v>3</v>
      </c>
      <c r="H147">
        <v>3794</v>
      </c>
      <c r="I147" s="29" t="s">
        <v>84</v>
      </c>
      <c r="J147">
        <v>11382</v>
      </c>
    </row>
    <row r="148" spans="2:10" x14ac:dyDescent="0.25">
      <c r="B148" s="29" t="s">
        <v>244</v>
      </c>
      <c r="C148" s="29" t="s">
        <v>1013</v>
      </c>
      <c r="D148" s="29" t="s">
        <v>14</v>
      </c>
      <c r="E148" s="7">
        <v>45660</v>
      </c>
      <c r="F148" s="29" t="s">
        <v>57</v>
      </c>
      <c r="G148">
        <v>9</v>
      </c>
      <c r="H148">
        <v>4170</v>
      </c>
      <c r="I148" s="29" t="s">
        <v>84</v>
      </c>
      <c r="J148">
        <v>37530</v>
      </c>
    </row>
    <row r="149" spans="2:10" x14ac:dyDescent="0.25">
      <c r="B149" s="29" t="s">
        <v>245</v>
      </c>
      <c r="C149" s="29" t="s">
        <v>1021</v>
      </c>
      <c r="D149" s="29" t="s">
        <v>21</v>
      </c>
      <c r="E149" s="7">
        <v>45827</v>
      </c>
      <c r="F149" s="29" t="s">
        <v>58</v>
      </c>
      <c r="G149">
        <v>10</v>
      </c>
      <c r="H149">
        <v>4060</v>
      </c>
      <c r="I149" s="29" t="s">
        <v>84</v>
      </c>
      <c r="J149">
        <v>40600</v>
      </c>
    </row>
    <row r="150" spans="2:10" x14ac:dyDescent="0.25">
      <c r="B150" s="29" t="s">
        <v>246</v>
      </c>
      <c r="C150" s="29" t="s">
        <v>1009</v>
      </c>
      <c r="D150" s="29" t="s">
        <v>14</v>
      </c>
      <c r="E150" s="7">
        <v>45935</v>
      </c>
      <c r="F150" s="29" t="s">
        <v>57</v>
      </c>
      <c r="G150">
        <v>7</v>
      </c>
      <c r="H150">
        <v>2970</v>
      </c>
      <c r="I150" s="29" t="s">
        <v>1058</v>
      </c>
      <c r="J150">
        <v>20790</v>
      </c>
    </row>
    <row r="151" spans="2:10" x14ac:dyDescent="0.25">
      <c r="B151" s="29" t="s">
        <v>247</v>
      </c>
      <c r="C151" s="29" t="s">
        <v>1014</v>
      </c>
      <c r="D151" s="29" t="s">
        <v>11</v>
      </c>
      <c r="E151" s="7">
        <v>45996</v>
      </c>
      <c r="F151" s="29" t="s">
        <v>57</v>
      </c>
      <c r="G151">
        <v>4</v>
      </c>
      <c r="H151">
        <v>4221</v>
      </c>
      <c r="I151" s="29" t="s">
        <v>76</v>
      </c>
      <c r="J151">
        <v>16884</v>
      </c>
    </row>
    <row r="152" spans="2:10" x14ac:dyDescent="0.25">
      <c r="B152" s="29" t="s">
        <v>248</v>
      </c>
      <c r="C152" s="29" t="s">
        <v>1013</v>
      </c>
      <c r="D152" s="29" t="s">
        <v>23</v>
      </c>
      <c r="E152" s="7">
        <v>45662</v>
      </c>
      <c r="F152" s="29" t="s">
        <v>57</v>
      </c>
      <c r="G152">
        <v>8</v>
      </c>
      <c r="H152">
        <v>2494</v>
      </c>
      <c r="I152" s="29" t="s">
        <v>76</v>
      </c>
      <c r="J152">
        <v>19952</v>
      </c>
    </row>
    <row r="153" spans="2:10" x14ac:dyDescent="0.25">
      <c r="B153" s="29" t="s">
        <v>249</v>
      </c>
      <c r="C153" s="29" t="s">
        <v>1008</v>
      </c>
      <c r="D153" s="29" t="s">
        <v>23</v>
      </c>
      <c r="E153" s="7">
        <v>45814</v>
      </c>
      <c r="F153" s="29" t="s">
        <v>57</v>
      </c>
      <c r="G153">
        <v>9</v>
      </c>
      <c r="H153">
        <v>1263</v>
      </c>
      <c r="I153" s="29" t="s">
        <v>76</v>
      </c>
      <c r="J153">
        <v>11367</v>
      </c>
    </row>
    <row r="154" spans="2:10" x14ac:dyDescent="0.25">
      <c r="B154" s="29" t="s">
        <v>250</v>
      </c>
      <c r="C154" s="29" t="s">
        <v>1021</v>
      </c>
      <c r="D154" s="29" t="s">
        <v>21</v>
      </c>
      <c r="E154" s="7">
        <v>45936</v>
      </c>
      <c r="F154" s="29" t="s">
        <v>58</v>
      </c>
      <c r="G154">
        <v>2</v>
      </c>
      <c r="H154">
        <v>347</v>
      </c>
      <c r="I154" s="29" t="s">
        <v>76</v>
      </c>
      <c r="J154">
        <v>694</v>
      </c>
    </row>
    <row r="155" spans="2:10" x14ac:dyDescent="0.25">
      <c r="B155" s="29" t="s">
        <v>251</v>
      </c>
      <c r="C155" s="29" t="s">
        <v>1017</v>
      </c>
      <c r="D155" s="29" t="s">
        <v>23</v>
      </c>
      <c r="E155" s="7">
        <v>45673</v>
      </c>
      <c r="F155" s="29" t="s">
        <v>58</v>
      </c>
      <c r="G155">
        <v>3</v>
      </c>
      <c r="H155">
        <v>3376</v>
      </c>
      <c r="I155" s="29" t="s">
        <v>1058</v>
      </c>
      <c r="J155">
        <v>10128</v>
      </c>
    </row>
    <row r="156" spans="2:10" x14ac:dyDescent="0.25">
      <c r="B156" s="29" t="s">
        <v>252</v>
      </c>
      <c r="C156" s="29" t="s">
        <v>1005</v>
      </c>
      <c r="D156" s="29" t="s">
        <v>14</v>
      </c>
      <c r="E156" s="7">
        <v>45766</v>
      </c>
      <c r="F156" s="29" t="s">
        <v>58</v>
      </c>
      <c r="G156">
        <v>4</v>
      </c>
      <c r="H156">
        <v>362</v>
      </c>
      <c r="I156" s="29" t="s">
        <v>76</v>
      </c>
      <c r="J156">
        <v>1448</v>
      </c>
    </row>
    <row r="157" spans="2:10" x14ac:dyDescent="0.25">
      <c r="B157" s="29" t="s">
        <v>253</v>
      </c>
      <c r="C157" s="29" t="s">
        <v>1017</v>
      </c>
      <c r="D157" s="29" t="s">
        <v>17</v>
      </c>
      <c r="E157" s="7">
        <v>45664</v>
      </c>
      <c r="F157" s="29" t="s">
        <v>58</v>
      </c>
      <c r="G157">
        <v>7</v>
      </c>
      <c r="H157">
        <v>73</v>
      </c>
      <c r="I157" s="29" t="s">
        <v>84</v>
      </c>
      <c r="J157">
        <v>511</v>
      </c>
    </row>
    <row r="158" spans="2:10" x14ac:dyDescent="0.25">
      <c r="B158" s="29" t="s">
        <v>254</v>
      </c>
      <c r="C158" s="29" t="s">
        <v>1020</v>
      </c>
      <c r="D158" s="29" t="s">
        <v>17</v>
      </c>
      <c r="E158" s="7">
        <v>45995</v>
      </c>
      <c r="F158" s="29" t="s">
        <v>57</v>
      </c>
      <c r="G158">
        <v>10</v>
      </c>
      <c r="H158">
        <v>2637</v>
      </c>
      <c r="I158" s="29" t="s">
        <v>84</v>
      </c>
      <c r="J158">
        <v>26370</v>
      </c>
    </row>
    <row r="159" spans="2:10" x14ac:dyDescent="0.25">
      <c r="B159" s="29" t="s">
        <v>255</v>
      </c>
      <c r="C159" s="29" t="s">
        <v>1016</v>
      </c>
      <c r="D159" s="29" t="s">
        <v>23</v>
      </c>
      <c r="E159" s="7">
        <v>45671</v>
      </c>
      <c r="F159" s="29" t="s">
        <v>57</v>
      </c>
      <c r="G159">
        <v>3</v>
      </c>
      <c r="H159">
        <v>2035</v>
      </c>
      <c r="I159" s="29" t="s">
        <v>76</v>
      </c>
      <c r="J159">
        <v>6105</v>
      </c>
    </row>
    <row r="160" spans="2:10" x14ac:dyDescent="0.25">
      <c r="B160" s="29" t="s">
        <v>256</v>
      </c>
      <c r="C160" s="29" t="s">
        <v>1013</v>
      </c>
      <c r="D160" s="29" t="s">
        <v>27</v>
      </c>
      <c r="E160" s="7">
        <v>45823</v>
      </c>
      <c r="F160" s="29" t="s">
        <v>58</v>
      </c>
      <c r="G160">
        <v>1</v>
      </c>
      <c r="H160">
        <v>3533</v>
      </c>
      <c r="I160" s="29" t="s">
        <v>84</v>
      </c>
      <c r="J160">
        <v>3533</v>
      </c>
    </row>
    <row r="161" spans="2:10" x14ac:dyDescent="0.25">
      <c r="B161" s="29" t="s">
        <v>257</v>
      </c>
      <c r="C161" s="29" t="s">
        <v>1011</v>
      </c>
      <c r="D161" s="29" t="s">
        <v>23</v>
      </c>
      <c r="E161" s="7">
        <v>45984</v>
      </c>
      <c r="F161" s="29" t="s">
        <v>57</v>
      </c>
      <c r="G161">
        <v>8</v>
      </c>
      <c r="H161">
        <v>1267</v>
      </c>
      <c r="I161" s="29" t="s">
        <v>76</v>
      </c>
      <c r="J161">
        <v>10136</v>
      </c>
    </row>
    <row r="162" spans="2:10" x14ac:dyDescent="0.25">
      <c r="B162" s="29" t="s">
        <v>258</v>
      </c>
      <c r="C162" s="29" t="s">
        <v>1022</v>
      </c>
      <c r="D162" s="29" t="s">
        <v>21</v>
      </c>
      <c r="E162" s="7">
        <v>45988</v>
      </c>
      <c r="F162" s="29" t="s">
        <v>58</v>
      </c>
      <c r="G162">
        <v>6</v>
      </c>
      <c r="H162">
        <v>658</v>
      </c>
      <c r="I162" s="29" t="s">
        <v>1058</v>
      </c>
      <c r="J162">
        <v>3948</v>
      </c>
    </row>
    <row r="163" spans="2:10" x14ac:dyDescent="0.25">
      <c r="B163" s="29" t="s">
        <v>259</v>
      </c>
      <c r="C163" s="29" t="s">
        <v>1009</v>
      </c>
      <c r="D163" s="29" t="s">
        <v>21</v>
      </c>
      <c r="E163" s="7">
        <v>45896</v>
      </c>
      <c r="F163" s="29" t="s">
        <v>57</v>
      </c>
      <c r="G163">
        <v>8</v>
      </c>
      <c r="H163">
        <v>978</v>
      </c>
      <c r="I163" s="29" t="s">
        <v>84</v>
      </c>
      <c r="J163">
        <v>7824</v>
      </c>
    </row>
    <row r="164" spans="2:10" x14ac:dyDescent="0.25">
      <c r="B164" s="29" t="s">
        <v>260</v>
      </c>
      <c r="C164" s="29" t="s">
        <v>1015</v>
      </c>
      <c r="D164" s="29" t="s">
        <v>27</v>
      </c>
      <c r="E164" s="7">
        <v>45770</v>
      </c>
      <c r="F164" s="29" t="s">
        <v>58</v>
      </c>
      <c r="G164">
        <v>1</v>
      </c>
      <c r="H164">
        <v>2824</v>
      </c>
      <c r="I164" s="29" t="s">
        <v>76</v>
      </c>
      <c r="J164">
        <v>2824</v>
      </c>
    </row>
    <row r="165" spans="2:10" x14ac:dyDescent="0.25">
      <c r="B165" s="29" t="s">
        <v>261</v>
      </c>
      <c r="C165" s="29" t="s">
        <v>1021</v>
      </c>
      <c r="D165" s="29" t="s">
        <v>11</v>
      </c>
      <c r="E165" s="7">
        <v>45895</v>
      </c>
      <c r="F165" s="29" t="s">
        <v>58</v>
      </c>
      <c r="G165">
        <v>4</v>
      </c>
      <c r="H165">
        <v>644</v>
      </c>
      <c r="I165" s="29" t="s">
        <v>84</v>
      </c>
      <c r="J165">
        <v>2576</v>
      </c>
    </row>
    <row r="166" spans="2:10" x14ac:dyDescent="0.25">
      <c r="B166" s="29" t="s">
        <v>262</v>
      </c>
      <c r="C166" s="29" t="s">
        <v>1013</v>
      </c>
      <c r="D166" s="29" t="s">
        <v>21</v>
      </c>
      <c r="E166" s="7">
        <v>45736</v>
      </c>
      <c r="F166" s="29" t="s">
        <v>58</v>
      </c>
      <c r="G166">
        <v>1</v>
      </c>
      <c r="H166">
        <v>168</v>
      </c>
      <c r="I166" s="29" t="s">
        <v>84</v>
      </c>
      <c r="J166">
        <v>168</v>
      </c>
    </row>
    <row r="167" spans="2:10" x14ac:dyDescent="0.25">
      <c r="B167" s="29" t="s">
        <v>263</v>
      </c>
      <c r="C167" s="29" t="s">
        <v>1017</v>
      </c>
      <c r="D167" s="29" t="s">
        <v>11</v>
      </c>
      <c r="E167" s="7">
        <v>45805</v>
      </c>
      <c r="F167" s="29" t="s">
        <v>57</v>
      </c>
      <c r="G167">
        <v>9</v>
      </c>
      <c r="H167">
        <v>983</v>
      </c>
      <c r="I167" s="29" t="s">
        <v>84</v>
      </c>
      <c r="J167">
        <v>8847</v>
      </c>
    </row>
    <row r="168" spans="2:10" x14ac:dyDescent="0.25">
      <c r="B168" s="29" t="s">
        <v>264</v>
      </c>
      <c r="C168" s="29" t="s">
        <v>1017</v>
      </c>
      <c r="D168" s="29" t="s">
        <v>27</v>
      </c>
      <c r="E168" s="7">
        <v>45793</v>
      </c>
      <c r="F168" s="29" t="s">
        <v>58</v>
      </c>
      <c r="G168">
        <v>7</v>
      </c>
      <c r="H168">
        <v>3994</v>
      </c>
      <c r="I168" s="29" t="s">
        <v>1058</v>
      </c>
      <c r="J168">
        <v>27958</v>
      </c>
    </row>
    <row r="169" spans="2:10" x14ac:dyDescent="0.25">
      <c r="B169" s="29" t="s">
        <v>265</v>
      </c>
      <c r="C169" s="29" t="s">
        <v>1014</v>
      </c>
      <c r="D169" s="29" t="s">
        <v>27</v>
      </c>
      <c r="E169" s="7">
        <v>45979</v>
      </c>
      <c r="F169" s="29" t="s">
        <v>58</v>
      </c>
      <c r="G169">
        <v>8</v>
      </c>
      <c r="H169">
        <v>3961</v>
      </c>
      <c r="I169" s="29" t="s">
        <v>84</v>
      </c>
      <c r="J169">
        <v>31688</v>
      </c>
    </row>
    <row r="170" spans="2:10" x14ac:dyDescent="0.25">
      <c r="B170" s="29" t="s">
        <v>266</v>
      </c>
      <c r="C170" s="29" t="s">
        <v>1010</v>
      </c>
      <c r="D170" s="29" t="s">
        <v>11</v>
      </c>
      <c r="E170" s="7">
        <v>45913</v>
      </c>
      <c r="F170" s="29" t="s">
        <v>57</v>
      </c>
      <c r="G170">
        <v>10</v>
      </c>
      <c r="H170">
        <v>1947</v>
      </c>
      <c r="I170" s="29" t="s">
        <v>76</v>
      </c>
      <c r="J170">
        <v>19470</v>
      </c>
    </row>
    <row r="171" spans="2:10" x14ac:dyDescent="0.25">
      <c r="B171" s="29" t="s">
        <v>267</v>
      </c>
      <c r="C171" s="29" t="s">
        <v>1012</v>
      </c>
      <c r="D171" s="29" t="s">
        <v>27</v>
      </c>
      <c r="E171" s="7">
        <v>45706</v>
      </c>
      <c r="F171" s="29" t="s">
        <v>57</v>
      </c>
      <c r="G171">
        <v>10</v>
      </c>
      <c r="H171">
        <v>2827</v>
      </c>
      <c r="I171" s="29" t="s">
        <v>84</v>
      </c>
      <c r="J171">
        <v>28270</v>
      </c>
    </row>
    <row r="172" spans="2:10" x14ac:dyDescent="0.25">
      <c r="B172" s="29" t="s">
        <v>268</v>
      </c>
      <c r="C172" s="29" t="s">
        <v>1007</v>
      </c>
      <c r="D172" s="29" t="s">
        <v>21</v>
      </c>
      <c r="E172" s="7">
        <v>45800</v>
      </c>
      <c r="F172" s="29" t="s">
        <v>57</v>
      </c>
      <c r="G172">
        <v>3</v>
      </c>
      <c r="H172">
        <v>2840</v>
      </c>
      <c r="I172" s="29" t="s">
        <v>84</v>
      </c>
      <c r="J172">
        <v>8520</v>
      </c>
    </row>
    <row r="173" spans="2:10" x14ac:dyDescent="0.25">
      <c r="B173" s="29" t="s">
        <v>269</v>
      </c>
      <c r="C173" s="29" t="s">
        <v>1006</v>
      </c>
      <c r="D173" s="29" t="s">
        <v>14</v>
      </c>
      <c r="E173" s="7">
        <v>45805</v>
      </c>
      <c r="F173" s="29" t="s">
        <v>58</v>
      </c>
      <c r="G173">
        <v>4</v>
      </c>
      <c r="H173">
        <v>2037</v>
      </c>
      <c r="I173" s="29" t="s">
        <v>76</v>
      </c>
      <c r="J173">
        <v>8148</v>
      </c>
    </row>
    <row r="174" spans="2:10" x14ac:dyDescent="0.25">
      <c r="B174" s="29" t="s">
        <v>270</v>
      </c>
      <c r="C174" s="29" t="s">
        <v>1006</v>
      </c>
      <c r="D174" s="29" t="s">
        <v>21</v>
      </c>
      <c r="E174" s="7">
        <v>45967</v>
      </c>
      <c r="F174" s="29" t="s">
        <v>58</v>
      </c>
      <c r="G174">
        <v>3</v>
      </c>
      <c r="H174">
        <v>1791</v>
      </c>
      <c r="I174" s="29" t="s">
        <v>76</v>
      </c>
      <c r="J174">
        <v>5373</v>
      </c>
    </row>
    <row r="175" spans="2:10" x14ac:dyDescent="0.25">
      <c r="B175" s="29" t="s">
        <v>271</v>
      </c>
      <c r="C175" s="29" t="s">
        <v>1014</v>
      </c>
      <c r="D175" s="29" t="s">
        <v>11</v>
      </c>
      <c r="E175" s="7">
        <v>45773</v>
      </c>
      <c r="F175" s="29" t="s">
        <v>57</v>
      </c>
      <c r="G175">
        <v>3</v>
      </c>
      <c r="H175">
        <v>2309</v>
      </c>
      <c r="I175" s="29" t="s">
        <v>84</v>
      </c>
      <c r="J175">
        <v>6927</v>
      </c>
    </row>
    <row r="176" spans="2:10" x14ac:dyDescent="0.25">
      <c r="B176" s="29" t="s">
        <v>272</v>
      </c>
      <c r="C176" s="29" t="s">
        <v>1012</v>
      </c>
      <c r="D176" s="29" t="s">
        <v>27</v>
      </c>
      <c r="E176" s="7">
        <v>46007</v>
      </c>
      <c r="F176" s="29" t="s">
        <v>57</v>
      </c>
      <c r="G176">
        <v>10</v>
      </c>
      <c r="H176">
        <v>141</v>
      </c>
      <c r="I176" s="29" t="s">
        <v>76</v>
      </c>
      <c r="J176">
        <v>1410</v>
      </c>
    </row>
    <row r="177" spans="2:10" x14ac:dyDescent="0.25">
      <c r="B177" s="29" t="s">
        <v>273</v>
      </c>
      <c r="C177" s="29" t="s">
        <v>1019</v>
      </c>
      <c r="D177" s="29" t="s">
        <v>19</v>
      </c>
      <c r="E177" s="7">
        <v>45927</v>
      </c>
      <c r="F177" s="29" t="s">
        <v>57</v>
      </c>
      <c r="G177">
        <v>3</v>
      </c>
      <c r="H177">
        <v>629</v>
      </c>
      <c r="I177" s="29" t="s">
        <v>84</v>
      </c>
      <c r="J177">
        <v>1887</v>
      </c>
    </row>
    <row r="178" spans="2:10" x14ac:dyDescent="0.25">
      <c r="B178" s="29" t="s">
        <v>274</v>
      </c>
      <c r="C178" s="29" t="s">
        <v>1019</v>
      </c>
      <c r="D178" s="29" t="s">
        <v>11</v>
      </c>
      <c r="E178" s="7">
        <v>45866</v>
      </c>
      <c r="F178" s="29" t="s">
        <v>58</v>
      </c>
      <c r="G178">
        <v>5</v>
      </c>
      <c r="H178">
        <v>478</v>
      </c>
      <c r="I178" s="29" t="s">
        <v>76</v>
      </c>
      <c r="J178">
        <v>2390</v>
      </c>
    </row>
    <row r="179" spans="2:10" x14ac:dyDescent="0.25">
      <c r="B179" s="29" t="s">
        <v>275</v>
      </c>
      <c r="C179" s="29" t="s">
        <v>1012</v>
      </c>
      <c r="D179" s="29" t="s">
        <v>17</v>
      </c>
      <c r="E179" s="7">
        <v>45925</v>
      </c>
      <c r="F179" s="29" t="s">
        <v>57</v>
      </c>
      <c r="G179">
        <v>1</v>
      </c>
      <c r="H179">
        <v>206</v>
      </c>
      <c r="I179" s="29" t="s">
        <v>84</v>
      </c>
      <c r="J179">
        <v>206</v>
      </c>
    </row>
    <row r="180" spans="2:10" x14ac:dyDescent="0.25">
      <c r="B180" s="29" t="s">
        <v>276</v>
      </c>
      <c r="C180" s="29" t="s">
        <v>1009</v>
      </c>
      <c r="D180" s="29" t="s">
        <v>21</v>
      </c>
      <c r="E180" s="7">
        <v>45955</v>
      </c>
      <c r="F180" s="29" t="s">
        <v>57</v>
      </c>
      <c r="G180">
        <v>2</v>
      </c>
      <c r="H180">
        <v>1655</v>
      </c>
      <c r="I180" s="29" t="s">
        <v>84</v>
      </c>
      <c r="J180">
        <v>3310</v>
      </c>
    </row>
    <row r="181" spans="2:10" x14ac:dyDescent="0.25">
      <c r="B181" s="29" t="s">
        <v>277</v>
      </c>
      <c r="C181" s="29" t="s">
        <v>1013</v>
      </c>
      <c r="D181" s="29" t="s">
        <v>21</v>
      </c>
      <c r="E181" s="7">
        <v>45887</v>
      </c>
      <c r="F181" s="29" t="s">
        <v>57</v>
      </c>
      <c r="G181">
        <v>8</v>
      </c>
      <c r="H181">
        <v>516</v>
      </c>
      <c r="I181" s="29" t="s">
        <v>84</v>
      </c>
      <c r="J181">
        <v>4128</v>
      </c>
    </row>
    <row r="182" spans="2:10" x14ac:dyDescent="0.25">
      <c r="B182" s="29" t="s">
        <v>278</v>
      </c>
      <c r="C182" s="29" t="s">
        <v>1014</v>
      </c>
      <c r="D182" s="29" t="s">
        <v>17</v>
      </c>
      <c r="E182" s="7">
        <v>45740</v>
      </c>
      <c r="F182" s="29" t="s">
        <v>58</v>
      </c>
      <c r="G182">
        <v>8</v>
      </c>
      <c r="H182">
        <v>3768</v>
      </c>
      <c r="I182" s="29" t="s">
        <v>84</v>
      </c>
      <c r="J182">
        <v>30144</v>
      </c>
    </row>
    <row r="183" spans="2:10" x14ac:dyDescent="0.25">
      <c r="B183" s="29" t="s">
        <v>279</v>
      </c>
      <c r="C183" s="29" t="s">
        <v>1006</v>
      </c>
      <c r="D183" s="29" t="s">
        <v>14</v>
      </c>
      <c r="E183" s="7">
        <v>46006</v>
      </c>
      <c r="F183" s="29" t="s">
        <v>58</v>
      </c>
      <c r="G183">
        <v>8</v>
      </c>
      <c r="H183">
        <v>2278</v>
      </c>
      <c r="I183" s="29" t="s">
        <v>76</v>
      </c>
      <c r="J183">
        <v>18224</v>
      </c>
    </row>
    <row r="184" spans="2:10" x14ac:dyDescent="0.25">
      <c r="B184" s="29" t="s">
        <v>280</v>
      </c>
      <c r="C184" s="29" t="s">
        <v>1004</v>
      </c>
      <c r="D184" s="29" t="s">
        <v>19</v>
      </c>
      <c r="E184" s="7">
        <v>45830</v>
      </c>
      <c r="F184" s="29" t="s">
        <v>57</v>
      </c>
      <c r="G184">
        <v>1</v>
      </c>
      <c r="H184">
        <v>3179</v>
      </c>
      <c r="I184" s="29" t="s">
        <v>1058</v>
      </c>
      <c r="J184">
        <v>3179</v>
      </c>
    </row>
    <row r="185" spans="2:10" x14ac:dyDescent="0.25">
      <c r="B185" s="29" t="s">
        <v>281</v>
      </c>
      <c r="C185" s="29" t="s">
        <v>1008</v>
      </c>
      <c r="D185" s="29" t="s">
        <v>21</v>
      </c>
      <c r="E185" s="7">
        <v>45870</v>
      </c>
      <c r="F185" s="29" t="s">
        <v>58</v>
      </c>
      <c r="G185">
        <v>4</v>
      </c>
      <c r="H185">
        <v>2476</v>
      </c>
      <c r="I185" s="29" t="s">
        <v>76</v>
      </c>
      <c r="J185">
        <v>9904</v>
      </c>
    </row>
    <row r="186" spans="2:10" x14ac:dyDescent="0.25">
      <c r="B186" s="29" t="s">
        <v>282</v>
      </c>
      <c r="C186" s="29" t="s">
        <v>1014</v>
      </c>
      <c r="D186" s="29" t="s">
        <v>11</v>
      </c>
      <c r="E186" s="7">
        <v>45860</v>
      </c>
      <c r="F186" s="29" t="s">
        <v>57</v>
      </c>
      <c r="G186">
        <v>5</v>
      </c>
      <c r="H186">
        <v>2477</v>
      </c>
      <c r="I186" s="29" t="s">
        <v>76</v>
      </c>
      <c r="J186">
        <v>12385</v>
      </c>
    </row>
    <row r="187" spans="2:10" x14ac:dyDescent="0.25">
      <c r="B187" s="29" t="s">
        <v>283</v>
      </c>
      <c r="C187" s="29" t="s">
        <v>1014</v>
      </c>
      <c r="D187" s="29" t="s">
        <v>23</v>
      </c>
      <c r="E187" s="7">
        <v>45926</v>
      </c>
      <c r="F187" s="29" t="s">
        <v>58</v>
      </c>
      <c r="G187">
        <v>5</v>
      </c>
      <c r="H187">
        <v>4322</v>
      </c>
      <c r="I187" s="29" t="s">
        <v>76</v>
      </c>
      <c r="J187">
        <v>21610</v>
      </c>
    </row>
    <row r="188" spans="2:10" x14ac:dyDescent="0.25">
      <c r="B188" s="29" t="s">
        <v>284</v>
      </c>
      <c r="C188" s="29" t="s">
        <v>1014</v>
      </c>
      <c r="D188" s="29" t="s">
        <v>11</v>
      </c>
      <c r="E188" s="7">
        <v>45908</v>
      </c>
      <c r="F188" s="29" t="s">
        <v>57</v>
      </c>
      <c r="G188">
        <v>1</v>
      </c>
      <c r="H188">
        <v>513</v>
      </c>
      <c r="I188" s="29" t="s">
        <v>84</v>
      </c>
      <c r="J188">
        <v>513</v>
      </c>
    </row>
    <row r="189" spans="2:10" x14ac:dyDescent="0.25">
      <c r="B189" s="29" t="s">
        <v>285</v>
      </c>
      <c r="C189" s="29" t="s">
        <v>1022</v>
      </c>
      <c r="D189" s="29" t="s">
        <v>11</v>
      </c>
      <c r="E189" s="7">
        <v>45843</v>
      </c>
      <c r="F189" s="29" t="s">
        <v>58</v>
      </c>
      <c r="G189">
        <v>1</v>
      </c>
      <c r="H189">
        <v>2308</v>
      </c>
      <c r="I189" s="29" t="s">
        <v>1058</v>
      </c>
      <c r="J189">
        <v>2308</v>
      </c>
    </row>
    <row r="190" spans="2:10" x14ac:dyDescent="0.25">
      <c r="B190" s="29" t="s">
        <v>286</v>
      </c>
      <c r="C190" s="29" t="s">
        <v>1012</v>
      </c>
      <c r="D190" s="29" t="s">
        <v>14</v>
      </c>
      <c r="E190" s="7">
        <v>45801</v>
      </c>
      <c r="F190" s="29" t="s">
        <v>57</v>
      </c>
      <c r="G190">
        <v>8</v>
      </c>
      <c r="H190">
        <v>2364</v>
      </c>
      <c r="I190" s="29" t="s">
        <v>1058</v>
      </c>
      <c r="J190">
        <v>18912</v>
      </c>
    </row>
    <row r="191" spans="2:10" x14ac:dyDescent="0.25">
      <c r="B191" s="29" t="s">
        <v>287</v>
      </c>
      <c r="C191" s="29" t="s">
        <v>1007</v>
      </c>
      <c r="D191" s="29" t="s">
        <v>21</v>
      </c>
      <c r="E191" s="7">
        <v>45902</v>
      </c>
      <c r="F191" s="29" t="s">
        <v>57</v>
      </c>
      <c r="G191">
        <v>6</v>
      </c>
      <c r="H191">
        <v>2135</v>
      </c>
      <c r="I191" s="29" t="s">
        <v>1058</v>
      </c>
      <c r="J191">
        <v>12810</v>
      </c>
    </row>
    <row r="192" spans="2:10" x14ac:dyDescent="0.25">
      <c r="B192" s="29" t="s">
        <v>288</v>
      </c>
      <c r="C192" s="29" t="s">
        <v>1006</v>
      </c>
      <c r="D192" s="29" t="s">
        <v>19</v>
      </c>
      <c r="E192" s="7">
        <v>45700</v>
      </c>
      <c r="F192" s="29" t="s">
        <v>57</v>
      </c>
      <c r="G192">
        <v>4</v>
      </c>
      <c r="H192">
        <v>4394</v>
      </c>
      <c r="I192" s="29" t="s">
        <v>76</v>
      </c>
      <c r="J192">
        <v>17576</v>
      </c>
    </row>
    <row r="193" spans="2:10" x14ac:dyDescent="0.25">
      <c r="B193" s="29" t="s">
        <v>289</v>
      </c>
      <c r="C193" s="29" t="s">
        <v>1013</v>
      </c>
      <c r="D193" s="29" t="s">
        <v>21</v>
      </c>
      <c r="E193" s="7">
        <v>45994</v>
      </c>
      <c r="F193" s="29" t="s">
        <v>58</v>
      </c>
      <c r="G193">
        <v>4</v>
      </c>
      <c r="H193">
        <v>788</v>
      </c>
      <c r="I193" s="29" t="s">
        <v>76</v>
      </c>
      <c r="J193">
        <v>3152</v>
      </c>
    </row>
    <row r="194" spans="2:10" x14ac:dyDescent="0.25">
      <c r="B194" s="29" t="s">
        <v>290</v>
      </c>
      <c r="C194" s="29" t="s">
        <v>1007</v>
      </c>
      <c r="D194" s="29" t="s">
        <v>14</v>
      </c>
      <c r="E194" s="7">
        <v>45691</v>
      </c>
      <c r="F194" s="29" t="s">
        <v>57</v>
      </c>
      <c r="G194">
        <v>1</v>
      </c>
      <c r="H194">
        <v>4209</v>
      </c>
      <c r="I194" s="29" t="s">
        <v>76</v>
      </c>
      <c r="J194">
        <v>4209</v>
      </c>
    </row>
    <row r="195" spans="2:10" x14ac:dyDescent="0.25">
      <c r="B195" s="29" t="s">
        <v>291</v>
      </c>
      <c r="C195" s="29" t="s">
        <v>1020</v>
      </c>
      <c r="D195" s="29" t="s">
        <v>23</v>
      </c>
      <c r="E195" s="7">
        <v>45836</v>
      </c>
      <c r="F195" s="29" t="s">
        <v>58</v>
      </c>
      <c r="G195">
        <v>3</v>
      </c>
      <c r="H195">
        <v>1477</v>
      </c>
      <c r="I195" s="29" t="s">
        <v>1058</v>
      </c>
      <c r="J195">
        <v>4431</v>
      </c>
    </row>
    <row r="196" spans="2:10" x14ac:dyDescent="0.25">
      <c r="B196" s="29" t="s">
        <v>292</v>
      </c>
      <c r="C196" s="29" t="s">
        <v>1010</v>
      </c>
      <c r="D196" s="29" t="s">
        <v>14</v>
      </c>
      <c r="E196" s="7">
        <v>45816</v>
      </c>
      <c r="F196" s="29" t="s">
        <v>58</v>
      </c>
      <c r="G196">
        <v>3</v>
      </c>
      <c r="H196">
        <v>660</v>
      </c>
      <c r="I196" s="29" t="s">
        <v>84</v>
      </c>
      <c r="J196">
        <v>1980</v>
      </c>
    </row>
    <row r="197" spans="2:10" x14ac:dyDescent="0.25">
      <c r="B197" s="29" t="s">
        <v>293</v>
      </c>
      <c r="C197" s="29" t="s">
        <v>1008</v>
      </c>
      <c r="D197" s="29" t="s">
        <v>17</v>
      </c>
      <c r="E197" s="7">
        <v>45831</v>
      </c>
      <c r="F197" s="29" t="s">
        <v>58</v>
      </c>
      <c r="G197">
        <v>4</v>
      </c>
      <c r="H197">
        <v>3676</v>
      </c>
      <c r="I197" s="29" t="s">
        <v>76</v>
      </c>
      <c r="J197">
        <v>14704</v>
      </c>
    </row>
    <row r="198" spans="2:10" x14ac:dyDescent="0.25">
      <c r="B198" s="29" t="s">
        <v>294</v>
      </c>
      <c r="C198" s="29" t="s">
        <v>1004</v>
      </c>
      <c r="D198" s="29" t="s">
        <v>14</v>
      </c>
      <c r="E198" s="7">
        <v>45884</v>
      </c>
      <c r="F198" s="29" t="s">
        <v>58</v>
      </c>
      <c r="G198">
        <v>7</v>
      </c>
      <c r="H198">
        <v>3807</v>
      </c>
      <c r="I198" s="29" t="s">
        <v>84</v>
      </c>
      <c r="J198">
        <v>26649</v>
      </c>
    </row>
    <row r="199" spans="2:10" x14ac:dyDescent="0.25">
      <c r="B199" s="29" t="s">
        <v>295</v>
      </c>
      <c r="C199" s="29" t="s">
        <v>1012</v>
      </c>
      <c r="D199" s="29" t="s">
        <v>23</v>
      </c>
      <c r="E199" s="7">
        <v>45891</v>
      </c>
      <c r="F199" s="29" t="s">
        <v>57</v>
      </c>
      <c r="G199">
        <v>10</v>
      </c>
      <c r="H199">
        <v>3125</v>
      </c>
      <c r="I199" s="29" t="s">
        <v>1058</v>
      </c>
      <c r="J199">
        <v>31250</v>
      </c>
    </row>
    <row r="200" spans="2:10" x14ac:dyDescent="0.25">
      <c r="B200" s="29" t="s">
        <v>296</v>
      </c>
      <c r="C200" s="29" t="s">
        <v>1014</v>
      </c>
      <c r="D200" s="29" t="s">
        <v>17</v>
      </c>
      <c r="E200" s="7">
        <v>45770</v>
      </c>
      <c r="F200" s="29" t="s">
        <v>58</v>
      </c>
      <c r="G200">
        <v>1</v>
      </c>
      <c r="H200">
        <v>49</v>
      </c>
      <c r="I200" s="29" t="s">
        <v>84</v>
      </c>
      <c r="J200">
        <v>49</v>
      </c>
    </row>
    <row r="201" spans="2:10" x14ac:dyDescent="0.25">
      <c r="B201" s="29" t="s">
        <v>297</v>
      </c>
      <c r="C201" s="29" t="s">
        <v>1009</v>
      </c>
      <c r="D201" s="29" t="s">
        <v>23</v>
      </c>
      <c r="E201" s="7">
        <v>45941</v>
      </c>
      <c r="F201" s="29" t="s">
        <v>57</v>
      </c>
      <c r="G201">
        <v>5</v>
      </c>
      <c r="H201">
        <v>1789</v>
      </c>
      <c r="I201" s="29" t="s">
        <v>84</v>
      </c>
      <c r="J201">
        <v>8945</v>
      </c>
    </row>
    <row r="202" spans="2:10" x14ac:dyDescent="0.25">
      <c r="B202" s="29" t="s">
        <v>298</v>
      </c>
      <c r="C202" s="29" t="s">
        <v>1009</v>
      </c>
      <c r="D202" s="29" t="s">
        <v>23</v>
      </c>
      <c r="E202" s="7">
        <v>45814</v>
      </c>
      <c r="F202" s="29" t="s">
        <v>57</v>
      </c>
      <c r="G202">
        <v>7</v>
      </c>
      <c r="H202">
        <v>1937</v>
      </c>
      <c r="I202" s="29" t="s">
        <v>84</v>
      </c>
      <c r="J202">
        <v>13559</v>
      </c>
    </row>
    <row r="203" spans="2:10" x14ac:dyDescent="0.25">
      <c r="B203" s="29" t="s">
        <v>299</v>
      </c>
      <c r="C203" s="29" t="s">
        <v>1007</v>
      </c>
      <c r="D203" s="29" t="s">
        <v>19</v>
      </c>
      <c r="E203" s="7">
        <v>46002</v>
      </c>
      <c r="F203" s="29" t="s">
        <v>57</v>
      </c>
      <c r="G203">
        <v>9</v>
      </c>
      <c r="H203">
        <v>2878</v>
      </c>
      <c r="I203" s="29" t="s">
        <v>76</v>
      </c>
      <c r="J203">
        <v>25902</v>
      </c>
    </row>
    <row r="204" spans="2:10" x14ac:dyDescent="0.25">
      <c r="B204" s="29" t="s">
        <v>300</v>
      </c>
      <c r="C204" s="29" t="s">
        <v>1013</v>
      </c>
      <c r="D204" s="29" t="s">
        <v>17</v>
      </c>
      <c r="E204" s="7">
        <v>45750</v>
      </c>
      <c r="F204" s="29" t="s">
        <v>57</v>
      </c>
      <c r="G204">
        <v>10</v>
      </c>
      <c r="H204">
        <v>3341</v>
      </c>
      <c r="I204" s="29" t="s">
        <v>76</v>
      </c>
      <c r="J204">
        <v>33410</v>
      </c>
    </row>
    <row r="205" spans="2:10" x14ac:dyDescent="0.25">
      <c r="B205" s="29" t="s">
        <v>301</v>
      </c>
      <c r="C205" s="29" t="s">
        <v>1011</v>
      </c>
      <c r="D205" s="29" t="s">
        <v>27</v>
      </c>
      <c r="E205" s="7">
        <v>45861</v>
      </c>
      <c r="F205" s="29" t="s">
        <v>58</v>
      </c>
      <c r="G205">
        <v>10</v>
      </c>
      <c r="H205">
        <v>886</v>
      </c>
      <c r="I205" s="29" t="s">
        <v>84</v>
      </c>
      <c r="J205">
        <v>8860</v>
      </c>
    </row>
    <row r="206" spans="2:10" x14ac:dyDescent="0.25">
      <c r="B206" s="29" t="s">
        <v>302</v>
      </c>
      <c r="C206" s="29" t="s">
        <v>1014</v>
      </c>
      <c r="D206" s="29" t="s">
        <v>23</v>
      </c>
      <c r="E206" s="7">
        <v>45750</v>
      </c>
      <c r="F206" s="29" t="s">
        <v>57</v>
      </c>
      <c r="G206">
        <v>6</v>
      </c>
      <c r="H206">
        <v>4359</v>
      </c>
      <c r="I206" s="29" t="s">
        <v>1058</v>
      </c>
      <c r="J206">
        <v>26154</v>
      </c>
    </row>
    <row r="207" spans="2:10" x14ac:dyDescent="0.25">
      <c r="B207" s="29" t="s">
        <v>303</v>
      </c>
      <c r="C207" s="29" t="s">
        <v>1007</v>
      </c>
      <c r="D207" s="29" t="s">
        <v>21</v>
      </c>
      <c r="E207" s="7">
        <v>45714</v>
      </c>
      <c r="F207" s="29" t="s">
        <v>57</v>
      </c>
      <c r="G207">
        <v>3</v>
      </c>
      <c r="H207">
        <v>1513</v>
      </c>
      <c r="I207" s="29" t="s">
        <v>84</v>
      </c>
      <c r="J207">
        <v>4539</v>
      </c>
    </row>
    <row r="208" spans="2:10" x14ac:dyDescent="0.25">
      <c r="B208" s="29" t="s">
        <v>304</v>
      </c>
      <c r="C208" s="29" t="s">
        <v>1021</v>
      </c>
      <c r="D208" s="29" t="s">
        <v>17</v>
      </c>
      <c r="E208" s="7">
        <v>45692</v>
      </c>
      <c r="F208" s="29" t="s">
        <v>58</v>
      </c>
      <c r="G208">
        <v>3</v>
      </c>
      <c r="H208">
        <v>1352</v>
      </c>
      <c r="I208" s="29" t="s">
        <v>84</v>
      </c>
      <c r="J208">
        <v>4056</v>
      </c>
    </row>
    <row r="209" spans="2:10" x14ac:dyDescent="0.25">
      <c r="B209" s="29" t="s">
        <v>305</v>
      </c>
      <c r="C209" s="29" t="s">
        <v>1019</v>
      </c>
      <c r="D209" s="29" t="s">
        <v>19</v>
      </c>
      <c r="E209" s="7">
        <v>45813</v>
      </c>
      <c r="F209" s="29" t="s">
        <v>57</v>
      </c>
      <c r="G209">
        <v>1</v>
      </c>
      <c r="H209">
        <v>1745</v>
      </c>
      <c r="I209" s="29" t="s">
        <v>84</v>
      </c>
      <c r="J209">
        <v>1745</v>
      </c>
    </row>
    <row r="210" spans="2:10" x14ac:dyDescent="0.25">
      <c r="B210" s="29" t="s">
        <v>306</v>
      </c>
      <c r="C210" s="29" t="s">
        <v>1014</v>
      </c>
      <c r="D210" s="29" t="s">
        <v>11</v>
      </c>
      <c r="E210" s="7">
        <v>45909</v>
      </c>
      <c r="F210" s="29" t="s">
        <v>58</v>
      </c>
      <c r="G210">
        <v>5</v>
      </c>
      <c r="H210">
        <v>1888</v>
      </c>
      <c r="I210" s="29" t="s">
        <v>84</v>
      </c>
      <c r="J210">
        <v>9440</v>
      </c>
    </row>
    <row r="211" spans="2:10" x14ac:dyDescent="0.25">
      <c r="B211" s="29" t="s">
        <v>307</v>
      </c>
      <c r="C211" s="29" t="s">
        <v>1021</v>
      </c>
      <c r="D211" s="29" t="s">
        <v>11</v>
      </c>
      <c r="E211" s="7">
        <v>45910</v>
      </c>
      <c r="F211" s="29" t="s">
        <v>57</v>
      </c>
      <c r="G211">
        <v>4</v>
      </c>
      <c r="H211">
        <v>4790</v>
      </c>
      <c r="I211" s="29" t="s">
        <v>76</v>
      </c>
      <c r="J211">
        <v>19160</v>
      </c>
    </row>
    <row r="212" spans="2:10" x14ac:dyDescent="0.25">
      <c r="B212" s="29" t="s">
        <v>308</v>
      </c>
      <c r="C212" s="29" t="s">
        <v>1012</v>
      </c>
      <c r="D212" s="29" t="s">
        <v>23</v>
      </c>
      <c r="E212" s="7">
        <v>45805</v>
      </c>
      <c r="F212" s="29" t="s">
        <v>58</v>
      </c>
      <c r="G212">
        <v>4</v>
      </c>
      <c r="H212">
        <v>4821</v>
      </c>
      <c r="I212" s="29" t="s">
        <v>1058</v>
      </c>
      <c r="J212">
        <v>19284</v>
      </c>
    </row>
    <row r="213" spans="2:10" x14ac:dyDescent="0.25">
      <c r="B213" s="29" t="s">
        <v>309</v>
      </c>
      <c r="C213" s="29" t="s">
        <v>1020</v>
      </c>
      <c r="D213" s="29" t="s">
        <v>11</v>
      </c>
      <c r="E213" s="7">
        <v>45701</v>
      </c>
      <c r="F213" s="29" t="s">
        <v>58</v>
      </c>
      <c r="G213">
        <v>1</v>
      </c>
      <c r="H213">
        <v>163</v>
      </c>
      <c r="I213" s="29" t="s">
        <v>76</v>
      </c>
      <c r="J213">
        <v>163</v>
      </c>
    </row>
    <row r="214" spans="2:10" x14ac:dyDescent="0.25">
      <c r="B214" s="29" t="s">
        <v>310</v>
      </c>
      <c r="C214" s="29" t="s">
        <v>1016</v>
      </c>
      <c r="D214" s="29" t="s">
        <v>14</v>
      </c>
      <c r="E214" s="7">
        <v>45861</v>
      </c>
      <c r="F214" s="29" t="s">
        <v>58</v>
      </c>
      <c r="G214">
        <v>8</v>
      </c>
      <c r="H214">
        <v>285</v>
      </c>
      <c r="I214" s="29" t="s">
        <v>1058</v>
      </c>
      <c r="J214">
        <v>2280</v>
      </c>
    </row>
    <row r="215" spans="2:10" x14ac:dyDescent="0.25">
      <c r="B215" s="29" t="s">
        <v>311</v>
      </c>
      <c r="C215" s="29" t="s">
        <v>1018</v>
      </c>
      <c r="D215" s="29" t="s">
        <v>21</v>
      </c>
      <c r="E215" s="7">
        <v>45797</v>
      </c>
      <c r="F215" s="29" t="s">
        <v>58</v>
      </c>
      <c r="G215">
        <v>6</v>
      </c>
      <c r="H215">
        <v>3525</v>
      </c>
      <c r="I215" s="29" t="s">
        <v>76</v>
      </c>
      <c r="J215">
        <v>21150</v>
      </c>
    </row>
    <row r="216" spans="2:10" x14ac:dyDescent="0.25">
      <c r="B216" s="29" t="s">
        <v>312</v>
      </c>
      <c r="C216" s="29" t="s">
        <v>1009</v>
      </c>
      <c r="D216" s="29" t="s">
        <v>21</v>
      </c>
      <c r="E216" s="7">
        <v>45949</v>
      </c>
      <c r="F216" s="29" t="s">
        <v>58</v>
      </c>
      <c r="G216">
        <v>5</v>
      </c>
      <c r="H216">
        <v>4566</v>
      </c>
      <c r="I216" s="29" t="s">
        <v>84</v>
      </c>
      <c r="J216">
        <v>22830</v>
      </c>
    </row>
    <row r="217" spans="2:10" x14ac:dyDescent="0.25">
      <c r="B217" s="29" t="s">
        <v>313</v>
      </c>
      <c r="C217" s="29" t="s">
        <v>1019</v>
      </c>
      <c r="D217" s="29" t="s">
        <v>21</v>
      </c>
      <c r="E217" s="7">
        <v>45766</v>
      </c>
      <c r="F217" s="29" t="s">
        <v>57</v>
      </c>
      <c r="G217">
        <v>3</v>
      </c>
      <c r="H217">
        <v>1900</v>
      </c>
      <c r="I217" s="29" t="s">
        <v>76</v>
      </c>
      <c r="J217">
        <v>5700</v>
      </c>
    </row>
    <row r="218" spans="2:10" x14ac:dyDescent="0.25">
      <c r="B218" s="29" t="s">
        <v>314</v>
      </c>
      <c r="C218" s="29" t="s">
        <v>1018</v>
      </c>
      <c r="D218" s="29" t="s">
        <v>14</v>
      </c>
      <c r="E218" s="7">
        <v>45766</v>
      </c>
      <c r="F218" s="29" t="s">
        <v>58</v>
      </c>
      <c r="G218">
        <v>7</v>
      </c>
      <c r="H218">
        <v>327</v>
      </c>
      <c r="I218" s="29" t="s">
        <v>84</v>
      </c>
      <c r="J218">
        <v>2289</v>
      </c>
    </row>
    <row r="219" spans="2:10" x14ac:dyDescent="0.25">
      <c r="B219" s="29" t="s">
        <v>315</v>
      </c>
      <c r="C219" s="29" t="s">
        <v>1008</v>
      </c>
      <c r="D219" s="29" t="s">
        <v>27</v>
      </c>
      <c r="E219" s="7">
        <v>45964</v>
      </c>
      <c r="F219" s="29" t="s">
        <v>58</v>
      </c>
      <c r="G219">
        <v>1</v>
      </c>
      <c r="H219">
        <v>3478</v>
      </c>
      <c r="I219" s="29" t="s">
        <v>76</v>
      </c>
      <c r="J219">
        <v>3478</v>
      </c>
    </row>
    <row r="220" spans="2:10" x14ac:dyDescent="0.25">
      <c r="B220" s="29" t="s">
        <v>316</v>
      </c>
      <c r="C220" s="29" t="s">
        <v>1006</v>
      </c>
      <c r="D220" s="29" t="s">
        <v>21</v>
      </c>
      <c r="E220" s="7">
        <v>45664</v>
      </c>
      <c r="F220" s="29" t="s">
        <v>57</v>
      </c>
      <c r="G220">
        <v>8</v>
      </c>
      <c r="H220">
        <v>1364</v>
      </c>
      <c r="I220" s="29" t="s">
        <v>76</v>
      </c>
      <c r="J220">
        <v>10912</v>
      </c>
    </row>
    <row r="221" spans="2:10" x14ac:dyDescent="0.25">
      <c r="B221" s="29" t="s">
        <v>317</v>
      </c>
      <c r="C221" s="29" t="s">
        <v>1010</v>
      </c>
      <c r="D221" s="29" t="s">
        <v>27</v>
      </c>
      <c r="E221" s="7">
        <v>45834</v>
      </c>
      <c r="F221" s="29" t="s">
        <v>57</v>
      </c>
      <c r="G221">
        <v>10</v>
      </c>
      <c r="H221">
        <v>2753</v>
      </c>
      <c r="I221" s="29" t="s">
        <v>76</v>
      </c>
      <c r="J221">
        <v>27530</v>
      </c>
    </row>
    <row r="222" spans="2:10" x14ac:dyDescent="0.25">
      <c r="B222" s="29" t="s">
        <v>318</v>
      </c>
      <c r="C222" s="29" t="s">
        <v>1006</v>
      </c>
      <c r="D222" s="29" t="s">
        <v>21</v>
      </c>
      <c r="E222" s="7">
        <v>45895</v>
      </c>
      <c r="F222" s="29" t="s">
        <v>58</v>
      </c>
      <c r="G222">
        <v>5</v>
      </c>
      <c r="H222">
        <v>2792</v>
      </c>
      <c r="I222" s="29" t="s">
        <v>1058</v>
      </c>
      <c r="J222">
        <v>13960</v>
      </c>
    </row>
    <row r="223" spans="2:10" x14ac:dyDescent="0.25">
      <c r="B223" s="29" t="s">
        <v>319</v>
      </c>
      <c r="C223" s="29" t="s">
        <v>1011</v>
      </c>
      <c r="D223" s="29" t="s">
        <v>27</v>
      </c>
      <c r="E223" s="7">
        <v>45913</v>
      </c>
      <c r="F223" s="29" t="s">
        <v>58</v>
      </c>
      <c r="G223">
        <v>3</v>
      </c>
      <c r="H223">
        <v>444</v>
      </c>
      <c r="I223" s="29" t="s">
        <v>84</v>
      </c>
      <c r="J223">
        <v>1332</v>
      </c>
    </row>
    <row r="224" spans="2:10" x14ac:dyDescent="0.25">
      <c r="B224" s="29" t="s">
        <v>320</v>
      </c>
      <c r="C224" s="29" t="s">
        <v>1014</v>
      </c>
      <c r="D224" s="29" t="s">
        <v>21</v>
      </c>
      <c r="E224" s="7">
        <v>45919</v>
      </c>
      <c r="F224" s="29" t="s">
        <v>58</v>
      </c>
      <c r="G224">
        <v>7</v>
      </c>
      <c r="H224">
        <v>974</v>
      </c>
      <c r="I224" s="29" t="s">
        <v>76</v>
      </c>
      <c r="J224">
        <v>6818</v>
      </c>
    </row>
    <row r="225" spans="2:10" x14ac:dyDescent="0.25">
      <c r="B225" s="29" t="s">
        <v>321</v>
      </c>
      <c r="C225" s="29" t="s">
        <v>1008</v>
      </c>
      <c r="D225" s="29" t="s">
        <v>21</v>
      </c>
      <c r="E225" s="7">
        <v>45783</v>
      </c>
      <c r="F225" s="29" t="s">
        <v>57</v>
      </c>
      <c r="G225">
        <v>5</v>
      </c>
      <c r="H225">
        <v>3499</v>
      </c>
      <c r="I225" s="29" t="s">
        <v>76</v>
      </c>
      <c r="J225">
        <v>17495</v>
      </c>
    </row>
    <row r="226" spans="2:10" x14ac:dyDescent="0.25">
      <c r="B226" s="29" t="s">
        <v>322</v>
      </c>
      <c r="C226" s="29" t="s">
        <v>1021</v>
      </c>
      <c r="D226" s="29" t="s">
        <v>21</v>
      </c>
      <c r="E226" s="7">
        <v>45764</v>
      </c>
      <c r="F226" s="29" t="s">
        <v>57</v>
      </c>
      <c r="G226">
        <v>6</v>
      </c>
      <c r="H226">
        <v>3479</v>
      </c>
      <c r="I226" s="29" t="s">
        <v>84</v>
      </c>
      <c r="J226">
        <v>20874</v>
      </c>
    </row>
    <row r="227" spans="2:10" x14ac:dyDescent="0.25">
      <c r="B227" s="29" t="s">
        <v>323</v>
      </c>
      <c r="C227" s="29" t="s">
        <v>1013</v>
      </c>
      <c r="D227" s="29" t="s">
        <v>14</v>
      </c>
      <c r="E227" s="7">
        <v>45894</v>
      </c>
      <c r="F227" s="29" t="s">
        <v>57</v>
      </c>
      <c r="G227">
        <v>3</v>
      </c>
      <c r="H227">
        <v>185</v>
      </c>
      <c r="I227" s="29" t="s">
        <v>84</v>
      </c>
      <c r="J227">
        <v>555</v>
      </c>
    </row>
    <row r="228" spans="2:10" x14ac:dyDescent="0.25">
      <c r="B228" s="29" t="s">
        <v>324</v>
      </c>
      <c r="C228" s="29" t="s">
        <v>1006</v>
      </c>
      <c r="D228" s="29" t="s">
        <v>14</v>
      </c>
      <c r="E228" s="7">
        <v>45840</v>
      </c>
      <c r="F228" s="29" t="s">
        <v>57</v>
      </c>
      <c r="G228">
        <v>5</v>
      </c>
      <c r="H228">
        <v>4176</v>
      </c>
      <c r="I228" s="29" t="s">
        <v>84</v>
      </c>
      <c r="J228">
        <v>20880</v>
      </c>
    </row>
    <row r="229" spans="2:10" x14ac:dyDescent="0.25">
      <c r="B229" s="29" t="s">
        <v>325</v>
      </c>
      <c r="C229" s="29" t="s">
        <v>1021</v>
      </c>
      <c r="D229" s="29" t="s">
        <v>23</v>
      </c>
      <c r="E229" s="7">
        <v>45915</v>
      </c>
      <c r="F229" s="29" t="s">
        <v>57</v>
      </c>
      <c r="G229">
        <v>9</v>
      </c>
      <c r="H229">
        <v>4919</v>
      </c>
      <c r="I229" s="29" t="s">
        <v>76</v>
      </c>
      <c r="J229">
        <v>44271</v>
      </c>
    </row>
    <row r="230" spans="2:10" x14ac:dyDescent="0.25">
      <c r="B230" s="29" t="s">
        <v>326</v>
      </c>
      <c r="C230" s="29" t="s">
        <v>1009</v>
      </c>
      <c r="D230" s="29" t="s">
        <v>19</v>
      </c>
      <c r="E230" s="7">
        <v>45980</v>
      </c>
      <c r="F230" s="29" t="s">
        <v>57</v>
      </c>
      <c r="G230">
        <v>1</v>
      </c>
      <c r="H230">
        <v>3164</v>
      </c>
      <c r="I230" s="29" t="s">
        <v>76</v>
      </c>
      <c r="J230">
        <v>3164</v>
      </c>
    </row>
    <row r="231" spans="2:10" x14ac:dyDescent="0.25">
      <c r="B231" s="29" t="s">
        <v>327</v>
      </c>
      <c r="C231" s="29" t="s">
        <v>1013</v>
      </c>
      <c r="D231" s="29" t="s">
        <v>21</v>
      </c>
      <c r="E231" s="7">
        <v>45758</v>
      </c>
      <c r="F231" s="29" t="s">
        <v>57</v>
      </c>
      <c r="G231">
        <v>6</v>
      </c>
      <c r="H231">
        <v>3478</v>
      </c>
      <c r="I231" s="29" t="s">
        <v>84</v>
      </c>
      <c r="J231">
        <v>20868</v>
      </c>
    </row>
    <row r="232" spans="2:10" x14ac:dyDescent="0.25">
      <c r="B232" s="29" t="s">
        <v>328</v>
      </c>
      <c r="C232" s="29" t="s">
        <v>1007</v>
      </c>
      <c r="D232" s="29" t="s">
        <v>17</v>
      </c>
      <c r="E232" s="7">
        <v>45668</v>
      </c>
      <c r="F232" s="29" t="s">
        <v>57</v>
      </c>
      <c r="G232">
        <v>4</v>
      </c>
      <c r="H232">
        <v>1785</v>
      </c>
      <c r="I232" s="29" t="s">
        <v>84</v>
      </c>
      <c r="J232">
        <v>7140</v>
      </c>
    </row>
    <row r="233" spans="2:10" x14ac:dyDescent="0.25">
      <c r="B233" s="29" t="s">
        <v>329</v>
      </c>
      <c r="C233" s="29" t="s">
        <v>1004</v>
      </c>
      <c r="D233" s="29" t="s">
        <v>27</v>
      </c>
      <c r="E233" s="7">
        <v>45715</v>
      </c>
      <c r="F233" s="29" t="s">
        <v>57</v>
      </c>
      <c r="G233">
        <v>7</v>
      </c>
      <c r="H233">
        <v>2808</v>
      </c>
      <c r="I233" s="29" t="s">
        <v>84</v>
      </c>
      <c r="J233">
        <v>19656</v>
      </c>
    </row>
    <row r="234" spans="2:10" x14ac:dyDescent="0.25">
      <c r="B234" s="29" t="s">
        <v>330</v>
      </c>
      <c r="C234" s="29" t="s">
        <v>1006</v>
      </c>
      <c r="D234" s="29" t="s">
        <v>17</v>
      </c>
      <c r="E234" s="7">
        <v>45664</v>
      </c>
      <c r="F234" s="29" t="s">
        <v>57</v>
      </c>
      <c r="G234">
        <v>4</v>
      </c>
      <c r="H234">
        <v>2627</v>
      </c>
      <c r="I234" s="29" t="s">
        <v>76</v>
      </c>
      <c r="J234">
        <v>10508</v>
      </c>
    </row>
    <row r="235" spans="2:10" x14ac:dyDescent="0.25">
      <c r="B235" s="29" t="s">
        <v>331</v>
      </c>
      <c r="C235" s="29" t="s">
        <v>1022</v>
      </c>
      <c r="D235" s="29" t="s">
        <v>14</v>
      </c>
      <c r="E235" s="7">
        <v>45775</v>
      </c>
      <c r="F235" s="29" t="s">
        <v>57</v>
      </c>
      <c r="G235">
        <v>2</v>
      </c>
      <c r="H235">
        <v>1139</v>
      </c>
      <c r="I235" s="29" t="s">
        <v>76</v>
      </c>
      <c r="J235">
        <v>2278</v>
      </c>
    </row>
    <row r="236" spans="2:10" x14ac:dyDescent="0.25">
      <c r="B236" s="29" t="s">
        <v>332</v>
      </c>
      <c r="C236" s="29" t="s">
        <v>1011</v>
      </c>
      <c r="D236" s="29" t="s">
        <v>23</v>
      </c>
      <c r="E236" s="7">
        <v>45677</v>
      </c>
      <c r="F236" s="29" t="s">
        <v>58</v>
      </c>
      <c r="G236">
        <v>7</v>
      </c>
      <c r="H236">
        <v>4542</v>
      </c>
      <c r="I236" s="29" t="s">
        <v>1058</v>
      </c>
      <c r="J236">
        <v>31794</v>
      </c>
    </row>
    <row r="237" spans="2:10" x14ac:dyDescent="0.25">
      <c r="B237" s="29" t="s">
        <v>333</v>
      </c>
      <c r="C237" s="29" t="s">
        <v>1008</v>
      </c>
      <c r="D237" s="29" t="s">
        <v>27</v>
      </c>
      <c r="E237" s="7">
        <v>45730</v>
      </c>
      <c r="F237" s="29" t="s">
        <v>57</v>
      </c>
      <c r="G237">
        <v>1</v>
      </c>
      <c r="H237">
        <v>2926</v>
      </c>
      <c r="I237" s="29" t="s">
        <v>1058</v>
      </c>
      <c r="J237">
        <v>2926</v>
      </c>
    </row>
    <row r="238" spans="2:10" x14ac:dyDescent="0.25">
      <c r="B238" s="29" t="s">
        <v>334</v>
      </c>
      <c r="C238" s="29" t="s">
        <v>1022</v>
      </c>
      <c r="D238" s="29" t="s">
        <v>23</v>
      </c>
      <c r="E238" s="7">
        <v>45818</v>
      </c>
      <c r="F238" s="29" t="s">
        <v>58</v>
      </c>
      <c r="G238">
        <v>8</v>
      </c>
      <c r="H238">
        <v>2646</v>
      </c>
      <c r="I238" s="29" t="s">
        <v>76</v>
      </c>
      <c r="J238">
        <v>21168</v>
      </c>
    </row>
    <row r="239" spans="2:10" x14ac:dyDescent="0.25">
      <c r="B239" s="29" t="s">
        <v>335</v>
      </c>
      <c r="C239" s="29" t="s">
        <v>1016</v>
      </c>
      <c r="D239" s="29" t="s">
        <v>19</v>
      </c>
      <c r="E239" s="7">
        <v>45797</v>
      </c>
      <c r="F239" s="29" t="s">
        <v>57</v>
      </c>
      <c r="G239">
        <v>7</v>
      </c>
      <c r="H239">
        <v>3909</v>
      </c>
      <c r="I239" s="29" t="s">
        <v>1058</v>
      </c>
      <c r="J239">
        <v>27363</v>
      </c>
    </row>
    <row r="240" spans="2:10" x14ac:dyDescent="0.25">
      <c r="B240" s="29" t="s">
        <v>336</v>
      </c>
      <c r="C240" s="29" t="s">
        <v>1015</v>
      </c>
      <c r="D240" s="29" t="s">
        <v>17</v>
      </c>
      <c r="E240" s="7">
        <v>45689</v>
      </c>
      <c r="F240" s="29" t="s">
        <v>57</v>
      </c>
      <c r="G240">
        <v>6</v>
      </c>
      <c r="H240">
        <v>3263</v>
      </c>
      <c r="I240" s="29" t="s">
        <v>84</v>
      </c>
      <c r="J240">
        <v>19578</v>
      </c>
    </row>
    <row r="241" spans="2:10" x14ac:dyDescent="0.25">
      <c r="B241" s="29" t="s">
        <v>337</v>
      </c>
      <c r="C241" s="29" t="s">
        <v>1007</v>
      </c>
      <c r="D241" s="29" t="s">
        <v>21</v>
      </c>
      <c r="E241" s="7">
        <v>45874</v>
      </c>
      <c r="F241" s="29" t="s">
        <v>57</v>
      </c>
      <c r="G241">
        <v>4</v>
      </c>
      <c r="H241">
        <v>1071</v>
      </c>
      <c r="I241" s="29" t="s">
        <v>84</v>
      </c>
      <c r="J241">
        <v>4284</v>
      </c>
    </row>
    <row r="242" spans="2:10" x14ac:dyDescent="0.25">
      <c r="B242" s="29" t="s">
        <v>338</v>
      </c>
      <c r="C242" s="29" t="s">
        <v>1004</v>
      </c>
      <c r="D242" s="29" t="s">
        <v>21</v>
      </c>
      <c r="E242" s="7">
        <v>45957</v>
      </c>
      <c r="F242" s="29" t="s">
        <v>57</v>
      </c>
      <c r="G242">
        <v>4</v>
      </c>
      <c r="H242">
        <v>3999</v>
      </c>
      <c r="I242" s="29" t="s">
        <v>84</v>
      </c>
      <c r="J242">
        <v>15996</v>
      </c>
    </row>
    <row r="243" spans="2:10" x14ac:dyDescent="0.25">
      <c r="B243" s="29" t="s">
        <v>339</v>
      </c>
      <c r="C243" s="29" t="s">
        <v>1009</v>
      </c>
      <c r="D243" s="29" t="s">
        <v>14</v>
      </c>
      <c r="E243" s="7">
        <v>45706</v>
      </c>
      <c r="F243" s="29" t="s">
        <v>57</v>
      </c>
      <c r="G243">
        <v>1</v>
      </c>
      <c r="H243">
        <v>2604</v>
      </c>
      <c r="I243" s="29" t="s">
        <v>76</v>
      </c>
      <c r="J243">
        <v>2604</v>
      </c>
    </row>
    <row r="244" spans="2:10" x14ac:dyDescent="0.25">
      <c r="B244" s="29" t="s">
        <v>340</v>
      </c>
      <c r="C244" s="29" t="s">
        <v>1005</v>
      </c>
      <c r="D244" s="29" t="s">
        <v>21</v>
      </c>
      <c r="E244" s="7">
        <v>45973</v>
      </c>
      <c r="F244" s="29" t="s">
        <v>58</v>
      </c>
      <c r="G244">
        <v>6</v>
      </c>
      <c r="H244">
        <v>3707</v>
      </c>
      <c r="I244" s="29" t="s">
        <v>84</v>
      </c>
      <c r="J244">
        <v>22242</v>
      </c>
    </row>
    <row r="245" spans="2:10" x14ac:dyDescent="0.25">
      <c r="B245" s="29" t="s">
        <v>341</v>
      </c>
      <c r="C245" s="29" t="s">
        <v>1004</v>
      </c>
      <c r="D245" s="29" t="s">
        <v>21</v>
      </c>
      <c r="E245" s="7">
        <v>45690</v>
      </c>
      <c r="F245" s="29" t="s">
        <v>57</v>
      </c>
      <c r="G245">
        <v>9</v>
      </c>
      <c r="H245">
        <v>3001</v>
      </c>
      <c r="I245" s="29" t="s">
        <v>76</v>
      </c>
      <c r="J245">
        <v>27009</v>
      </c>
    </row>
    <row r="246" spans="2:10" x14ac:dyDescent="0.25">
      <c r="B246" s="29" t="s">
        <v>342</v>
      </c>
      <c r="C246" s="29" t="s">
        <v>1021</v>
      </c>
      <c r="D246" s="29" t="s">
        <v>23</v>
      </c>
      <c r="E246" s="7">
        <v>45904</v>
      </c>
      <c r="F246" s="29" t="s">
        <v>58</v>
      </c>
      <c r="G246">
        <v>7</v>
      </c>
      <c r="H246">
        <v>2483</v>
      </c>
      <c r="I246" s="29" t="s">
        <v>1058</v>
      </c>
      <c r="J246">
        <v>17381</v>
      </c>
    </row>
    <row r="247" spans="2:10" x14ac:dyDescent="0.25">
      <c r="B247" s="29" t="s">
        <v>343</v>
      </c>
      <c r="C247" s="29" t="s">
        <v>1022</v>
      </c>
      <c r="D247" s="29" t="s">
        <v>14</v>
      </c>
      <c r="E247" s="7">
        <v>45737</v>
      </c>
      <c r="F247" s="29" t="s">
        <v>57</v>
      </c>
      <c r="G247">
        <v>9</v>
      </c>
      <c r="H247">
        <v>2983</v>
      </c>
      <c r="I247" s="29" t="s">
        <v>76</v>
      </c>
      <c r="J247">
        <v>26847</v>
      </c>
    </row>
    <row r="248" spans="2:10" x14ac:dyDescent="0.25">
      <c r="B248" s="29" t="s">
        <v>344</v>
      </c>
      <c r="C248" s="29" t="s">
        <v>1007</v>
      </c>
      <c r="D248" s="29" t="s">
        <v>21</v>
      </c>
      <c r="E248" s="7">
        <v>45683</v>
      </c>
      <c r="F248" s="29" t="s">
        <v>57</v>
      </c>
      <c r="G248">
        <v>8</v>
      </c>
      <c r="H248">
        <v>1671</v>
      </c>
      <c r="I248" s="29" t="s">
        <v>76</v>
      </c>
      <c r="J248">
        <v>13368</v>
      </c>
    </row>
    <row r="249" spans="2:10" x14ac:dyDescent="0.25">
      <c r="B249" s="29" t="s">
        <v>345</v>
      </c>
      <c r="C249" s="29" t="s">
        <v>1018</v>
      </c>
      <c r="D249" s="29" t="s">
        <v>23</v>
      </c>
      <c r="E249" s="7">
        <v>45752</v>
      </c>
      <c r="F249" s="29" t="s">
        <v>58</v>
      </c>
      <c r="G249">
        <v>7</v>
      </c>
      <c r="H249">
        <v>4514</v>
      </c>
      <c r="I249" s="29" t="s">
        <v>84</v>
      </c>
      <c r="J249">
        <v>31598</v>
      </c>
    </row>
    <row r="250" spans="2:10" x14ac:dyDescent="0.25">
      <c r="B250" s="29" t="s">
        <v>346</v>
      </c>
      <c r="C250" s="29" t="s">
        <v>1006</v>
      </c>
      <c r="D250" s="29" t="s">
        <v>11</v>
      </c>
      <c r="E250" s="7">
        <v>45987</v>
      </c>
      <c r="F250" s="29" t="s">
        <v>57</v>
      </c>
      <c r="G250">
        <v>9</v>
      </c>
      <c r="H250">
        <v>3858</v>
      </c>
      <c r="I250" s="29" t="s">
        <v>84</v>
      </c>
      <c r="J250">
        <v>34722</v>
      </c>
    </row>
    <row r="251" spans="2:10" x14ac:dyDescent="0.25">
      <c r="B251" s="29" t="s">
        <v>347</v>
      </c>
      <c r="C251" s="29" t="s">
        <v>1021</v>
      </c>
      <c r="D251" s="29" t="s">
        <v>17</v>
      </c>
      <c r="E251" s="7">
        <v>45749</v>
      </c>
      <c r="F251" s="29" t="s">
        <v>57</v>
      </c>
      <c r="G251">
        <v>2</v>
      </c>
      <c r="H251">
        <v>843</v>
      </c>
      <c r="I251" s="29" t="s">
        <v>84</v>
      </c>
      <c r="J251">
        <v>1686</v>
      </c>
    </row>
    <row r="252" spans="2:10" x14ac:dyDescent="0.25">
      <c r="B252" s="29" t="s">
        <v>348</v>
      </c>
      <c r="C252" s="29" t="s">
        <v>1006</v>
      </c>
      <c r="D252" s="29" t="s">
        <v>27</v>
      </c>
      <c r="E252" s="7">
        <v>45761</v>
      </c>
      <c r="F252" s="29" t="s">
        <v>58</v>
      </c>
      <c r="G252">
        <v>5</v>
      </c>
      <c r="H252">
        <v>2915</v>
      </c>
      <c r="I252" s="29" t="s">
        <v>76</v>
      </c>
      <c r="J252">
        <v>14575</v>
      </c>
    </row>
    <row r="253" spans="2:10" x14ac:dyDescent="0.25">
      <c r="B253" s="29" t="s">
        <v>349</v>
      </c>
      <c r="C253" s="29" t="s">
        <v>1017</v>
      </c>
      <c r="D253" s="29" t="s">
        <v>27</v>
      </c>
      <c r="E253" s="7">
        <v>45914</v>
      </c>
      <c r="F253" s="29" t="s">
        <v>57</v>
      </c>
      <c r="G253">
        <v>4</v>
      </c>
      <c r="H253">
        <v>1407</v>
      </c>
      <c r="I253" s="29" t="s">
        <v>84</v>
      </c>
      <c r="J253">
        <v>5628</v>
      </c>
    </row>
    <row r="254" spans="2:10" x14ac:dyDescent="0.25">
      <c r="B254" s="29" t="s">
        <v>350</v>
      </c>
      <c r="C254" s="29" t="s">
        <v>1004</v>
      </c>
      <c r="D254" s="29" t="s">
        <v>27</v>
      </c>
      <c r="E254" s="7">
        <v>45939</v>
      </c>
      <c r="F254" s="29" t="s">
        <v>58</v>
      </c>
      <c r="G254">
        <v>2</v>
      </c>
      <c r="H254">
        <v>3921</v>
      </c>
      <c r="I254" s="29" t="s">
        <v>84</v>
      </c>
      <c r="J254">
        <v>7842</v>
      </c>
    </row>
    <row r="255" spans="2:10" x14ac:dyDescent="0.25">
      <c r="B255" s="29" t="s">
        <v>351</v>
      </c>
      <c r="C255" s="29" t="s">
        <v>1010</v>
      </c>
      <c r="D255" s="29" t="s">
        <v>17</v>
      </c>
      <c r="E255" s="7">
        <v>45707</v>
      </c>
      <c r="F255" s="29" t="s">
        <v>58</v>
      </c>
      <c r="G255">
        <v>4</v>
      </c>
      <c r="H255">
        <v>1945</v>
      </c>
      <c r="I255" s="29" t="s">
        <v>84</v>
      </c>
      <c r="J255">
        <v>7780</v>
      </c>
    </row>
    <row r="256" spans="2:10" x14ac:dyDescent="0.25">
      <c r="B256" s="29" t="s">
        <v>352</v>
      </c>
      <c r="C256" s="29" t="s">
        <v>1022</v>
      </c>
      <c r="D256" s="29" t="s">
        <v>19</v>
      </c>
      <c r="E256" s="7">
        <v>45723</v>
      </c>
      <c r="F256" s="29" t="s">
        <v>57</v>
      </c>
      <c r="G256">
        <v>10</v>
      </c>
      <c r="H256">
        <v>3236</v>
      </c>
      <c r="I256" s="29" t="s">
        <v>76</v>
      </c>
      <c r="J256">
        <v>32360</v>
      </c>
    </row>
    <row r="257" spans="2:10" x14ac:dyDescent="0.25">
      <c r="B257" s="29" t="s">
        <v>353</v>
      </c>
      <c r="C257" s="29" t="s">
        <v>1010</v>
      </c>
      <c r="D257" s="29" t="s">
        <v>27</v>
      </c>
      <c r="E257" s="7">
        <v>45720</v>
      </c>
      <c r="F257" s="29" t="s">
        <v>57</v>
      </c>
      <c r="G257">
        <v>10</v>
      </c>
      <c r="H257">
        <v>4421</v>
      </c>
      <c r="I257" s="29" t="s">
        <v>84</v>
      </c>
      <c r="J257">
        <v>44210</v>
      </c>
    </row>
    <row r="258" spans="2:10" x14ac:dyDescent="0.25">
      <c r="B258" s="29" t="s">
        <v>354</v>
      </c>
      <c r="C258" s="29" t="s">
        <v>1005</v>
      </c>
      <c r="D258" s="29" t="s">
        <v>21</v>
      </c>
      <c r="E258" s="7">
        <v>45788</v>
      </c>
      <c r="F258" s="29" t="s">
        <v>58</v>
      </c>
      <c r="G258">
        <v>10</v>
      </c>
      <c r="H258">
        <v>3449</v>
      </c>
      <c r="I258" s="29" t="s">
        <v>1058</v>
      </c>
      <c r="J258">
        <v>34490</v>
      </c>
    </row>
    <row r="259" spans="2:10" x14ac:dyDescent="0.25">
      <c r="B259" s="29" t="s">
        <v>355</v>
      </c>
      <c r="C259" s="29" t="s">
        <v>1014</v>
      </c>
      <c r="D259" s="29" t="s">
        <v>23</v>
      </c>
      <c r="E259" s="7">
        <v>45732</v>
      </c>
      <c r="F259" s="29" t="s">
        <v>58</v>
      </c>
      <c r="G259">
        <v>8</v>
      </c>
      <c r="H259">
        <v>2084</v>
      </c>
      <c r="I259" s="29" t="s">
        <v>1058</v>
      </c>
      <c r="J259">
        <v>16672</v>
      </c>
    </row>
    <row r="260" spans="2:10" x14ac:dyDescent="0.25">
      <c r="B260" s="29" t="s">
        <v>356</v>
      </c>
      <c r="C260" s="29" t="s">
        <v>1022</v>
      </c>
      <c r="D260" s="29" t="s">
        <v>27</v>
      </c>
      <c r="E260" s="7">
        <v>45813</v>
      </c>
      <c r="F260" s="29" t="s">
        <v>57</v>
      </c>
      <c r="G260">
        <v>6</v>
      </c>
      <c r="H260">
        <v>3412</v>
      </c>
      <c r="I260" s="29" t="s">
        <v>76</v>
      </c>
      <c r="J260">
        <v>20472</v>
      </c>
    </row>
    <row r="261" spans="2:10" x14ac:dyDescent="0.25">
      <c r="B261" s="29" t="s">
        <v>357</v>
      </c>
      <c r="C261" s="29" t="s">
        <v>1007</v>
      </c>
      <c r="D261" s="29" t="s">
        <v>19</v>
      </c>
      <c r="E261" s="7">
        <v>45779</v>
      </c>
      <c r="F261" s="29" t="s">
        <v>57</v>
      </c>
      <c r="G261">
        <v>9</v>
      </c>
      <c r="H261">
        <v>4371</v>
      </c>
      <c r="I261" s="29" t="s">
        <v>76</v>
      </c>
      <c r="J261">
        <v>39339</v>
      </c>
    </row>
    <row r="262" spans="2:10" x14ac:dyDescent="0.25">
      <c r="B262" s="29" t="s">
        <v>358</v>
      </c>
      <c r="C262" s="29" t="s">
        <v>1007</v>
      </c>
      <c r="D262" s="29" t="s">
        <v>19</v>
      </c>
      <c r="E262" s="7">
        <v>45662</v>
      </c>
      <c r="F262" s="29" t="s">
        <v>58</v>
      </c>
      <c r="G262">
        <v>5</v>
      </c>
      <c r="H262">
        <v>3223</v>
      </c>
      <c r="I262" s="29" t="s">
        <v>84</v>
      </c>
      <c r="J262">
        <v>16115</v>
      </c>
    </row>
    <row r="263" spans="2:10" x14ac:dyDescent="0.25">
      <c r="B263" s="29" t="s">
        <v>359</v>
      </c>
      <c r="C263" s="29" t="s">
        <v>1019</v>
      </c>
      <c r="D263" s="29" t="s">
        <v>27</v>
      </c>
      <c r="E263" s="7">
        <v>45770</v>
      </c>
      <c r="F263" s="29" t="s">
        <v>58</v>
      </c>
      <c r="G263">
        <v>6</v>
      </c>
      <c r="H263">
        <v>2040</v>
      </c>
      <c r="I263" s="29" t="s">
        <v>1058</v>
      </c>
      <c r="J263">
        <v>12240</v>
      </c>
    </row>
    <row r="264" spans="2:10" x14ac:dyDescent="0.25">
      <c r="B264" s="29" t="s">
        <v>360</v>
      </c>
      <c r="C264" s="29" t="s">
        <v>1009</v>
      </c>
      <c r="D264" s="29" t="s">
        <v>14</v>
      </c>
      <c r="E264" s="7">
        <v>45938</v>
      </c>
      <c r="F264" s="29" t="s">
        <v>58</v>
      </c>
      <c r="G264">
        <v>6</v>
      </c>
      <c r="H264">
        <v>4222</v>
      </c>
      <c r="I264" s="29" t="s">
        <v>84</v>
      </c>
      <c r="J264">
        <v>25332</v>
      </c>
    </row>
    <row r="265" spans="2:10" x14ac:dyDescent="0.25">
      <c r="B265" s="29" t="s">
        <v>361</v>
      </c>
      <c r="C265" s="29" t="s">
        <v>1018</v>
      </c>
      <c r="D265" s="29" t="s">
        <v>14</v>
      </c>
      <c r="E265" s="7">
        <v>45939</v>
      </c>
      <c r="F265" s="29" t="s">
        <v>58</v>
      </c>
      <c r="G265">
        <v>4</v>
      </c>
      <c r="H265">
        <v>2037</v>
      </c>
      <c r="I265" s="29" t="s">
        <v>1058</v>
      </c>
      <c r="J265">
        <v>8148</v>
      </c>
    </row>
    <row r="266" spans="2:10" x14ac:dyDescent="0.25">
      <c r="B266" s="29" t="s">
        <v>362</v>
      </c>
      <c r="C266" s="29" t="s">
        <v>1012</v>
      </c>
      <c r="D266" s="29" t="s">
        <v>19</v>
      </c>
      <c r="E266" s="7">
        <v>45887</v>
      </c>
      <c r="F266" s="29" t="s">
        <v>57</v>
      </c>
      <c r="G266">
        <v>1</v>
      </c>
      <c r="H266">
        <v>4018</v>
      </c>
      <c r="I266" s="29" t="s">
        <v>84</v>
      </c>
      <c r="J266">
        <v>4018</v>
      </c>
    </row>
    <row r="267" spans="2:10" x14ac:dyDescent="0.25">
      <c r="B267" s="29" t="s">
        <v>363</v>
      </c>
      <c r="C267" s="29" t="s">
        <v>1018</v>
      </c>
      <c r="D267" s="29" t="s">
        <v>14</v>
      </c>
      <c r="E267" s="7">
        <v>46002</v>
      </c>
      <c r="F267" s="29" t="s">
        <v>58</v>
      </c>
      <c r="G267">
        <v>1</v>
      </c>
      <c r="H267">
        <v>2591</v>
      </c>
      <c r="I267" s="29" t="s">
        <v>1058</v>
      </c>
      <c r="J267">
        <v>2591</v>
      </c>
    </row>
    <row r="268" spans="2:10" x14ac:dyDescent="0.25">
      <c r="B268" s="29" t="s">
        <v>364</v>
      </c>
      <c r="C268" s="29" t="s">
        <v>1013</v>
      </c>
      <c r="D268" s="29" t="s">
        <v>27</v>
      </c>
      <c r="E268" s="7">
        <v>45918</v>
      </c>
      <c r="F268" s="29" t="s">
        <v>58</v>
      </c>
      <c r="G268">
        <v>3</v>
      </c>
      <c r="H268">
        <v>1463</v>
      </c>
      <c r="I268" s="29" t="s">
        <v>1058</v>
      </c>
      <c r="J268">
        <v>4389</v>
      </c>
    </row>
    <row r="269" spans="2:10" x14ac:dyDescent="0.25">
      <c r="B269" s="29" t="s">
        <v>365</v>
      </c>
      <c r="C269" s="29" t="s">
        <v>1016</v>
      </c>
      <c r="D269" s="29" t="s">
        <v>11</v>
      </c>
      <c r="E269" s="7">
        <v>45715</v>
      </c>
      <c r="F269" s="29" t="s">
        <v>57</v>
      </c>
      <c r="G269">
        <v>7</v>
      </c>
      <c r="H269">
        <v>3177</v>
      </c>
      <c r="I269" s="29" t="s">
        <v>84</v>
      </c>
      <c r="J269">
        <v>22239</v>
      </c>
    </row>
    <row r="270" spans="2:10" x14ac:dyDescent="0.25">
      <c r="B270" s="29" t="s">
        <v>366</v>
      </c>
      <c r="C270" s="29" t="s">
        <v>1012</v>
      </c>
      <c r="D270" s="29" t="s">
        <v>19</v>
      </c>
      <c r="E270" s="7">
        <v>45894</v>
      </c>
      <c r="F270" s="29" t="s">
        <v>57</v>
      </c>
      <c r="G270">
        <v>9</v>
      </c>
      <c r="H270">
        <v>1634</v>
      </c>
      <c r="I270" s="29" t="s">
        <v>1058</v>
      </c>
      <c r="J270">
        <v>14706</v>
      </c>
    </row>
    <row r="271" spans="2:10" x14ac:dyDescent="0.25">
      <c r="B271" s="29" t="s">
        <v>367</v>
      </c>
      <c r="C271" s="29" t="s">
        <v>1021</v>
      </c>
      <c r="D271" s="29" t="s">
        <v>19</v>
      </c>
      <c r="E271" s="7">
        <v>46001</v>
      </c>
      <c r="F271" s="29" t="s">
        <v>57</v>
      </c>
      <c r="G271">
        <v>6</v>
      </c>
      <c r="H271">
        <v>4514</v>
      </c>
      <c r="I271" s="29" t="s">
        <v>76</v>
      </c>
      <c r="J271">
        <v>27084</v>
      </c>
    </row>
    <row r="272" spans="2:10" x14ac:dyDescent="0.25">
      <c r="B272" s="29" t="s">
        <v>368</v>
      </c>
      <c r="C272" s="29" t="s">
        <v>1021</v>
      </c>
      <c r="D272" s="29" t="s">
        <v>27</v>
      </c>
      <c r="E272" s="7">
        <v>45665</v>
      </c>
      <c r="F272" s="29" t="s">
        <v>58</v>
      </c>
      <c r="G272">
        <v>9</v>
      </c>
      <c r="H272">
        <v>894</v>
      </c>
      <c r="I272" s="29" t="s">
        <v>76</v>
      </c>
      <c r="J272">
        <v>8046</v>
      </c>
    </row>
    <row r="273" spans="2:10" x14ac:dyDescent="0.25">
      <c r="B273" s="29" t="s">
        <v>369</v>
      </c>
      <c r="C273" s="29" t="s">
        <v>1011</v>
      </c>
      <c r="D273" s="29" t="s">
        <v>23</v>
      </c>
      <c r="E273" s="7">
        <v>45717</v>
      </c>
      <c r="F273" s="29" t="s">
        <v>57</v>
      </c>
      <c r="G273">
        <v>2</v>
      </c>
      <c r="H273">
        <v>3588</v>
      </c>
      <c r="I273" s="29" t="s">
        <v>1058</v>
      </c>
      <c r="J273">
        <v>7176</v>
      </c>
    </row>
    <row r="274" spans="2:10" x14ac:dyDescent="0.25">
      <c r="B274" s="29" t="s">
        <v>370</v>
      </c>
      <c r="C274" s="29" t="s">
        <v>1008</v>
      </c>
      <c r="D274" s="29" t="s">
        <v>11</v>
      </c>
      <c r="E274" s="7">
        <v>45956</v>
      </c>
      <c r="F274" s="29" t="s">
        <v>57</v>
      </c>
      <c r="G274">
        <v>3</v>
      </c>
      <c r="H274">
        <v>1829</v>
      </c>
      <c r="I274" s="29" t="s">
        <v>1058</v>
      </c>
      <c r="J274">
        <v>5487</v>
      </c>
    </row>
    <row r="275" spans="2:10" x14ac:dyDescent="0.25">
      <c r="B275" s="29" t="s">
        <v>371</v>
      </c>
      <c r="C275" s="29" t="s">
        <v>1022</v>
      </c>
      <c r="D275" s="29" t="s">
        <v>19</v>
      </c>
      <c r="E275" s="7">
        <v>45982</v>
      </c>
      <c r="F275" s="29" t="s">
        <v>57</v>
      </c>
      <c r="G275">
        <v>3</v>
      </c>
      <c r="H275">
        <v>3608</v>
      </c>
      <c r="I275" s="29" t="s">
        <v>84</v>
      </c>
      <c r="J275">
        <v>10824</v>
      </c>
    </row>
    <row r="276" spans="2:10" x14ac:dyDescent="0.25">
      <c r="B276" s="29" t="s">
        <v>372</v>
      </c>
      <c r="C276" s="29" t="s">
        <v>1016</v>
      </c>
      <c r="D276" s="29" t="s">
        <v>14</v>
      </c>
      <c r="E276" s="7">
        <v>45753</v>
      </c>
      <c r="F276" s="29" t="s">
        <v>58</v>
      </c>
      <c r="G276">
        <v>7</v>
      </c>
      <c r="H276">
        <v>3293</v>
      </c>
      <c r="I276" s="29" t="s">
        <v>1058</v>
      </c>
      <c r="J276">
        <v>23051</v>
      </c>
    </row>
    <row r="277" spans="2:10" x14ac:dyDescent="0.25">
      <c r="B277" s="29" t="s">
        <v>373</v>
      </c>
      <c r="C277" s="29" t="s">
        <v>1009</v>
      </c>
      <c r="D277" s="29" t="s">
        <v>17</v>
      </c>
      <c r="E277" s="7">
        <v>45822</v>
      </c>
      <c r="F277" s="29" t="s">
        <v>58</v>
      </c>
      <c r="G277">
        <v>10</v>
      </c>
      <c r="H277">
        <v>4049</v>
      </c>
      <c r="I277" s="29" t="s">
        <v>84</v>
      </c>
      <c r="J277">
        <v>40490</v>
      </c>
    </row>
    <row r="278" spans="2:10" x14ac:dyDescent="0.25">
      <c r="B278" s="29" t="s">
        <v>374</v>
      </c>
      <c r="C278" s="29" t="s">
        <v>1018</v>
      </c>
      <c r="D278" s="29" t="s">
        <v>14</v>
      </c>
      <c r="E278" s="7">
        <v>45952</v>
      </c>
      <c r="F278" s="29" t="s">
        <v>57</v>
      </c>
      <c r="G278">
        <v>6</v>
      </c>
      <c r="H278">
        <v>401</v>
      </c>
      <c r="I278" s="29" t="s">
        <v>76</v>
      </c>
      <c r="J278">
        <v>2406</v>
      </c>
    </row>
    <row r="279" spans="2:10" x14ac:dyDescent="0.25">
      <c r="B279" s="29" t="s">
        <v>375</v>
      </c>
      <c r="C279" s="29" t="s">
        <v>1005</v>
      </c>
      <c r="D279" s="29" t="s">
        <v>27</v>
      </c>
      <c r="E279" s="7">
        <v>45824</v>
      </c>
      <c r="F279" s="29" t="s">
        <v>58</v>
      </c>
      <c r="G279">
        <v>6</v>
      </c>
      <c r="H279">
        <v>650</v>
      </c>
      <c r="I279" s="29" t="s">
        <v>76</v>
      </c>
      <c r="J279">
        <v>3900</v>
      </c>
    </row>
    <row r="280" spans="2:10" x14ac:dyDescent="0.25">
      <c r="B280" s="29" t="s">
        <v>376</v>
      </c>
      <c r="C280" s="29" t="s">
        <v>1014</v>
      </c>
      <c r="D280" s="29" t="s">
        <v>14</v>
      </c>
      <c r="E280" s="7">
        <v>45730</v>
      </c>
      <c r="F280" s="29" t="s">
        <v>58</v>
      </c>
      <c r="G280">
        <v>10</v>
      </c>
      <c r="H280">
        <v>4458</v>
      </c>
      <c r="I280" s="29" t="s">
        <v>1058</v>
      </c>
      <c r="J280">
        <v>44580</v>
      </c>
    </row>
    <row r="281" spans="2:10" x14ac:dyDescent="0.25">
      <c r="B281" s="29" t="s">
        <v>377</v>
      </c>
      <c r="C281" s="29" t="s">
        <v>1004</v>
      </c>
      <c r="D281" s="29" t="s">
        <v>14</v>
      </c>
      <c r="E281" s="7">
        <v>45882</v>
      </c>
      <c r="F281" s="29" t="s">
        <v>57</v>
      </c>
      <c r="G281">
        <v>6</v>
      </c>
      <c r="H281">
        <v>357</v>
      </c>
      <c r="I281" s="29" t="s">
        <v>84</v>
      </c>
      <c r="J281">
        <v>2142</v>
      </c>
    </row>
    <row r="282" spans="2:10" x14ac:dyDescent="0.25">
      <c r="B282" s="29" t="s">
        <v>378</v>
      </c>
      <c r="C282" s="29" t="s">
        <v>1005</v>
      </c>
      <c r="D282" s="29" t="s">
        <v>21</v>
      </c>
      <c r="E282" s="7">
        <v>45760</v>
      </c>
      <c r="F282" s="29" t="s">
        <v>58</v>
      </c>
      <c r="G282">
        <v>10</v>
      </c>
      <c r="H282">
        <v>3109</v>
      </c>
      <c r="I282" s="29" t="s">
        <v>76</v>
      </c>
      <c r="J282">
        <v>31090</v>
      </c>
    </row>
    <row r="283" spans="2:10" x14ac:dyDescent="0.25">
      <c r="B283" s="29" t="s">
        <v>379</v>
      </c>
      <c r="C283" s="29" t="s">
        <v>1022</v>
      </c>
      <c r="D283" s="29" t="s">
        <v>23</v>
      </c>
      <c r="E283" s="7">
        <v>45741</v>
      </c>
      <c r="F283" s="29" t="s">
        <v>58</v>
      </c>
      <c r="G283">
        <v>8</v>
      </c>
      <c r="H283">
        <v>1400</v>
      </c>
      <c r="I283" s="29" t="s">
        <v>1058</v>
      </c>
      <c r="J283">
        <v>11200</v>
      </c>
    </row>
    <row r="284" spans="2:10" x14ac:dyDescent="0.25">
      <c r="B284" s="29" t="s">
        <v>380</v>
      </c>
      <c r="C284" s="29" t="s">
        <v>1021</v>
      </c>
      <c r="D284" s="29" t="s">
        <v>23</v>
      </c>
      <c r="E284" s="7">
        <v>45780</v>
      </c>
      <c r="F284" s="29" t="s">
        <v>57</v>
      </c>
      <c r="G284">
        <v>1</v>
      </c>
      <c r="H284">
        <v>186</v>
      </c>
      <c r="I284" s="29" t="s">
        <v>76</v>
      </c>
      <c r="J284">
        <v>186</v>
      </c>
    </row>
    <row r="285" spans="2:10" x14ac:dyDescent="0.25">
      <c r="B285" s="29" t="s">
        <v>381</v>
      </c>
      <c r="C285" s="29" t="s">
        <v>1019</v>
      </c>
      <c r="D285" s="29" t="s">
        <v>14</v>
      </c>
      <c r="E285" s="7">
        <v>45834</v>
      </c>
      <c r="F285" s="29" t="s">
        <v>58</v>
      </c>
      <c r="G285">
        <v>2</v>
      </c>
      <c r="H285">
        <v>3253</v>
      </c>
      <c r="I285" s="29" t="s">
        <v>76</v>
      </c>
      <c r="J285">
        <v>6506</v>
      </c>
    </row>
    <row r="286" spans="2:10" x14ac:dyDescent="0.25">
      <c r="B286" s="29" t="s">
        <v>382</v>
      </c>
      <c r="C286" s="29" t="s">
        <v>1018</v>
      </c>
      <c r="D286" s="29" t="s">
        <v>27</v>
      </c>
      <c r="E286" s="7">
        <v>45962</v>
      </c>
      <c r="F286" s="29" t="s">
        <v>58</v>
      </c>
      <c r="G286">
        <v>9</v>
      </c>
      <c r="H286">
        <v>768</v>
      </c>
      <c r="I286" s="29" t="s">
        <v>84</v>
      </c>
      <c r="J286">
        <v>6912</v>
      </c>
    </row>
    <row r="287" spans="2:10" x14ac:dyDescent="0.25">
      <c r="B287" s="29" t="s">
        <v>383</v>
      </c>
      <c r="C287" s="29" t="s">
        <v>1020</v>
      </c>
      <c r="D287" s="29" t="s">
        <v>23</v>
      </c>
      <c r="E287" s="7">
        <v>45982</v>
      </c>
      <c r="F287" s="29" t="s">
        <v>57</v>
      </c>
      <c r="G287">
        <v>10</v>
      </c>
      <c r="H287">
        <v>1655</v>
      </c>
      <c r="I287" s="29" t="s">
        <v>76</v>
      </c>
      <c r="J287">
        <v>16550</v>
      </c>
    </row>
    <row r="288" spans="2:10" x14ac:dyDescent="0.25">
      <c r="B288" s="29" t="s">
        <v>384</v>
      </c>
      <c r="C288" s="29" t="s">
        <v>1018</v>
      </c>
      <c r="D288" s="29" t="s">
        <v>27</v>
      </c>
      <c r="E288" s="7">
        <v>45842</v>
      </c>
      <c r="F288" s="29" t="s">
        <v>58</v>
      </c>
      <c r="G288">
        <v>2</v>
      </c>
      <c r="H288">
        <v>1217</v>
      </c>
      <c r="I288" s="29" t="s">
        <v>84</v>
      </c>
      <c r="J288">
        <v>2434</v>
      </c>
    </row>
    <row r="289" spans="2:10" x14ac:dyDescent="0.25">
      <c r="B289" s="29" t="s">
        <v>385</v>
      </c>
      <c r="C289" s="29" t="s">
        <v>1008</v>
      </c>
      <c r="D289" s="29" t="s">
        <v>17</v>
      </c>
      <c r="E289" s="7">
        <v>45833</v>
      </c>
      <c r="F289" s="29" t="s">
        <v>57</v>
      </c>
      <c r="G289">
        <v>10</v>
      </c>
      <c r="H289">
        <v>3553</v>
      </c>
      <c r="I289" s="29" t="s">
        <v>84</v>
      </c>
      <c r="J289">
        <v>35530</v>
      </c>
    </row>
    <row r="290" spans="2:10" x14ac:dyDescent="0.25">
      <c r="B290" s="29" t="s">
        <v>386</v>
      </c>
      <c r="C290" s="29" t="s">
        <v>1018</v>
      </c>
      <c r="D290" s="29" t="s">
        <v>14</v>
      </c>
      <c r="E290" s="7">
        <v>45762</v>
      </c>
      <c r="F290" s="29" t="s">
        <v>58</v>
      </c>
      <c r="G290">
        <v>4</v>
      </c>
      <c r="H290">
        <v>4120</v>
      </c>
      <c r="I290" s="29" t="s">
        <v>1058</v>
      </c>
      <c r="J290">
        <v>16480</v>
      </c>
    </row>
    <row r="291" spans="2:10" x14ac:dyDescent="0.25">
      <c r="B291" s="29" t="s">
        <v>387</v>
      </c>
      <c r="C291" s="29" t="s">
        <v>1014</v>
      </c>
      <c r="D291" s="29" t="s">
        <v>21</v>
      </c>
      <c r="E291" s="7">
        <v>45719</v>
      </c>
      <c r="F291" s="29" t="s">
        <v>58</v>
      </c>
      <c r="G291">
        <v>7</v>
      </c>
      <c r="H291">
        <v>2194</v>
      </c>
      <c r="I291" s="29" t="s">
        <v>84</v>
      </c>
      <c r="J291">
        <v>15358</v>
      </c>
    </row>
    <row r="292" spans="2:10" x14ac:dyDescent="0.25">
      <c r="B292" s="29" t="s">
        <v>388</v>
      </c>
      <c r="C292" s="29" t="s">
        <v>1022</v>
      </c>
      <c r="D292" s="29" t="s">
        <v>17</v>
      </c>
      <c r="E292" s="7">
        <v>45764</v>
      </c>
      <c r="F292" s="29" t="s">
        <v>58</v>
      </c>
      <c r="G292">
        <v>7</v>
      </c>
      <c r="H292">
        <v>3349</v>
      </c>
      <c r="I292" s="29" t="s">
        <v>84</v>
      </c>
      <c r="J292">
        <v>23443</v>
      </c>
    </row>
    <row r="293" spans="2:10" x14ac:dyDescent="0.25">
      <c r="B293" s="29" t="s">
        <v>389</v>
      </c>
      <c r="C293" s="29" t="s">
        <v>1016</v>
      </c>
      <c r="D293" s="29" t="s">
        <v>14</v>
      </c>
      <c r="E293" s="7">
        <v>45789</v>
      </c>
      <c r="F293" s="29" t="s">
        <v>58</v>
      </c>
      <c r="G293">
        <v>3</v>
      </c>
      <c r="H293">
        <v>2034</v>
      </c>
      <c r="I293" s="29" t="s">
        <v>84</v>
      </c>
      <c r="J293">
        <v>6102</v>
      </c>
    </row>
    <row r="294" spans="2:10" x14ac:dyDescent="0.25">
      <c r="B294" s="29" t="s">
        <v>390</v>
      </c>
      <c r="C294" s="29" t="s">
        <v>1011</v>
      </c>
      <c r="D294" s="29" t="s">
        <v>11</v>
      </c>
      <c r="E294" s="7">
        <v>45715</v>
      </c>
      <c r="F294" s="29" t="s">
        <v>58</v>
      </c>
      <c r="G294">
        <v>9</v>
      </c>
      <c r="H294">
        <v>3981</v>
      </c>
      <c r="I294" s="29" t="s">
        <v>76</v>
      </c>
      <c r="J294">
        <v>35829</v>
      </c>
    </row>
    <row r="295" spans="2:10" x14ac:dyDescent="0.25">
      <c r="B295" s="29" t="s">
        <v>391</v>
      </c>
      <c r="C295" s="29" t="s">
        <v>1017</v>
      </c>
      <c r="D295" s="29" t="s">
        <v>17</v>
      </c>
      <c r="E295" s="7">
        <v>45902</v>
      </c>
      <c r="F295" s="29" t="s">
        <v>57</v>
      </c>
      <c r="G295">
        <v>1</v>
      </c>
      <c r="H295">
        <v>3794</v>
      </c>
      <c r="I295" s="29" t="s">
        <v>84</v>
      </c>
      <c r="J295">
        <v>3794</v>
      </c>
    </row>
    <row r="296" spans="2:10" x14ac:dyDescent="0.25">
      <c r="B296" s="29" t="s">
        <v>392</v>
      </c>
      <c r="C296" s="29" t="s">
        <v>1004</v>
      </c>
      <c r="D296" s="29" t="s">
        <v>21</v>
      </c>
      <c r="E296" s="7">
        <v>45791</v>
      </c>
      <c r="F296" s="29" t="s">
        <v>57</v>
      </c>
      <c r="G296">
        <v>8</v>
      </c>
      <c r="H296">
        <v>2378</v>
      </c>
      <c r="I296" s="29" t="s">
        <v>1058</v>
      </c>
      <c r="J296">
        <v>19024</v>
      </c>
    </row>
    <row r="297" spans="2:10" x14ac:dyDescent="0.25">
      <c r="B297" s="29" t="s">
        <v>393</v>
      </c>
      <c r="C297" s="29" t="s">
        <v>1019</v>
      </c>
      <c r="D297" s="29" t="s">
        <v>21</v>
      </c>
      <c r="E297" s="7">
        <v>45976</v>
      </c>
      <c r="F297" s="29" t="s">
        <v>58</v>
      </c>
      <c r="G297">
        <v>5</v>
      </c>
      <c r="H297">
        <v>4457</v>
      </c>
      <c r="I297" s="29" t="s">
        <v>76</v>
      </c>
      <c r="J297">
        <v>22285</v>
      </c>
    </row>
    <row r="298" spans="2:10" x14ac:dyDescent="0.25">
      <c r="B298" s="29" t="s">
        <v>394</v>
      </c>
      <c r="C298" s="29" t="s">
        <v>1010</v>
      </c>
      <c r="D298" s="29" t="s">
        <v>17</v>
      </c>
      <c r="E298" s="7">
        <v>46001</v>
      </c>
      <c r="F298" s="29" t="s">
        <v>57</v>
      </c>
      <c r="G298">
        <v>7</v>
      </c>
      <c r="H298">
        <v>1129</v>
      </c>
      <c r="I298" s="29" t="s">
        <v>84</v>
      </c>
      <c r="J298">
        <v>7903</v>
      </c>
    </row>
    <row r="299" spans="2:10" x14ac:dyDescent="0.25">
      <c r="B299" s="29" t="s">
        <v>395</v>
      </c>
      <c r="C299" s="29" t="s">
        <v>1013</v>
      </c>
      <c r="D299" s="29" t="s">
        <v>17</v>
      </c>
      <c r="E299" s="7">
        <v>45675</v>
      </c>
      <c r="F299" s="29" t="s">
        <v>58</v>
      </c>
      <c r="G299">
        <v>4</v>
      </c>
      <c r="H299">
        <v>2252</v>
      </c>
      <c r="I299" s="29" t="s">
        <v>1058</v>
      </c>
      <c r="J299">
        <v>9008</v>
      </c>
    </row>
    <row r="300" spans="2:10" x14ac:dyDescent="0.25">
      <c r="B300" s="29" t="s">
        <v>396</v>
      </c>
      <c r="C300" s="29" t="s">
        <v>1005</v>
      </c>
      <c r="D300" s="29" t="s">
        <v>21</v>
      </c>
      <c r="E300" s="7">
        <v>45773</v>
      </c>
      <c r="F300" s="29" t="s">
        <v>57</v>
      </c>
      <c r="G300">
        <v>9</v>
      </c>
      <c r="H300">
        <v>4065</v>
      </c>
      <c r="I300" s="29" t="s">
        <v>84</v>
      </c>
      <c r="J300">
        <v>36585</v>
      </c>
    </row>
    <row r="301" spans="2:10" x14ac:dyDescent="0.25">
      <c r="B301" s="29" t="s">
        <v>397</v>
      </c>
      <c r="C301" s="29" t="s">
        <v>1004</v>
      </c>
      <c r="D301" s="29" t="s">
        <v>19</v>
      </c>
      <c r="E301" s="7">
        <v>45846</v>
      </c>
      <c r="F301" s="29" t="s">
        <v>57</v>
      </c>
      <c r="G301">
        <v>7</v>
      </c>
      <c r="H301">
        <v>1637</v>
      </c>
      <c r="I301" s="29" t="s">
        <v>76</v>
      </c>
      <c r="J301">
        <v>11459</v>
      </c>
    </row>
    <row r="302" spans="2:10" x14ac:dyDescent="0.25">
      <c r="B302" s="29" t="s">
        <v>398</v>
      </c>
      <c r="C302" s="29" t="s">
        <v>1012</v>
      </c>
      <c r="D302" s="29" t="s">
        <v>21</v>
      </c>
      <c r="E302" s="7">
        <v>45891</v>
      </c>
      <c r="F302" s="29" t="s">
        <v>58</v>
      </c>
      <c r="G302">
        <v>10</v>
      </c>
      <c r="H302">
        <v>1323</v>
      </c>
      <c r="I302" s="29" t="s">
        <v>76</v>
      </c>
      <c r="J302">
        <v>13230</v>
      </c>
    </row>
    <row r="303" spans="2:10" x14ac:dyDescent="0.25">
      <c r="B303" s="29" t="s">
        <v>399</v>
      </c>
      <c r="C303" s="29" t="s">
        <v>1006</v>
      </c>
      <c r="D303" s="29" t="s">
        <v>21</v>
      </c>
      <c r="E303" s="7">
        <v>46014</v>
      </c>
      <c r="F303" s="29" t="s">
        <v>57</v>
      </c>
      <c r="G303">
        <v>9</v>
      </c>
      <c r="H303">
        <v>3330</v>
      </c>
      <c r="I303" s="29" t="s">
        <v>84</v>
      </c>
      <c r="J303">
        <v>29970</v>
      </c>
    </row>
    <row r="304" spans="2:10" x14ac:dyDescent="0.25">
      <c r="B304" s="29" t="s">
        <v>400</v>
      </c>
      <c r="C304" s="29" t="s">
        <v>1012</v>
      </c>
      <c r="D304" s="29" t="s">
        <v>19</v>
      </c>
      <c r="E304" s="7">
        <v>45954</v>
      </c>
      <c r="F304" s="29" t="s">
        <v>57</v>
      </c>
      <c r="G304">
        <v>1</v>
      </c>
      <c r="H304">
        <v>4206</v>
      </c>
      <c r="I304" s="29" t="s">
        <v>84</v>
      </c>
      <c r="J304">
        <v>4206</v>
      </c>
    </row>
    <row r="305" spans="2:10" x14ac:dyDescent="0.25">
      <c r="B305" s="29" t="s">
        <v>401</v>
      </c>
      <c r="C305" s="29" t="s">
        <v>1012</v>
      </c>
      <c r="D305" s="29" t="s">
        <v>17</v>
      </c>
      <c r="E305" s="7">
        <v>45708</v>
      </c>
      <c r="F305" s="29" t="s">
        <v>58</v>
      </c>
      <c r="G305">
        <v>4</v>
      </c>
      <c r="H305">
        <v>4315</v>
      </c>
      <c r="I305" s="29" t="s">
        <v>76</v>
      </c>
      <c r="J305">
        <v>17260</v>
      </c>
    </row>
    <row r="306" spans="2:10" x14ac:dyDescent="0.25">
      <c r="B306" s="29" t="s">
        <v>402</v>
      </c>
      <c r="C306" s="29" t="s">
        <v>1014</v>
      </c>
      <c r="D306" s="29" t="s">
        <v>11</v>
      </c>
      <c r="E306" s="7">
        <v>45906</v>
      </c>
      <c r="F306" s="29" t="s">
        <v>58</v>
      </c>
      <c r="G306">
        <v>2</v>
      </c>
      <c r="H306">
        <v>360</v>
      </c>
      <c r="I306" s="29" t="s">
        <v>76</v>
      </c>
      <c r="J306">
        <v>720</v>
      </c>
    </row>
    <row r="307" spans="2:10" x14ac:dyDescent="0.25">
      <c r="B307" s="29" t="s">
        <v>403</v>
      </c>
      <c r="C307" s="29" t="s">
        <v>1009</v>
      </c>
      <c r="D307" s="29" t="s">
        <v>23</v>
      </c>
      <c r="E307" s="7">
        <v>45676</v>
      </c>
      <c r="F307" s="29" t="s">
        <v>57</v>
      </c>
      <c r="G307">
        <v>10</v>
      </c>
      <c r="H307">
        <v>2822</v>
      </c>
      <c r="I307" s="29" t="s">
        <v>84</v>
      </c>
      <c r="J307">
        <v>28220</v>
      </c>
    </row>
    <row r="308" spans="2:10" x14ac:dyDescent="0.25">
      <c r="B308" s="29" t="s">
        <v>404</v>
      </c>
      <c r="C308" s="29" t="s">
        <v>1022</v>
      </c>
      <c r="D308" s="29" t="s">
        <v>19</v>
      </c>
      <c r="E308" s="7">
        <v>45847</v>
      </c>
      <c r="F308" s="29" t="s">
        <v>57</v>
      </c>
      <c r="G308">
        <v>8</v>
      </c>
      <c r="H308">
        <v>3580</v>
      </c>
      <c r="I308" s="29" t="s">
        <v>76</v>
      </c>
      <c r="J308">
        <v>28640</v>
      </c>
    </row>
    <row r="309" spans="2:10" x14ac:dyDescent="0.25">
      <c r="B309" s="29" t="s">
        <v>405</v>
      </c>
      <c r="C309" s="29" t="s">
        <v>1008</v>
      </c>
      <c r="D309" s="29" t="s">
        <v>14</v>
      </c>
      <c r="E309" s="7">
        <v>45738</v>
      </c>
      <c r="F309" s="29" t="s">
        <v>58</v>
      </c>
      <c r="G309">
        <v>7</v>
      </c>
      <c r="H309">
        <v>3307</v>
      </c>
      <c r="I309" s="29" t="s">
        <v>84</v>
      </c>
      <c r="J309">
        <v>23149</v>
      </c>
    </row>
    <row r="310" spans="2:10" x14ac:dyDescent="0.25">
      <c r="B310" s="29" t="s">
        <v>406</v>
      </c>
      <c r="C310" s="29" t="s">
        <v>1015</v>
      </c>
      <c r="D310" s="29" t="s">
        <v>14</v>
      </c>
      <c r="E310" s="7">
        <v>45951</v>
      </c>
      <c r="F310" s="29" t="s">
        <v>57</v>
      </c>
      <c r="G310">
        <v>5</v>
      </c>
      <c r="H310">
        <v>4000</v>
      </c>
      <c r="I310" s="29" t="s">
        <v>76</v>
      </c>
      <c r="J310">
        <v>20000</v>
      </c>
    </row>
    <row r="311" spans="2:10" x14ac:dyDescent="0.25">
      <c r="B311" s="29" t="s">
        <v>407</v>
      </c>
      <c r="C311" s="29" t="s">
        <v>1010</v>
      </c>
      <c r="D311" s="29" t="s">
        <v>27</v>
      </c>
      <c r="E311" s="7">
        <v>45664</v>
      </c>
      <c r="F311" s="29" t="s">
        <v>57</v>
      </c>
      <c r="G311">
        <v>8</v>
      </c>
      <c r="H311">
        <v>1508</v>
      </c>
      <c r="I311" s="29" t="s">
        <v>76</v>
      </c>
      <c r="J311">
        <v>12064</v>
      </c>
    </row>
    <row r="312" spans="2:10" x14ac:dyDescent="0.25">
      <c r="B312" s="29" t="s">
        <v>408</v>
      </c>
      <c r="C312" s="29" t="s">
        <v>1013</v>
      </c>
      <c r="D312" s="29" t="s">
        <v>19</v>
      </c>
      <c r="E312" s="7">
        <v>45727</v>
      </c>
      <c r="F312" s="29" t="s">
        <v>57</v>
      </c>
      <c r="G312">
        <v>2</v>
      </c>
      <c r="H312">
        <v>2964</v>
      </c>
      <c r="I312" s="29" t="s">
        <v>1058</v>
      </c>
      <c r="J312">
        <v>5928</v>
      </c>
    </row>
    <row r="313" spans="2:10" x14ac:dyDescent="0.25">
      <c r="B313" s="29" t="s">
        <v>409</v>
      </c>
      <c r="C313" s="29" t="s">
        <v>1009</v>
      </c>
      <c r="D313" s="29" t="s">
        <v>21</v>
      </c>
      <c r="E313" s="7">
        <v>45825</v>
      </c>
      <c r="F313" s="29" t="s">
        <v>58</v>
      </c>
      <c r="G313">
        <v>9</v>
      </c>
      <c r="H313">
        <v>4373</v>
      </c>
      <c r="I313" s="29" t="s">
        <v>1058</v>
      </c>
      <c r="J313">
        <v>39357</v>
      </c>
    </row>
    <row r="314" spans="2:10" x14ac:dyDescent="0.25">
      <c r="B314" s="29" t="s">
        <v>410</v>
      </c>
      <c r="C314" s="29" t="s">
        <v>1005</v>
      </c>
      <c r="D314" s="29" t="s">
        <v>21</v>
      </c>
      <c r="E314" s="7">
        <v>45879</v>
      </c>
      <c r="F314" s="29" t="s">
        <v>57</v>
      </c>
      <c r="G314">
        <v>1</v>
      </c>
      <c r="H314">
        <v>3060</v>
      </c>
      <c r="I314" s="29" t="s">
        <v>84</v>
      </c>
      <c r="J314">
        <v>3060</v>
      </c>
    </row>
    <row r="315" spans="2:10" x14ac:dyDescent="0.25">
      <c r="B315" s="29" t="s">
        <v>411</v>
      </c>
      <c r="C315" s="29" t="s">
        <v>1019</v>
      </c>
      <c r="D315" s="29" t="s">
        <v>21</v>
      </c>
      <c r="E315" s="7">
        <v>45824</v>
      </c>
      <c r="F315" s="29" t="s">
        <v>57</v>
      </c>
      <c r="G315">
        <v>8</v>
      </c>
      <c r="H315">
        <v>167</v>
      </c>
      <c r="I315" s="29" t="s">
        <v>84</v>
      </c>
      <c r="J315">
        <v>1336</v>
      </c>
    </row>
    <row r="316" spans="2:10" x14ac:dyDescent="0.25">
      <c r="B316" s="29" t="s">
        <v>412</v>
      </c>
      <c r="C316" s="29" t="s">
        <v>1009</v>
      </c>
      <c r="D316" s="29" t="s">
        <v>21</v>
      </c>
      <c r="E316" s="7">
        <v>45778</v>
      </c>
      <c r="F316" s="29" t="s">
        <v>57</v>
      </c>
      <c r="G316">
        <v>6</v>
      </c>
      <c r="H316">
        <v>3138</v>
      </c>
      <c r="I316" s="29" t="s">
        <v>84</v>
      </c>
      <c r="J316">
        <v>18828</v>
      </c>
    </row>
    <row r="317" spans="2:10" x14ac:dyDescent="0.25">
      <c r="B317" s="29" t="s">
        <v>413</v>
      </c>
      <c r="C317" s="29" t="s">
        <v>1013</v>
      </c>
      <c r="D317" s="29" t="s">
        <v>21</v>
      </c>
      <c r="E317" s="7">
        <v>45842</v>
      </c>
      <c r="F317" s="29" t="s">
        <v>57</v>
      </c>
      <c r="G317">
        <v>4</v>
      </c>
      <c r="H317">
        <v>3309</v>
      </c>
      <c r="I317" s="29" t="s">
        <v>1058</v>
      </c>
      <c r="J317">
        <v>13236</v>
      </c>
    </row>
    <row r="318" spans="2:10" x14ac:dyDescent="0.25">
      <c r="B318" s="29" t="s">
        <v>414</v>
      </c>
      <c r="C318" s="29" t="s">
        <v>1004</v>
      </c>
      <c r="D318" s="29" t="s">
        <v>21</v>
      </c>
      <c r="E318" s="7">
        <v>45964</v>
      </c>
      <c r="F318" s="29" t="s">
        <v>58</v>
      </c>
      <c r="G318">
        <v>4</v>
      </c>
      <c r="H318">
        <v>3298</v>
      </c>
      <c r="I318" s="29" t="s">
        <v>76</v>
      </c>
      <c r="J318">
        <v>13192</v>
      </c>
    </row>
    <row r="319" spans="2:10" x14ac:dyDescent="0.25">
      <c r="B319" s="29" t="s">
        <v>415</v>
      </c>
      <c r="C319" s="29" t="s">
        <v>1019</v>
      </c>
      <c r="D319" s="29" t="s">
        <v>21</v>
      </c>
      <c r="E319" s="7">
        <v>45705</v>
      </c>
      <c r="F319" s="29" t="s">
        <v>57</v>
      </c>
      <c r="G319">
        <v>1</v>
      </c>
      <c r="H319">
        <v>4556</v>
      </c>
      <c r="I319" s="29" t="s">
        <v>76</v>
      </c>
      <c r="J319">
        <v>4556</v>
      </c>
    </row>
    <row r="320" spans="2:10" x14ac:dyDescent="0.25">
      <c r="B320" s="29" t="s">
        <v>416</v>
      </c>
      <c r="C320" s="29" t="s">
        <v>1010</v>
      </c>
      <c r="D320" s="29" t="s">
        <v>14</v>
      </c>
      <c r="E320" s="7">
        <v>45940</v>
      </c>
      <c r="F320" s="29" t="s">
        <v>57</v>
      </c>
      <c r="G320">
        <v>4</v>
      </c>
      <c r="H320">
        <v>4880</v>
      </c>
      <c r="I320" s="29" t="s">
        <v>84</v>
      </c>
      <c r="J320">
        <v>19520</v>
      </c>
    </row>
    <row r="321" spans="2:10" x14ac:dyDescent="0.25">
      <c r="B321" s="29" t="s">
        <v>417</v>
      </c>
      <c r="C321" s="29" t="s">
        <v>1013</v>
      </c>
      <c r="D321" s="29" t="s">
        <v>27</v>
      </c>
      <c r="E321" s="7">
        <v>45670</v>
      </c>
      <c r="F321" s="29" t="s">
        <v>57</v>
      </c>
      <c r="G321">
        <v>4</v>
      </c>
      <c r="H321">
        <v>894</v>
      </c>
      <c r="I321" s="29" t="s">
        <v>1058</v>
      </c>
      <c r="J321">
        <v>3576</v>
      </c>
    </row>
    <row r="322" spans="2:10" x14ac:dyDescent="0.25">
      <c r="B322" s="29" t="s">
        <v>418</v>
      </c>
      <c r="C322" s="29" t="s">
        <v>1018</v>
      </c>
      <c r="D322" s="29" t="s">
        <v>21</v>
      </c>
      <c r="E322" s="7">
        <v>45716</v>
      </c>
      <c r="F322" s="29" t="s">
        <v>57</v>
      </c>
      <c r="G322">
        <v>7</v>
      </c>
      <c r="H322">
        <v>511</v>
      </c>
      <c r="I322" s="29" t="s">
        <v>76</v>
      </c>
      <c r="J322">
        <v>3577</v>
      </c>
    </row>
    <row r="323" spans="2:10" x14ac:dyDescent="0.25">
      <c r="B323" s="29" t="s">
        <v>419</v>
      </c>
      <c r="C323" s="29" t="s">
        <v>1006</v>
      </c>
      <c r="D323" s="29" t="s">
        <v>23</v>
      </c>
      <c r="E323" s="7">
        <v>45851</v>
      </c>
      <c r="F323" s="29" t="s">
        <v>57</v>
      </c>
      <c r="G323">
        <v>1</v>
      </c>
      <c r="H323">
        <v>513</v>
      </c>
      <c r="I323" s="29" t="s">
        <v>76</v>
      </c>
      <c r="J323">
        <v>513</v>
      </c>
    </row>
    <row r="324" spans="2:10" x14ac:dyDescent="0.25">
      <c r="B324" s="29" t="s">
        <v>420</v>
      </c>
      <c r="C324" s="29" t="s">
        <v>1019</v>
      </c>
      <c r="D324" s="29" t="s">
        <v>19</v>
      </c>
      <c r="E324" s="7">
        <v>45667</v>
      </c>
      <c r="F324" s="29" t="s">
        <v>58</v>
      </c>
      <c r="G324">
        <v>8</v>
      </c>
      <c r="H324">
        <v>3986</v>
      </c>
      <c r="I324" s="29" t="s">
        <v>84</v>
      </c>
      <c r="J324">
        <v>31888</v>
      </c>
    </row>
    <row r="325" spans="2:10" x14ac:dyDescent="0.25">
      <c r="B325" s="29" t="s">
        <v>421</v>
      </c>
      <c r="C325" s="29" t="s">
        <v>1021</v>
      </c>
      <c r="D325" s="29" t="s">
        <v>14</v>
      </c>
      <c r="E325" s="7">
        <v>45947</v>
      </c>
      <c r="F325" s="29" t="s">
        <v>58</v>
      </c>
      <c r="G325">
        <v>2</v>
      </c>
      <c r="H325">
        <v>2887</v>
      </c>
      <c r="I325" s="29" t="s">
        <v>84</v>
      </c>
      <c r="J325">
        <v>5774</v>
      </c>
    </row>
    <row r="326" spans="2:10" x14ac:dyDescent="0.25">
      <c r="B326" s="29" t="s">
        <v>422</v>
      </c>
      <c r="C326" s="29" t="s">
        <v>1006</v>
      </c>
      <c r="D326" s="29" t="s">
        <v>19</v>
      </c>
      <c r="E326" s="7">
        <v>45660</v>
      </c>
      <c r="F326" s="29" t="s">
        <v>57</v>
      </c>
      <c r="G326">
        <v>2</v>
      </c>
      <c r="H326">
        <v>459</v>
      </c>
      <c r="I326" s="29" t="s">
        <v>84</v>
      </c>
      <c r="J326">
        <v>918</v>
      </c>
    </row>
    <row r="327" spans="2:10" x14ac:dyDescent="0.25">
      <c r="B327" s="29" t="s">
        <v>423</v>
      </c>
      <c r="C327" s="29" t="s">
        <v>1010</v>
      </c>
      <c r="D327" s="29" t="s">
        <v>23</v>
      </c>
      <c r="E327" s="7">
        <v>45812</v>
      </c>
      <c r="F327" s="29" t="s">
        <v>58</v>
      </c>
      <c r="G327">
        <v>10</v>
      </c>
      <c r="H327">
        <v>3757</v>
      </c>
      <c r="I327" s="29" t="s">
        <v>76</v>
      </c>
      <c r="J327">
        <v>37570</v>
      </c>
    </row>
    <row r="328" spans="2:10" x14ac:dyDescent="0.25">
      <c r="B328" s="29" t="s">
        <v>424</v>
      </c>
      <c r="C328" s="29" t="s">
        <v>1006</v>
      </c>
      <c r="D328" s="29" t="s">
        <v>23</v>
      </c>
      <c r="E328" s="7">
        <v>45932</v>
      </c>
      <c r="F328" s="29" t="s">
        <v>58</v>
      </c>
      <c r="G328">
        <v>10</v>
      </c>
      <c r="H328">
        <v>1235</v>
      </c>
      <c r="I328" s="29" t="s">
        <v>84</v>
      </c>
      <c r="J328">
        <v>12350</v>
      </c>
    </row>
    <row r="329" spans="2:10" x14ac:dyDescent="0.25">
      <c r="B329" s="29" t="s">
        <v>425</v>
      </c>
      <c r="C329" s="29" t="s">
        <v>1008</v>
      </c>
      <c r="D329" s="29" t="s">
        <v>17</v>
      </c>
      <c r="E329" s="7">
        <v>45764</v>
      </c>
      <c r="F329" s="29" t="s">
        <v>57</v>
      </c>
      <c r="G329">
        <v>10</v>
      </c>
      <c r="H329">
        <v>105</v>
      </c>
      <c r="I329" s="29" t="s">
        <v>84</v>
      </c>
      <c r="J329">
        <v>1050</v>
      </c>
    </row>
    <row r="330" spans="2:10" x14ac:dyDescent="0.25">
      <c r="B330" s="29" t="s">
        <v>426</v>
      </c>
      <c r="C330" s="29" t="s">
        <v>1018</v>
      </c>
      <c r="D330" s="29" t="s">
        <v>23</v>
      </c>
      <c r="E330" s="7">
        <v>45759</v>
      </c>
      <c r="F330" s="29" t="s">
        <v>57</v>
      </c>
      <c r="G330">
        <v>3</v>
      </c>
      <c r="H330">
        <v>3921</v>
      </c>
      <c r="I330" s="29" t="s">
        <v>76</v>
      </c>
      <c r="J330">
        <v>11763</v>
      </c>
    </row>
    <row r="331" spans="2:10" x14ac:dyDescent="0.25">
      <c r="B331" s="29" t="s">
        <v>427</v>
      </c>
      <c r="C331" s="29" t="s">
        <v>1015</v>
      </c>
      <c r="D331" s="29" t="s">
        <v>21</v>
      </c>
      <c r="E331" s="7">
        <v>45857</v>
      </c>
      <c r="F331" s="29" t="s">
        <v>57</v>
      </c>
      <c r="G331">
        <v>1</v>
      </c>
      <c r="H331">
        <v>124</v>
      </c>
      <c r="I331" s="29" t="s">
        <v>1058</v>
      </c>
      <c r="J331">
        <v>124</v>
      </c>
    </row>
    <row r="332" spans="2:10" x14ac:dyDescent="0.25">
      <c r="B332" s="29" t="s">
        <v>428</v>
      </c>
      <c r="C332" s="29" t="s">
        <v>1007</v>
      </c>
      <c r="D332" s="29" t="s">
        <v>14</v>
      </c>
      <c r="E332" s="7">
        <v>45914</v>
      </c>
      <c r="F332" s="29" t="s">
        <v>58</v>
      </c>
      <c r="G332">
        <v>4</v>
      </c>
      <c r="H332">
        <v>2387</v>
      </c>
      <c r="I332" s="29" t="s">
        <v>84</v>
      </c>
      <c r="J332">
        <v>9548</v>
      </c>
    </row>
    <row r="333" spans="2:10" x14ac:dyDescent="0.25">
      <c r="B333" s="29" t="s">
        <v>429</v>
      </c>
      <c r="C333" s="29" t="s">
        <v>1017</v>
      </c>
      <c r="D333" s="29" t="s">
        <v>11</v>
      </c>
      <c r="E333" s="7">
        <v>45759</v>
      </c>
      <c r="F333" s="29" t="s">
        <v>57</v>
      </c>
      <c r="G333">
        <v>2</v>
      </c>
      <c r="H333">
        <v>3288</v>
      </c>
      <c r="I333" s="29" t="s">
        <v>1058</v>
      </c>
      <c r="J333">
        <v>6576</v>
      </c>
    </row>
    <row r="334" spans="2:10" x14ac:dyDescent="0.25">
      <c r="B334" s="29" t="s">
        <v>430</v>
      </c>
      <c r="C334" s="29" t="s">
        <v>1022</v>
      </c>
      <c r="D334" s="29" t="s">
        <v>21</v>
      </c>
      <c r="E334" s="7">
        <v>45866</v>
      </c>
      <c r="F334" s="29" t="s">
        <v>57</v>
      </c>
      <c r="G334">
        <v>1</v>
      </c>
      <c r="H334">
        <v>1712</v>
      </c>
      <c r="I334" s="29" t="s">
        <v>76</v>
      </c>
      <c r="J334">
        <v>1712</v>
      </c>
    </row>
    <row r="335" spans="2:10" x14ac:dyDescent="0.25">
      <c r="B335" s="29" t="s">
        <v>431</v>
      </c>
      <c r="C335" s="29" t="s">
        <v>1018</v>
      </c>
      <c r="D335" s="29" t="s">
        <v>27</v>
      </c>
      <c r="E335" s="7">
        <v>45780</v>
      </c>
      <c r="F335" s="29" t="s">
        <v>57</v>
      </c>
      <c r="G335">
        <v>7</v>
      </c>
      <c r="H335">
        <v>355</v>
      </c>
      <c r="I335" s="29" t="s">
        <v>76</v>
      </c>
      <c r="J335">
        <v>2485</v>
      </c>
    </row>
    <row r="336" spans="2:10" x14ac:dyDescent="0.25">
      <c r="B336" s="29" t="s">
        <v>432</v>
      </c>
      <c r="C336" s="29" t="s">
        <v>1016</v>
      </c>
      <c r="D336" s="29" t="s">
        <v>19</v>
      </c>
      <c r="E336" s="7">
        <v>45828</v>
      </c>
      <c r="F336" s="29" t="s">
        <v>58</v>
      </c>
      <c r="G336">
        <v>2</v>
      </c>
      <c r="H336">
        <v>3238</v>
      </c>
      <c r="I336" s="29" t="s">
        <v>76</v>
      </c>
      <c r="J336">
        <v>6476</v>
      </c>
    </row>
    <row r="337" spans="2:10" x14ac:dyDescent="0.25">
      <c r="B337" s="29" t="s">
        <v>433</v>
      </c>
      <c r="C337" s="29" t="s">
        <v>1018</v>
      </c>
      <c r="D337" s="29" t="s">
        <v>11</v>
      </c>
      <c r="E337" s="7">
        <v>45783</v>
      </c>
      <c r="F337" s="29" t="s">
        <v>58</v>
      </c>
      <c r="G337">
        <v>10</v>
      </c>
      <c r="H337">
        <v>3252</v>
      </c>
      <c r="I337" s="29" t="s">
        <v>84</v>
      </c>
      <c r="J337">
        <v>32520</v>
      </c>
    </row>
    <row r="338" spans="2:10" x14ac:dyDescent="0.25">
      <c r="B338" s="29" t="s">
        <v>434</v>
      </c>
      <c r="C338" s="29" t="s">
        <v>1020</v>
      </c>
      <c r="D338" s="29" t="s">
        <v>23</v>
      </c>
      <c r="E338" s="7">
        <v>45832</v>
      </c>
      <c r="F338" s="29" t="s">
        <v>58</v>
      </c>
      <c r="G338">
        <v>10</v>
      </c>
      <c r="H338">
        <v>4572</v>
      </c>
      <c r="I338" s="29" t="s">
        <v>1058</v>
      </c>
      <c r="J338">
        <v>45720</v>
      </c>
    </row>
    <row r="339" spans="2:10" x14ac:dyDescent="0.25">
      <c r="B339" s="29" t="s">
        <v>435</v>
      </c>
      <c r="C339" s="29" t="s">
        <v>1014</v>
      </c>
      <c r="D339" s="29" t="s">
        <v>19</v>
      </c>
      <c r="E339" s="7">
        <v>45882</v>
      </c>
      <c r="F339" s="29" t="s">
        <v>58</v>
      </c>
      <c r="G339">
        <v>1</v>
      </c>
      <c r="H339">
        <v>246</v>
      </c>
      <c r="I339" s="29" t="s">
        <v>1058</v>
      </c>
      <c r="J339">
        <v>246</v>
      </c>
    </row>
    <row r="340" spans="2:10" x14ac:dyDescent="0.25">
      <c r="B340" s="29" t="s">
        <v>436</v>
      </c>
      <c r="C340" s="29" t="s">
        <v>1009</v>
      </c>
      <c r="D340" s="29" t="s">
        <v>17</v>
      </c>
      <c r="E340" s="7">
        <v>45921</v>
      </c>
      <c r="F340" s="29" t="s">
        <v>57</v>
      </c>
      <c r="G340">
        <v>8</v>
      </c>
      <c r="H340">
        <v>4567</v>
      </c>
      <c r="I340" s="29" t="s">
        <v>84</v>
      </c>
      <c r="J340">
        <v>36536</v>
      </c>
    </row>
    <row r="341" spans="2:10" x14ac:dyDescent="0.25">
      <c r="B341" s="29" t="s">
        <v>437</v>
      </c>
      <c r="C341" s="29" t="s">
        <v>1022</v>
      </c>
      <c r="D341" s="29" t="s">
        <v>17</v>
      </c>
      <c r="E341" s="7">
        <v>45772</v>
      </c>
      <c r="F341" s="29" t="s">
        <v>58</v>
      </c>
      <c r="G341">
        <v>8</v>
      </c>
      <c r="H341">
        <v>775</v>
      </c>
      <c r="I341" s="29" t="s">
        <v>1058</v>
      </c>
      <c r="J341">
        <v>6200</v>
      </c>
    </row>
    <row r="342" spans="2:10" x14ac:dyDescent="0.25">
      <c r="B342" s="29" t="s">
        <v>438</v>
      </c>
      <c r="C342" s="29" t="s">
        <v>1017</v>
      </c>
      <c r="D342" s="29" t="s">
        <v>23</v>
      </c>
      <c r="E342" s="7">
        <v>45901</v>
      </c>
      <c r="F342" s="29" t="s">
        <v>58</v>
      </c>
      <c r="G342">
        <v>3</v>
      </c>
      <c r="H342">
        <v>3319</v>
      </c>
      <c r="I342" s="29" t="s">
        <v>1058</v>
      </c>
      <c r="J342">
        <v>9957</v>
      </c>
    </row>
    <row r="343" spans="2:10" x14ac:dyDescent="0.25">
      <c r="B343" s="29" t="s">
        <v>439</v>
      </c>
      <c r="C343" s="29" t="s">
        <v>1013</v>
      </c>
      <c r="D343" s="29" t="s">
        <v>11</v>
      </c>
      <c r="E343" s="7">
        <v>46012</v>
      </c>
      <c r="F343" s="29" t="s">
        <v>57</v>
      </c>
      <c r="G343">
        <v>5</v>
      </c>
      <c r="H343">
        <v>577</v>
      </c>
      <c r="I343" s="29" t="s">
        <v>84</v>
      </c>
      <c r="J343">
        <v>2885</v>
      </c>
    </row>
    <row r="344" spans="2:10" x14ac:dyDescent="0.25">
      <c r="B344" s="29" t="s">
        <v>440</v>
      </c>
      <c r="C344" s="29" t="s">
        <v>1007</v>
      </c>
      <c r="D344" s="29" t="s">
        <v>21</v>
      </c>
      <c r="E344" s="7">
        <v>45705</v>
      </c>
      <c r="F344" s="29" t="s">
        <v>58</v>
      </c>
      <c r="G344">
        <v>3</v>
      </c>
      <c r="H344">
        <v>2171</v>
      </c>
      <c r="I344" s="29" t="s">
        <v>84</v>
      </c>
      <c r="J344">
        <v>6513</v>
      </c>
    </row>
    <row r="345" spans="2:10" x14ac:dyDescent="0.25">
      <c r="B345" s="29" t="s">
        <v>441</v>
      </c>
      <c r="C345" s="29" t="s">
        <v>1014</v>
      </c>
      <c r="D345" s="29" t="s">
        <v>21</v>
      </c>
      <c r="E345" s="7">
        <v>45884</v>
      </c>
      <c r="F345" s="29" t="s">
        <v>57</v>
      </c>
      <c r="G345">
        <v>7</v>
      </c>
      <c r="H345">
        <v>1617</v>
      </c>
      <c r="I345" s="29" t="s">
        <v>76</v>
      </c>
      <c r="J345">
        <v>11319</v>
      </c>
    </row>
    <row r="346" spans="2:10" x14ac:dyDescent="0.25">
      <c r="B346" s="29" t="s">
        <v>442</v>
      </c>
      <c r="C346" s="29" t="s">
        <v>1017</v>
      </c>
      <c r="D346" s="29" t="s">
        <v>21</v>
      </c>
      <c r="E346" s="7">
        <v>45977</v>
      </c>
      <c r="F346" s="29" t="s">
        <v>58</v>
      </c>
      <c r="G346">
        <v>2</v>
      </c>
      <c r="H346">
        <v>3711</v>
      </c>
      <c r="I346" s="29" t="s">
        <v>76</v>
      </c>
      <c r="J346">
        <v>7422</v>
      </c>
    </row>
    <row r="347" spans="2:10" x14ac:dyDescent="0.25">
      <c r="B347" s="29" t="s">
        <v>443</v>
      </c>
      <c r="C347" s="29" t="s">
        <v>1015</v>
      </c>
      <c r="D347" s="29" t="s">
        <v>21</v>
      </c>
      <c r="E347" s="7">
        <v>45689</v>
      </c>
      <c r="F347" s="29" t="s">
        <v>57</v>
      </c>
      <c r="G347">
        <v>2</v>
      </c>
      <c r="H347">
        <v>2124</v>
      </c>
      <c r="I347" s="29" t="s">
        <v>1058</v>
      </c>
      <c r="J347">
        <v>4248</v>
      </c>
    </row>
    <row r="348" spans="2:10" x14ac:dyDescent="0.25">
      <c r="B348" s="29" t="s">
        <v>444</v>
      </c>
      <c r="C348" s="29" t="s">
        <v>1011</v>
      </c>
      <c r="D348" s="29" t="s">
        <v>27</v>
      </c>
      <c r="E348" s="7">
        <v>45756</v>
      </c>
      <c r="F348" s="29" t="s">
        <v>58</v>
      </c>
      <c r="G348">
        <v>1</v>
      </c>
      <c r="H348">
        <v>1810</v>
      </c>
      <c r="I348" s="29" t="s">
        <v>84</v>
      </c>
      <c r="J348">
        <v>1810</v>
      </c>
    </row>
    <row r="349" spans="2:10" x14ac:dyDescent="0.25">
      <c r="B349" s="29" t="s">
        <v>445</v>
      </c>
      <c r="C349" s="29" t="s">
        <v>1012</v>
      </c>
      <c r="D349" s="29" t="s">
        <v>19</v>
      </c>
      <c r="E349" s="7">
        <v>45997</v>
      </c>
      <c r="F349" s="29" t="s">
        <v>58</v>
      </c>
      <c r="G349">
        <v>1</v>
      </c>
      <c r="H349">
        <v>1574</v>
      </c>
      <c r="I349" s="29" t="s">
        <v>84</v>
      </c>
      <c r="J349">
        <v>1574</v>
      </c>
    </row>
    <row r="350" spans="2:10" x14ac:dyDescent="0.25">
      <c r="B350" s="29" t="s">
        <v>446</v>
      </c>
      <c r="C350" s="29" t="s">
        <v>1006</v>
      </c>
      <c r="D350" s="29" t="s">
        <v>11</v>
      </c>
      <c r="E350" s="7">
        <v>45913</v>
      </c>
      <c r="F350" s="29" t="s">
        <v>58</v>
      </c>
      <c r="G350">
        <v>10</v>
      </c>
      <c r="H350">
        <v>1546</v>
      </c>
      <c r="I350" s="29" t="s">
        <v>84</v>
      </c>
      <c r="J350">
        <v>15460</v>
      </c>
    </row>
    <row r="351" spans="2:10" x14ac:dyDescent="0.25">
      <c r="B351" s="29" t="s">
        <v>447</v>
      </c>
      <c r="C351" s="29" t="s">
        <v>1020</v>
      </c>
      <c r="D351" s="29" t="s">
        <v>21</v>
      </c>
      <c r="E351" s="7">
        <v>45909</v>
      </c>
      <c r="F351" s="29" t="s">
        <v>58</v>
      </c>
      <c r="G351">
        <v>6</v>
      </c>
      <c r="H351">
        <v>687</v>
      </c>
      <c r="I351" s="29" t="s">
        <v>76</v>
      </c>
      <c r="J351">
        <v>4122</v>
      </c>
    </row>
    <row r="352" spans="2:10" x14ac:dyDescent="0.25">
      <c r="B352" s="29" t="s">
        <v>448</v>
      </c>
      <c r="C352" s="29" t="s">
        <v>1004</v>
      </c>
      <c r="D352" s="29" t="s">
        <v>14</v>
      </c>
      <c r="E352" s="7">
        <v>46017</v>
      </c>
      <c r="F352" s="29" t="s">
        <v>58</v>
      </c>
      <c r="G352">
        <v>5</v>
      </c>
      <c r="H352">
        <v>4262</v>
      </c>
      <c r="I352" s="29" t="s">
        <v>76</v>
      </c>
      <c r="J352">
        <v>21310</v>
      </c>
    </row>
    <row r="353" spans="2:10" x14ac:dyDescent="0.25">
      <c r="B353" s="29" t="s">
        <v>449</v>
      </c>
      <c r="C353" s="29" t="s">
        <v>1014</v>
      </c>
      <c r="D353" s="29" t="s">
        <v>23</v>
      </c>
      <c r="E353" s="7">
        <v>45713</v>
      </c>
      <c r="F353" s="29" t="s">
        <v>58</v>
      </c>
      <c r="G353">
        <v>3</v>
      </c>
      <c r="H353">
        <v>1426</v>
      </c>
      <c r="I353" s="29" t="s">
        <v>84</v>
      </c>
      <c r="J353">
        <v>4278</v>
      </c>
    </row>
    <row r="354" spans="2:10" x14ac:dyDescent="0.25">
      <c r="B354" s="29" t="s">
        <v>450</v>
      </c>
      <c r="C354" s="29" t="s">
        <v>1022</v>
      </c>
      <c r="D354" s="29" t="s">
        <v>21</v>
      </c>
      <c r="E354" s="7">
        <v>45952</v>
      </c>
      <c r="F354" s="29" t="s">
        <v>57</v>
      </c>
      <c r="G354">
        <v>10</v>
      </c>
      <c r="H354">
        <v>2583</v>
      </c>
      <c r="I354" s="29" t="s">
        <v>76</v>
      </c>
      <c r="J354">
        <v>25830</v>
      </c>
    </row>
    <row r="355" spans="2:10" x14ac:dyDescent="0.25">
      <c r="B355" s="29" t="s">
        <v>451</v>
      </c>
      <c r="C355" s="29" t="s">
        <v>1010</v>
      </c>
      <c r="D355" s="29" t="s">
        <v>11</v>
      </c>
      <c r="E355" s="7">
        <v>45765</v>
      </c>
      <c r="F355" s="29" t="s">
        <v>57</v>
      </c>
      <c r="G355">
        <v>9</v>
      </c>
      <c r="H355">
        <v>2023</v>
      </c>
      <c r="I355" s="29" t="s">
        <v>76</v>
      </c>
      <c r="J355">
        <v>18207</v>
      </c>
    </row>
    <row r="356" spans="2:10" x14ac:dyDescent="0.25">
      <c r="B356" s="29" t="s">
        <v>452</v>
      </c>
      <c r="C356" s="29" t="s">
        <v>1012</v>
      </c>
      <c r="D356" s="29" t="s">
        <v>14</v>
      </c>
      <c r="E356" s="7">
        <v>45882</v>
      </c>
      <c r="F356" s="29" t="s">
        <v>58</v>
      </c>
      <c r="G356">
        <v>8</v>
      </c>
      <c r="H356">
        <v>342</v>
      </c>
      <c r="I356" s="29" t="s">
        <v>1058</v>
      </c>
      <c r="J356">
        <v>2736</v>
      </c>
    </row>
    <row r="357" spans="2:10" x14ac:dyDescent="0.25">
      <c r="B357" s="29" t="s">
        <v>453</v>
      </c>
      <c r="C357" s="29" t="s">
        <v>1006</v>
      </c>
      <c r="D357" s="29" t="s">
        <v>19</v>
      </c>
      <c r="E357" s="7">
        <v>45887</v>
      </c>
      <c r="F357" s="29" t="s">
        <v>58</v>
      </c>
      <c r="G357">
        <v>5</v>
      </c>
      <c r="H357">
        <v>1951</v>
      </c>
      <c r="I357" s="29" t="s">
        <v>1058</v>
      </c>
      <c r="J357">
        <v>9755</v>
      </c>
    </row>
    <row r="358" spans="2:10" x14ac:dyDescent="0.25">
      <c r="B358" s="29" t="s">
        <v>454</v>
      </c>
      <c r="C358" s="29" t="s">
        <v>1017</v>
      </c>
      <c r="D358" s="29" t="s">
        <v>19</v>
      </c>
      <c r="E358" s="7">
        <v>45977</v>
      </c>
      <c r="F358" s="29" t="s">
        <v>57</v>
      </c>
      <c r="G358">
        <v>5</v>
      </c>
      <c r="H358">
        <v>2619</v>
      </c>
      <c r="I358" s="29" t="s">
        <v>84</v>
      </c>
      <c r="J358">
        <v>13095</v>
      </c>
    </row>
    <row r="359" spans="2:10" x14ac:dyDescent="0.25">
      <c r="B359" s="29" t="s">
        <v>455</v>
      </c>
      <c r="C359" s="29" t="s">
        <v>1022</v>
      </c>
      <c r="D359" s="29" t="s">
        <v>21</v>
      </c>
      <c r="E359" s="7">
        <v>45871</v>
      </c>
      <c r="F359" s="29" t="s">
        <v>58</v>
      </c>
      <c r="G359">
        <v>4</v>
      </c>
      <c r="H359">
        <v>1930</v>
      </c>
      <c r="I359" s="29" t="s">
        <v>76</v>
      </c>
      <c r="J359">
        <v>7720</v>
      </c>
    </row>
    <row r="360" spans="2:10" x14ac:dyDescent="0.25">
      <c r="B360" s="29" t="s">
        <v>456</v>
      </c>
      <c r="C360" s="29" t="s">
        <v>1018</v>
      </c>
      <c r="D360" s="29" t="s">
        <v>21</v>
      </c>
      <c r="E360" s="7">
        <v>45715</v>
      </c>
      <c r="F360" s="29" t="s">
        <v>57</v>
      </c>
      <c r="G360">
        <v>1</v>
      </c>
      <c r="H360">
        <v>792</v>
      </c>
      <c r="I360" s="29" t="s">
        <v>76</v>
      </c>
      <c r="J360">
        <v>792</v>
      </c>
    </row>
    <row r="361" spans="2:10" x14ac:dyDescent="0.25">
      <c r="B361" s="29" t="s">
        <v>457</v>
      </c>
      <c r="C361" s="29" t="s">
        <v>1008</v>
      </c>
      <c r="D361" s="29" t="s">
        <v>14</v>
      </c>
      <c r="E361" s="7">
        <v>45729</v>
      </c>
      <c r="F361" s="29" t="s">
        <v>57</v>
      </c>
      <c r="G361">
        <v>10</v>
      </c>
      <c r="H361">
        <v>3926</v>
      </c>
      <c r="I361" s="29" t="s">
        <v>1058</v>
      </c>
      <c r="J361">
        <v>39260</v>
      </c>
    </row>
    <row r="362" spans="2:10" x14ac:dyDescent="0.25">
      <c r="B362" s="29" t="s">
        <v>458</v>
      </c>
      <c r="C362" s="29" t="s">
        <v>1007</v>
      </c>
      <c r="D362" s="29" t="s">
        <v>14</v>
      </c>
      <c r="E362" s="7">
        <v>45830</v>
      </c>
      <c r="F362" s="29" t="s">
        <v>57</v>
      </c>
      <c r="G362">
        <v>8</v>
      </c>
      <c r="H362">
        <v>2432</v>
      </c>
      <c r="I362" s="29" t="s">
        <v>76</v>
      </c>
      <c r="J362">
        <v>19456</v>
      </c>
    </row>
    <row r="363" spans="2:10" x14ac:dyDescent="0.25">
      <c r="B363" s="29" t="s">
        <v>459</v>
      </c>
      <c r="C363" s="29" t="s">
        <v>1019</v>
      </c>
      <c r="D363" s="29" t="s">
        <v>14</v>
      </c>
      <c r="E363" s="7">
        <v>45793</v>
      </c>
      <c r="F363" s="29" t="s">
        <v>57</v>
      </c>
      <c r="G363">
        <v>3</v>
      </c>
      <c r="H363">
        <v>1187</v>
      </c>
      <c r="I363" s="29" t="s">
        <v>1058</v>
      </c>
      <c r="J363">
        <v>3561</v>
      </c>
    </row>
    <row r="364" spans="2:10" x14ac:dyDescent="0.25">
      <c r="B364" s="29" t="s">
        <v>460</v>
      </c>
      <c r="C364" s="29" t="s">
        <v>1015</v>
      </c>
      <c r="D364" s="29" t="s">
        <v>19</v>
      </c>
      <c r="E364" s="7">
        <v>45669</v>
      </c>
      <c r="F364" s="29" t="s">
        <v>57</v>
      </c>
      <c r="G364">
        <v>9</v>
      </c>
      <c r="H364">
        <v>1409</v>
      </c>
      <c r="I364" s="29" t="s">
        <v>84</v>
      </c>
      <c r="J364">
        <v>12681</v>
      </c>
    </row>
    <row r="365" spans="2:10" x14ac:dyDescent="0.25">
      <c r="B365" s="29" t="s">
        <v>461</v>
      </c>
      <c r="C365" s="29" t="s">
        <v>1017</v>
      </c>
      <c r="D365" s="29" t="s">
        <v>23</v>
      </c>
      <c r="E365" s="7">
        <v>45820</v>
      </c>
      <c r="F365" s="29" t="s">
        <v>57</v>
      </c>
      <c r="G365">
        <v>1</v>
      </c>
      <c r="H365">
        <v>3149</v>
      </c>
      <c r="I365" s="29" t="s">
        <v>84</v>
      </c>
      <c r="J365">
        <v>3149</v>
      </c>
    </row>
    <row r="366" spans="2:10" x14ac:dyDescent="0.25">
      <c r="B366" s="29" t="s">
        <v>462</v>
      </c>
      <c r="C366" s="29" t="s">
        <v>1014</v>
      </c>
      <c r="D366" s="29" t="s">
        <v>19</v>
      </c>
      <c r="E366" s="7">
        <v>45792</v>
      </c>
      <c r="F366" s="29" t="s">
        <v>58</v>
      </c>
      <c r="G366">
        <v>1</v>
      </c>
      <c r="H366">
        <v>2801</v>
      </c>
      <c r="I366" s="29" t="s">
        <v>1058</v>
      </c>
      <c r="J366">
        <v>2801</v>
      </c>
    </row>
    <row r="367" spans="2:10" x14ac:dyDescent="0.25">
      <c r="B367" s="29" t="s">
        <v>463</v>
      </c>
      <c r="C367" s="29" t="s">
        <v>1022</v>
      </c>
      <c r="D367" s="29" t="s">
        <v>21</v>
      </c>
      <c r="E367" s="7">
        <v>45695</v>
      </c>
      <c r="F367" s="29" t="s">
        <v>57</v>
      </c>
      <c r="G367">
        <v>9</v>
      </c>
      <c r="H367">
        <v>571</v>
      </c>
      <c r="I367" s="29" t="s">
        <v>84</v>
      </c>
      <c r="J367">
        <v>5139</v>
      </c>
    </row>
    <row r="368" spans="2:10" x14ac:dyDescent="0.25">
      <c r="B368" s="29" t="s">
        <v>464</v>
      </c>
      <c r="C368" s="29" t="s">
        <v>1006</v>
      </c>
      <c r="D368" s="29" t="s">
        <v>17</v>
      </c>
      <c r="E368" s="7">
        <v>45684</v>
      </c>
      <c r="F368" s="29" t="s">
        <v>57</v>
      </c>
      <c r="G368">
        <v>3</v>
      </c>
      <c r="H368">
        <v>2970</v>
      </c>
      <c r="I368" s="29" t="s">
        <v>84</v>
      </c>
      <c r="J368">
        <v>8910</v>
      </c>
    </row>
    <row r="369" spans="2:10" x14ac:dyDescent="0.25">
      <c r="B369" s="29" t="s">
        <v>465</v>
      </c>
      <c r="C369" s="29" t="s">
        <v>1021</v>
      </c>
      <c r="D369" s="29" t="s">
        <v>11</v>
      </c>
      <c r="E369" s="7">
        <v>45703</v>
      </c>
      <c r="F369" s="29" t="s">
        <v>58</v>
      </c>
      <c r="G369">
        <v>1</v>
      </c>
      <c r="H369">
        <v>399</v>
      </c>
      <c r="I369" s="29" t="s">
        <v>1058</v>
      </c>
      <c r="J369">
        <v>399</v>
      </c>
    </row>
    <row r="370" spans="2:10" x14ac:dyDescent="0.25">
      <c r="B370" s="29" t="s">
        <v>466</v>
      </c>
      <c r="C370" s="29" t="s">
        <v>1022</v>
      </c>
      <c r="D370" s="29" t="s">
        <v>17</v>
      </c>
      <c r="E370" s="7">
        <v>45711</v>
      </c>
      <c r="F370" s="29" t="s">
        <v>57</v>
      </c>
      <c r="G370">
        <v>7</v>
      </c>
      <c r="H370">
        <v>4504</v>
      </c>
      <c r="I370" s="29" t="s">
        <v>1058</v>
      </c>
      <c r="J370">
        <v>31528</v>
      </c>
    </row>
    <row r="371" spans="2:10" x14ac:dyDescent="0.25">
      <c r="B371" s="29" t="s">
        <v>467</v>
      </c>
      <c r="C371" s="29" t="s">
        <v>1012</v>
      </c>
      <c r="D371" s="29" t="s">
        <v>17</v>
      </c>
      <c r="E371" s="7">
        <v>45840</v>
      </c>
      <c r="F371" s="29" t="s">
        <v>57</v>
      </c>
      <c r="G371">
        <v>6</v>
      </c>
      <c r="H371">
        <v>861</v>
      </c>
      <c r="I371" s="29" t="s">
        <v>76</v>
      </c>
      <c r="J371">
        <v>5166</v>
      </c>
    </row>
    <row r="372" spans="2:10" x14ac:dyDescent="0.25">
      <c r="B372" s="29" t="s">
        <v>468</v>
      </c>
      <c r="C372" s="29" t="s">
        <v>1022</v>
      </c>
      <c r="D372" s="29" t="s">
        <v>27</v>
      </c>
      <c r="E372" s="7">
        <v>45944</v>
      </c>
      <c r="F372" s="29" t="s">
        <v>57</v>
      </c>
      <c r="G372">
        <v>8</v>
      </c>
      <c r="H372">
        <v>1274</v>
      </c>
      <c r="I372" s="29" t="s">
        <v>1058</v>
      </c>
      <c r="J372">
        <v>10192</v>
      </c>
    </row>
    <row r="373" spans="2:10" x14ac:dyDescent="0.25">
      <c r="B373" s="29" t="s">
        <v>469</v>
      </c>
      <c r="C373" s="29" t="s">
        <v>1013</v>
      </c>
      <c r="D373" s="29" t="s">
        <v>21</v>
      </c>
      <c r="E373" s="7">
        <v>45953</v>
      </c>
      <c r="F373" s="29" t="s">
        <v>58</v>
      </c>
      <c r="G373">
        <v>3</v>
      </c>
      <c r="H373">
        <v>1434</v>
      </c>
      <c r="I373" s="29" t="s">
        <v>76</v>
      </c>
      <c r="J373">
        <v>4302</v>
      </c>
    </row>
    <row r="374" spans="2:10" x14ac:dyDescent="0.25">
      <c r="B374" s="29" t="s">
        <v>470</v>
      </c>
      <c r="C374" s="29" t="s">
        <v>1013</v>
      </c>
      <c r="D374" s="29" t="s">
        <v>17</v>
      </c>
      <c r="E374" s="7">
        <v>45826</v>
      </c>
      <c r="F374" s="29" t="s">
        <v>58</v>
      </c>
      <c r="G374">
        <v>10</v>
      </c>
      <c r="H374">
        <v>3338</v>
      </c>
      <c r="I374" s="29" t="s">
        <v>76</v>
      </c>
      <c r="J374">
        <v>33380</v>
      </c>
    </row>
    <row r="375" spans="2:10" x14ac:dyDescent="0.25">
      <c r="B375" s="29" t="s">
        <v>471</v>
      </c>
      <c r="C375" s="29" t="s">
        <v>1015</v>
      </c>
      <c r="D375" s="29" t="s">
        <v>19</v>
      </c>
      <c r="E375" s="7">
        <v>45779</v>
      </c>
      <c r="F375" s="29" t="s">
        <v>57</v>
      </c>
      <c r="G375">
        <v>6</v>
      </c>
      <c r="H375">
        <v>2836</v>
      </c>
      <c r="I375" s="29" t="s">
        <v>1058</v>
      </c>
      <c r="J375">
        <v>17016</v>
      </c>
    </row>
    <row r="376" spans="2:10" x14ac:dyDescent="0.25">
      <c r="B376" s="29" t="s">
        <v>472</v>
      </c>
      <c r="C376" s="29" t="s">
        <v>1006</v>
      </c>
      <c r="D376" s="29" t="s">
        <v>17</v>
      </c>
      <c r="E376" s="7">
        <v>45995</v>
      </c>
      <c r="F376" s="29" t="s">
        <v>57</v>
      </c>
      <c r="G376">
        <v>4</v>
      </c>
      <c r="H376">
        <v>2079</v>
      </c>
      <c r="I376" s="29" t="s">
        <v>1058</v>
      </c>
      <c r="J376">
        <v>8316</v>
      </c>
    </row>
    <row r="377" spans="2:10" x14ac:dyDescent="0.25">
      <c r="B377" s="29" t="s">
        <v>473</v>
      </c>
      <c r="C377" s="29" t="s">
        <v>1009</v>
      </c>
      <c r="D377" s="29" t="s">
        <v>19</v>
      </c>
      <c r="E377" s="7">
        <v>45697</v>
      </c>
      <c r="F377" s="29" t="s">
        <v>58</v>
      </c>
      <c r="G377">
        <v>9</v>
      </c>
      <c r="H377">
        <v>2052</v>
      </c>
      <c r="I377" s="29" t="s">
        <v>1058</v>
      </c>
      <c r="J377">
        <v>18468</v>
      </c>
    </row>
    <row r="378" spans="2:10" x14ac:dyDescent="0.25">
      <c r="B378" s="29" t="s">
        <v>474</v>
      </c>
      <c r="C378" s="29" t="s">
        <v>1011</v>
      </c>
      <c r="D378" s="29" t="s">
        <v>17</v>
      </c>
      <c r="E378" s="7">
        <v>45660</v>
      </c>
      <c r="F378" s="29" t="s">
        <v>57</v>
      </c>
      <c r="G378">
        <v>2</v>
      </c>
      <c r="H378">
        <v>82</v>
      </c>
      <c r="I378" s="29" t="s">
        <v>1058</v>
      </c>
      <c r="J378">
        <v>164</v>
      </c>
    </row>
    <row r="379" spans="2:10" x14ac:dyDescent="0.25">
      <c r="B379" s="29" t="s">
        <v>475</v>
      </c>
      <c r="C379" s="29" t="s">
        <v>1017</v>
      </c>
      <c r="D379" s="29" t="s">
        <v>21</v>
      </c>
      <c r="E379" s="7">
        <v>45725</v>
      </c>
      <c r="F379" s="29" t="s">
        <v>57</v>
      </c>
      <c r="G379">
        <v>2</v>
      </c>
      <c r="H379">
        <v>2292</v>
      </c>
      <c r="I379" s="29" t="s">
        <v>84</v>
      </c>
      <c r="J379">
        <v>4584</v>
      </c>
    </row>
    <row r="380" spans="2:10" x14ac:dyDescent="0.25">
      <c r="B380" s="29" t="s">
        <v>476</v>
      </c>
      <c r="C380" s="29" t="s">
        <v>1021</v>
      </c>
      <c r="D380" s="29" t="s">
        <v>27</v>
      </c>
      <c r="E380" s="7">
        <v>45713</v>
      </c>
      <c r="F380" s="29" t="s">
        <v>57</v>
      </c>
      <c r="G380">
        <v>6</v>
      </c>
      <c r="H380">
        <v>1182</v>
      </c>
      <c r="I380" s="29" t="s">
        <v>76</v>
      </c>
      <c r="J380">
        <v>7092</v>
      </c>
    </row>
    <row r="381" spans="2:10" x14ac:dyDescent="0.25">
      <c r="B381" s="29" t="s">
        <v>477</v>
      </c>
      <c r="C381" s="29" t="s">
        <v>1017</v>
      </c>
      <c r="D381" s="29" t="s">
        <v>17</v>
      </c>
      <c r="E381" s="7">
        <v>45933</v>
      </c>
      <c r="F381" s="29" t="s">
        <v>58</v>
      </c>
      <c r="G381">
        <v>3</v>
      </c>
      <c r="H381">
        <v>3031</v>
      </c>
      <c r="I381" s="29" t="s">
        <v>84</v>
      </c>
      <c r="J381">
        <v>9093</v>
      </c>
    </row>
    <row r="382" spans="2:10" x14ac:dyDescent="0.25">
      <c r="B382" s="29" t="s">
        <v>478</v>
      </c>
      <c r="C382" s="29" t="s">
        <v>1012</v>
      </c>
      <c r="D382" s="29" t="s">
        <v>11</v>
      </c>
      <c r="E382" s="7">
        <v>45813</v>
      </c>
      <c r="F382" s="29" t="s">
        <v>58</v>
      </c>
      <c r="G382">
        <v>5</v>
      </c>
      <c r="H382">
        <v>495</v>
      </c>
      <c r="I382" s="29" t="s">
        <v>76</v>
      </c>
      <c r="J382">
        <v>2475</v>
      </c>
    </row>
    <row r="383" spans="2:10" x14ac:dyDescent="0.25">
      <c r="B383" s="29" t="s">
        <v>479</v>
      </c>
      <c r="C383" s="29" t="s">
        <v>1018</v>
      </c>
      <c r="D383" s="29" t="s">
        <v>23</v>
      </c>
      <c r="E383" s="7">
        <v>45893</v>
      </c>
      <c r="F383" s="29" t="s">
        <v>58</v>
      </c>
      <c r="G383">
        <v>6</v>
      </c>
      <c r="H383">
        <v>4989</v>
      </c>
      <c r="I383" s="29" t="s">
        <v>76</v>
      </c>
      <c r="J383">
        <v>29934</v>
      </c>
    </row>
    <row r="384" spans="2:10" x14ac:dyDescent="0.25">
      <c r="B384" s="29" t="s">
        <v>480</v>
      </c>
      <c r="C384" s="29" t="s">
        <v>1016</v>
      </c>
      <c r="D384" s="29" t="s">
        <v>23</v>
      </c>
      <c r="E384" s="7">
        <v>46013</v>
      </c>
      <c r="F384" s="29" t="s">
        <v>57</v>
      </c>
      <c r="G384">
        <v>6</v>
      </c>
      <c r="H384">
        <v>4344</v>
      </c>
      <c r="I384" s="29" t="s">
        <v>76</v>
      </c>
      <c r="J384">
        <v>26064</v>
      </c>
    </row>
    <row r="385" spans="2:10" x14ac:dyDescent="0.25">
      <c r="B385" s="29" t="s">
        <v>481</v>
      </c>
      <c r="C385" s="29" t="s">
        <v>1008</v>
      </c>
      <c r="D385" s="29" t="s">
        <v>23</v>
      </c>
      <c r="E385" s="7">
        <v>45812</v>
      </c>
      <c r="F385" s="29" t="s">
        <v>58</v>
      </c>
      <c r="G385">
        <v>6</v>
      </c>
      <c r="H385">
        <v>169</v>
      </c>
      <c r="I385" s="29" t="s">
        <v>1058</v>
      </c>
      <c r="J385">
        <v>1014</v>
      </c>
    </row>
    <row r="386" spans="2:10" x14ac:dyDescent="0.25">
      <c r="B386" s="29" t="s">
        <v>482</v>
      </c>
      <c r="C386" s="29" t="s">
        <v>1011</v>
      </c>
      <c r="D386" s="29" t="s">
        <v>21</v>
      </c>
      <c r="E386" s="7">
        <v>45834</v>
      </c>
      <c r="F386" s="29" t="s">
        <v>58</v>
      </c>
      <c r="G386">
        <v>2</v>
      </c>
      <c r="H386">
        <v>374</v>
      </c>
      <c r="I386" s="29" t="s">
        <v>84</v>
      </c>
      <c r="J386">
        <v>748</v>
      </c>
    </row>
    <row r="387" spans="2:10" x14ac:dyDescent="0.25">
      <c r="B387" s="29" t="s">
        <v>483</v>
      </c>
      <c r="C387" s="29" t="s">
        <v>1004</v>
      </c>
      <c r="D387" s="29" t="s">
        <v>19</v>
      </c>
      <c r="E387" s="7">
        <v>45827</v>
      </c>
      <c r="F387" s="29" t="s">
        <v>58</v>
      </c>
      <c r="G387">
        <v>2</v>
      </c>
      <c r="H387">
        <v>1743</v>
      </c>
      <c r="I387" s="29" t="s">
        <v>1058</v>
      </c>
      <c r="J387">
        <v>3486</v>
      </c>
    </row>
    <row r="388" spans="2:10" x14ac:dyDescent="0.25">
      <c r="B388" s="29" t="s">
        <v>484</v>
      </c>
      <c r="C388" s="29" t="s">
        <v>1014</v>
      </c>
      <c r="D388" s="29" t="s">
        <v>21</v>
      </c>
      <c r="E388" s="7">
        <v>45741</v>
      </c>
      <c r="F388" s="29" t="s">
        <v>58</v>
      </c>
      <c r="G388">
        <v>7</v>
      </c>
      <c r="H388">
        <v>2380</v>
      </c>
      <c r="I388" s="29" t="s">
        <v>1058</v>
      </c>
      <c r="J388">
        <v>16660</v>
      </c>
    </row>
    <row r="389" spans="2:10" x14ac:dyDescent="0.25">
      <c r="B389" s="29" t="s">
        <v>485</v>
      </c>
      <c r="C389" s="29" t="s">
        <v>1012</v>
      </c>
      <c r="D389" s="29" t="s">
        <v>27</v>
      </c>
      <c r="E389" s="7">
        <v>45943</v>
      </c>
      <c r="F389" s="29" t="s">
        <v>58</v>
      </c>
      <c r="G389">
        <v>3</v>
      </c>
      <c r="H389">
        <v>4205</v>
      </c>
      <c r="I389" s="29" t="s">
        <v>76</v>
      </c>
      <c r="J389">
        <v>12615</v>
      </c>
    </row>
    <row r="390" spans="2:10" x14ac:dyDescent="0.25">
      <c r="B390" s="29" t="s">
        <v>486</v>
      </c>
      <c r="C390" s="29" t="s">
        <v>1019</v>
      </c>
      <c r="D390" s="29" t="s">
        <v>14</v>
      </c>
      <c r="E390" s="7">
        <v>45879</v>
      </c>
      <c r="F390" s="29" t="s">
        <v>57</v>
      </c>
      <c r="G390">
        <v>7</v>
      </c>
      <c r="H390">
        <v>498</v>
      </c>
      <c r="I390" s="29" t="s">
        <v>1058</v>
      </c>
      <c r="J390">
        <v>3486</v>
      </c>
    </row>
    <row r="391" spans="2:10" x14ac:dyDescent="0.25">
      <c r="B391" s="29" t="s">
        <v>487</v>
      </c>
      <c r="C391" s="29" t="s">
        <v>1007</v>
      </c>
      <c r="D391" s="29" t="s">
        <v>21</v>
      </c>
      <c r="E391" s="7">
        <v>45739</v>
      </c>
      <c r="F391" s="29" t="s">
        <v>57</v>
      </c>
      <c r="G391">
        <v>2</v>
      </c>
      <c r="H391">
        <v>3294</v>
      </c>
      <c r="I391" s="29" t="s">
        <v>76</v>
      </c>
      <c r="J391">
        <v>6588</v>
      </c>
    </row>
    <row r="392" spans="2:10" x14ac:dyDescent="0.25">
      <c r="B392" s="29" t="s">
        <v>488</v>
      </c>
      <c r="C392" s="29" t="s">
        <v>1014</v>
      </c>
      <c r="D392" s="29" t="s">
        <v>17</v>
      </c>
      <c r="E392" s="7">
        <v>45782</v>
      </c>
      <c r="F392" s="29" t="s">
        <v>58</v>
      </c>
      <c r="G392">
        <v>2</v>
      </c>
      <c r="H392">
        <v>1050</v>
      </c>
      <c r="I392" s="29" t="s">
        <v>76</v>
      </c>
      <c r="J392">
        <v>2100</v>
      </c>
    </row>
    <row r="393" spans="2:10" x14ac:dyDescent="0.25">
      <c r="B393" s="29" t="s">
        <v>489</v>
      </c>
      <c r="C393" s="29" t="s">
        <v>1015</v>
      </c>
      <c r="D393" s="29" t="s">
        <v>17</v>
      </c>
      <c r="E393" s="7">
        <v>45813</v>
      </c>
      <c r="F393" s="29" t="s">
        <v>58</v>
      </c>
      <c r="G393">
        <v>5</v>
      </c>
      <c r="H393">
        <v>976</v>
      </c>
      <c r="I393" s="29" t="s">
        <v>76</v>
      </c>
      <c r="J393">
        <v>4880</v>
      </c>
    </row>
    <row r="394" spans="2:10" x14ac:dyDescent="0.25">
      <c r="B394" s="29" t="s">
        <v>490</v>
      </c>
      <c r="C394" s="29" t="s">
        <v>1020</v>
      </c>
      <c r="D394" s="29" t="s">
        <v>11</v>
      </c>
      <c r="E394" s="7">
        <v>45852</v>
      </c>
      <c r="F394" s="29" t="s">
        <v>57</v>
      </c>
      <c r="G394">
        <v>3</v>
      </c>
      <c r="H394">
        <v>1644</v>
      </c>
      <c r="I394" s="29" t="s">
        <v>1058</v>
      </c>
      <c r="J394">
        <v>4932</v>
      </c>
    </row>
    <row r="395" spans="2:10" x14ac:dyDescent="0.25">
      <c r="B395" s="29" t="s">
        <v>491</v>
      </c>
      <c r="C395" s="29" t="s">
        <v>1004</v>
      </c>
      <c r="D395" s="29" t="s">
        <v>27</v>
      </c>
      <c r="E395" s="7">
        <v>45877</v>
      </c>
      <c r="F395" s="29" t="s">
        <v>58</v>
      </c>
      <c r="G395">
        <v>9</v>
      </c>
      <c r="H395">
        <v>459</v>
      </c>
      <c r="I395" s="29" t="s">
        <v>1058</v>
      </c>
      <c r="J395">
        <v>4131</v>
      </c>
    </row>
    <row r="396" spans="2:10" x14ac:dyDescent="0.25">
      <c r="B396" s="29" t="s">
        <v>492</v>
      </c>
      <c r="C396" s="29" t="s">
        <v>1009</v>
      </c>
      <c r="D396" s="29" t="s">
        <v>19</v>
      </c>
      <c r="E396" s="7">
        <v>45766</v>
      </c>
      <c r="F396" s="29" t="s">
        <v>57</v>
      </c>
      <c r="G396">
        <v>3</v>
      </c>
      <c r="H396">
        <v>1131</v>
      </c>
      <c r="I396" s="29" t="s">
        <v>1058</v>
      </c>
      <c r="J396">
        <v>3393</v>
      </c>
    </row>
    <row r="397" spans="2:10" x14ac:dyDescent="0.25">
      <c r="B397" s="29" t="s">
        <v>493</v>
      </c>
      <c r="C397" s="29" t="s">
        <v>1009</v>
      </c>
      <c r="D397" s="29" t="s">
        <v>23</v>
      </c>
      <c r="E397" s="7">
        <v>45663</v>
      </c>
      <c r="F397" s="29" t="s">
        <v>57</v>
      </c>
      <c r="G397">
        <v>5</v>
      </c>
      <c r="H397">
        <v>1220</v>
      </c>
      <c r="I397" s="29" t="s">
        <v>84</v>
      </c>
      <c r="J397">
        <v>6100</v>
      </c>
    </row>
    <row r="398" spans="2:10" x14ac:dyDescent="0.25">
      <c r="B398" s="29" t="s">
        <v>494</v>
      </c>
      <c r="C398" s="29" t="s">
        <v>1006</v>
      </c>
      <c r="D398" s="29" t="s">
        <v>27</v>
      </c>
      <c r="E398" s="7">
        <v>45668</v>
      </c>
      <c r="F398" s="29" t="s">
        <v>57</v>
      </c>
      <c r="G398">
        <v>1</v>
      </c>
      <c r="H398">
        <v>4591</v>
      </c>
      <c r="I398" s="29" t="s">
        <v>1058</v>
      </c>
      <c r="J398">
        <v>4591</v>
      </c>
    </row>
    <row r="399" spans="2:10" x14ac:dyDescent="0.25">
      <c r="B399" s="29" t="s">
        <v>495</v>
      </c>
      <c r="C399" s="29" t="s">
        <v>1005</v>
      </c>
      <c r="D399" s="29" t="s">
        <v>17</v>
      </c>
      <c r="E399" s="7">
        <v>45752</v>
      </c>
      <c r="F399" s="29" t="s">
        <v>57</v>
      </c>
      <c r="G399">
        <v>6</v>
      </c>
      <c r="H399">
        <v>3978</v>
      </c>
      <c r="I399" s="29" t="s">
        <v>76</v>
      </c>
      <c r="J399">
        <v>23868</v>
      </c>
    </row>
    <row r="400" spans="2:10" x14ac:dyDescent="0.25">
      <c r="B400" s="29" t="s">
        <v>496</v>
      </c>
      <c r="C400" s="29" t="s">
        <v>1019</v>
      </c>
      <c r="D400" s="29" t="s">
        <v>23</v>
      </c>
      <c r="E400" s="7">
        <v>45852</v>
      </c>
      <c r="F400" s="29" t="s">
        <v>58</v>
      </c>
      <c r="G400">
        <v>4</v>
      </c>
      <c r="H400">
        <v>3403</v>
      </c>
      <c r="I400" s="29" t="s">
        <v>84</v>
      </c>
      <c r="J400">
        <v>13612</v>
      </c>
    </row>
    <row r="401" spans="2:10" x14ac:dyDescent="0.25">
      <c r="B401" s="29" t="s">
        <v>497</v>
      </c>
      <c r="C401" s="29" t="s">
        <v>1004</v>
      </c>
      <c r="D401" s="29" t="s">
        <v>14</v>
      </c>
      <c r="E401" s="7">
        <v>45735</v>
      </c>
      <c r="F401" s="29" t="s">
        <v>58</v>
      </c>
      <c r="G401">
        <v>7</v>
      </c>
      <c r="H401">
        <v>737</v>
      </c>
      <c r="I401" s="29" t="s">
        <v>76</v>
      </c>
      <c r="J401">
        <v>5159</v>
      </c>
    </row>
    <row r="402" spans="2:10" x14ac:dyDescent="0.25">
      <c r="B402" s="29" t="s">
        <v>498</v>
      </c>
      <c r="C402" s="29" t="s">
        <v>1008</v>
      </c>
      <c r="D402" s="29" t="s">
        <v>19</v>
      </c>
      <c r="E402" s="7">
        <v>45903</v>
      </c>
      <c r="F402" s="29" t="s">
        <v>57</v>
      </c>
      <c r="G402">
        <v>5</v>
      </c>
      <c r="H402">
        <v>155</v>
      </c>
      <c r="I402" s="29" t="s">
        <v>1058</v>
      </c>
      <c r="J402">
        <v>775</v>
      </c>
    </row>
    <row r="403" spans="2:10" x14ac:dyDescent="0.25">
      <c r="B403" s="29" t="s">
        <v>499</v>
      </c>
      <c r="C403" s="29" t="s">
        <v>1004</v>
      </c>
      <c r="D403" s="29" t="s">
        <v>19</v>
      </c>
      <c r="E403" s="7">
        <v>45975</v>
      </c>
      <c r="F403" s="29" t="s">
        <v>58</v>
      </c>
      <c r="G403">
        <v>6</v>
      </c>
      <c r="H403">
        <v>4667</v>
      </c>
      <c r="I403" s="29" t="s">
        <v>84</v>
      </c>
      <c r="J403">
        <v>28002</v>
      </c>
    </row>
    <row r="404" spans="2:10" x14ac:dyDescent="0.25">
      <c r="B404" s="29" t="s">
        <v>500</v>
      </c>
      <c r="C404" s="29" t="s">
        <v>1015</v>
      </c>
      <c r="D404" s="29" t="s">
        <v>17</v>
      </c>
      <c r="E404" s="7">
        <v>45947</v>
      </c>
      <c r="F404" s="29" t="s">
        <v>58</v>
      </c>
      <c r="G404">
        <v>7</v>
      </c>
      <c r="H404">
        <v>3662</v>
      </c>
      <c r="I404" s="29" t="s">
        <v>84</v>
      </c>
      <c r="J404">
        <v>25634</v>
      </c>
    </row>
    <row r="405" spans="2:10" x14ac:dyDescent="0.25">
      <c r="B405" s="29" t="s">
        <v>501</v>
      </c>
      <c r="C405" s="29" t="s">
        <v>1007</v>
      </c>
      <c r="D405" s="29" t="s">
        <v>14</v>
      </c>
      <c r="E405" s="7">
        <v>45916</v>
      </c>
      <c r="F405" s="29" t="s">
        <v>57</v>
      </c>
      <c r="G405">
        <v>3</v>
      </c>
      <c r="H405">
        <v>303</v>
      </c>
      <c r="I405" s="29" t="s">
        <v>84</v>
      </c>
      <c r="J405">
        <v>909</v>
      </c>
    </row>
    <row r="406" spans="2:10" x14ac:dyDescent="0.25">
      <c r="B406" s="29" t="s">
        <v>502</v>
      </c>
      <c r="C406" s="29" t="s">
        <v>1021</v>
      </c>
      <c r="D406" s="29" t="s">
        <v>19</v>
      </c>
      <c r="E406" s="7">
        <v>45705</v>
      </c>
      <c r="F406" s="29" t="s">
        <v>57</v>
      </c>
      <c r="G406">
        <v>7</v>
      </c>
      <c r="H406">
        <v>4058</v>
      </c>
      <c r="I406" s="29" t="s">
        <v>1058</v>
      </c>
      <c r="J406">
        <v>28406</v>
      </c>
    </row>
    <row r="407" spans="2:10" x14ac:dyDescent="0.25">
      <c r="B407" s="29" t="s">
        <v>503</v>
      </c>
      <c r="C407" s="29" t="s">
        <v>1006</v>
      </c>
      <c r="D407" s="29" t="s">
        <v>11</v>
      </c>
      <c r="E407" s="7">
        <v>45695</v>
      </c>
      <c r="F407" s="29" t="s">
        <v>57</v>
      </c>
      <c r="G407">
        <v>1</v>
      </c>
      <c r="H407">
        <v>3305</v>
      </c>
      <c r="I407" s="29" t="s">
        <v>84</v>
      </c>
      <c r="J407">
        <v>3305</v>
      </c>
    </row>
    <row r="408" spans="2:10" x14ac:dyDescent="0.25">
      <c r="B408" s="29" t="s">
        <v>504</v>
      </c>
      <c r="C408" s="29" t="s">
        <v>1008</v>
      </c>
      <c r="D408" s="29" t="s">
        <v>21</v>
      </c>
      <c r="E408" s="7">
        <v>45870</v>
      </c>
      <c r="F408" s="29" t="s">
        <v>58</v>
      </c>
      <c r="G408">
        <v>5</v>
      </c>
      <c r="H408">
        <v>2687</v>
      </c>
      <c r="I408" s="29" t="s">
        <v>1058</v>
      </c>
      <c r="J408">
        <v>13435</v>
      </c>
    </row>
    <row r="409" spans="2:10" x14ac:dyDescent="0.25">
      <c r="B409" s="29" t="s">
        <v>505</v>
      </c>
      <c r="C409" s="29" t="s">
        <v>1022</v>
      </c>
      <c r="D409" s="29" t="s">
        <v>21</v>
      </c>
      <c r="E409" s="7">
        <v>45715</v>
      </c>
      <c r="F409" s="29" t="s">
        <v>57</v>
      </c>
      <c r="G409">
        <v>6</v>
      </c>
      <c r="H409">
        <v>697</v>
      </c>
      <c r="I409" s="29" t="s">
        <v>76</v>
      </c>
      <c r="J409">
        <v>4182</v>
      </c>
    </row>
    <row r="410" spans="2:10" x14ac:dyDescent="0.25">
      <c r="B410" s="29" t="s">
        <v>506</v>
      </c>
      <c r="C410" s="29" t="s">
        <v>1006</v>
      </c>
      <c r="D410" s="29" t="s">
        <v>21</v>
      </c>
      <c r="E410" s="7">
        <v>45684</v>
      </c>
      <c r="F410" s="29" t="s">
        <v>58</v>
      </c>
      <c r="G410">
        <v>1</v>
      </c>
      <c r="H410">
        <v>2135</v>
      </c>
      <c r="I410" s="29" t="s">
        <v>84</v>
      </c>
      <c r="J410">
        <v>2135</v>
      </c>
    </row>
    <row r="411" spans="2:10" x14ac:dyDescent="0.25">
      <c r="B411" s="29" t="s">
        <v>507</v>
      </c>
      <c r="C411" s="29" t="s">
        <v>1020</v>
      </c>
      <c r="D411" s="29" t="s">
        <v>11</v>
      </c>
      <c r="E411" s="7">
        <v>45882</v>
      </c>
      <c r="F411" s="29" t="s">
        <v>57</v>
      </c>
      <c r="G411">
        <v>5</v>
      </c>
      <c r="H411">
        <v>670</v>
      </c>
      <c r="I411" s="29" t="s">
        <v>76</v>
      </c>
      <c r="J411">
        <v>3350</v>
      </c>
    </row>
    <row r="412" spans="2:10" x14ac:dyDescent="0.25">
      <c r="B412" s="29" t="s">
        <v>508</v>
      </c>
      <c r="C412" s="29" t="s">
        <v>1008</v>
      </c>
      <c r="D412" s="29" t="s">
        <v>21</v>
      </c>
      <c r="E412" s="7">
        <v>45953</v>
      </c>
      <c r="F412" s="29" t="s">
        <v>58</v>
      </c>
      <c r="G412">
        <v>10</v>
      </c>
      <c r="H412">
        <v>1255</v>
      </c>
      <c r="I412" s="29" t="s">
        <v>84</v>
      </c>
      <c r="J412">
        <v>12550</v>
      </c>
    </row>
    <row r="413" spans="2:10" x14ac:dyDescent="0.25">
      <c r="B413" s="29" t="s">
        <v>509</v>
      </c>
      <c r="C413" s="29" t="s">
        <v>1006</v>
      </c>
      <c r="D413" s="29" t="s">
        <v>17</v>
      </c>
      <c r="E413" s="7">
        <v>45680</v>
      </c>
      <c r="F413" s="29" t="s">
        <v>57</v>
      </c>
      <c r="G413">
        <v>9</v>
      </c>
      <c r="H413">
        <v>2698</v>
      </c>
      <c r="I413" s="29" t="s">
        <v>84</v>
      </c>
      <c r="J413">
        <v>24282</v>
      </c>
    </row>
    <row r="414" spans="2:10" x14ac:dyDescent="0.25">
      <c r="B414" s="29" t="s">
        <v>510</v>
      </c>
      <c r="C414" s="29" t="s">
        <v>1020</v>
      </c>
      <c r="D414" s="29" t="s">
        <v>27</v>
      </c>
      <c r="E414" s="7">
        <v>45694</v>
      </c>
      <c r="F414" s="29" t="s">
        <v>57</v>
      </c>
      <c r="G414">
        <v>9</v>
      </c>
      <c r="H414">
        <v>145</v>
      </c>
      <c r="I414" s="29" t="s">
        <v>1058</v>
      </c>
      <c r="J414">
        <v>1305</v>
      </c>
    </row>
    <row r="415" spans="2:10" x14ac:dyDescent="0.25">
      <c r="B415" s="29" t="s">
        <v>511</v>
      </c>
      <c r="C415" s="29" t="s">
        <v>1020</v>
      </c>
      <c r="D415" s="29" t="s">
        <v>14</v>
      </c>
      <c r="E415" s="7">
        <v>45663</v>
      </c>
      <c r="F415" s="29" t="s">
        <v>57</v>
      </c>
      <c r="G415">
        <v>10</v>
      </c>
      <c r="H415">
        <v>2520</v>
      </c>
      <c r="I415" s="29" t="s">
        <v>84</v>
      </c>
      <c r="J415">
        <v>25200</v>
      </c>
    </row>
    <row r="416" spans="2:10" x14ac:dyDescent="0.25">
      <c r="B416" s="29" t="s">
        <v>512</v>
      </c>
      <c r="C416" s="29" t="s">
        <v>1007</v>
      </c>
      <c r="D416" s="29" t="s">
        <v>14</v>
      </c>
      <c r="E416" s="7">
        <v>45989</v>
      </c>
      <c r="F416" s="29" t="s">
        <v>58</v>
      </c>
      <c r="G416">
        <v>7</v>
      </c>
      <c r="H416">
        <v>146</v>
      </c>
      <c r="I416" s="29" t="s">
        <v>76</v>
      </c>
      <c r="J416">
        <v>1022</v>
      </c>
    </row>
    <row r="417" spans="2:10" x14ac:dyDescent="0.25">
      <c r="B417" s="29" t="s">
        <v>513</v>
      </c>
      <c r="C417" s="29" t="s">
        <v>1016</v>
      </c>
      <c r="D417" s="29" t="s">
        <v>11</v>
      </c>
      <c r="E417" s="7">
        <v>45753</v>
      </c>
      <c r="F417" s="29" t="s">
        <v>57</v>
      </c>
      <c r="G417">
        <v>4</v>
      </c>
      <c r="H417">
        <v>2102</v>
      </c>
      <c r="I417" s="29" t="s">
        <v>84</v>
      </c>
      <c r="J417">
        <v>8408</v>
      </c>
    </row>
    <row r="418" spans="2:10" x14ac:dyDescent="0.25">
      <c r="B418" s="29" t="s">
        <v>514</v>
      </c>
      <c r="C418" s="29" t="s">
        <v>1006</v>
      </c>
      <c r="D418" s="29" t="s">
        <v>11</v>
      </c>
      <c r="E418" s="7">
        <v>46001</v>
      </c>
      <c r="F418" s="29" t="s">
        <v>58</v>
      </c>
      <c r="G418">
        <v>4</v>
      </c>
      <c r="H418">
        <v>3847</v>
      </c>
      <c r="I418" s="29" t="s">
        <v>84</v>
      </c>
      <c r="J418">
        <v>15388</v>
      </c>
    </row>
    <row r="419" spans="2:10" x14ac:dyDescent="0.25">
      <c r="B419" s="29" t="s">
        <v>515</v>
      </c>
      <c r="C419" s="29" t="s">
        <v>1009</v>
      </c>
      <c r="D419" s="29" t="s">
        <v>14</v>
      </c>
      <c r="E419" s="7">
        <v>46005</v>
      </c>
      <c r="F419" s="29" t="s">
        <v>58</v>
      </c>
      <c r="G419">
        <v>9</v>
      </c>
      <c r="H419">
        <v>4654</v>
      </c>
      <c r="I419" s="29" t="s">
        <v>1058</v>
      </c>
      <c r="J419">
        <v>41886</v>
      </c>
    </row>
    <row r="420" spans="2:10" x14ac:dyDescent="0.25">
      <c r="B420" s="29" t="s">
        <v>516</v>
      </c>
      <c r="C420" s="29" t="s">
        <v>1014</v>
      </c>
      <c r="D420" s="29" t="s">
        <v>27</v>
      </c>
      <c r="E420" s="7">
        <v>45856</v>
      </c>
      <c r="F420" s="29" t="s">
        <v>57</v>
      </c>
      <c r="G420">
        <v>6</v>
      </c>
      <c r="H420">
        <v>138</v>
      </c>
      <c r="I420" s="29" t="s">
        <v>76</v>
      </c>
      <c r="J420">
        <v>828</v>
      </c>
    </row>
    <row r="421" spans="2:10" x14ac:dyDescent="0.25">
      <c r="B421" s="29" t="s">
        <v>517</v>
      </c>
      <c r="C421" s="29" t="s">
        <v>1007</v>
      </c>
      <c r="D421" s="29" t="s">
        <v>21</v>
      </c>
      <c r="E421" s="7">
        <v>45781</v>
      </c>
      <c r="F421" s="29" t="s">
        <v>57</v>
      </c>
      <c r="G421">
        <v>5</v>
      </c>
      <c r="H421">
        <v>4669</v>
      </c>
      <c r="I421" s="29" t="s">
        <v>84</v>
      </c>
      <c r="J421">
        <v>23345</v>
      </c>
    </row>
    <row r="422" spans="2:10" x14ac:dyDescent="0.25">
      <c r="B422" s="29" t="s">
        <v>518</v>
      </c>
      <c r="C422" s="29" t="s">
        <v>1020</v>
      </c>
      <c r="D422" s="29" t="s">
        <v>21</v>
      </c>
      <c r="E422" s="7">
        <v>45729</v>
      </c>
      <c r="F422" s="29" t="s">
        <v>58</v>
      </c>
      <c r="G422">
        <v>9</v>
      </c>
      <c r="H422">
        <v>4058</v>
      </c>
      <c r="I422" s="29" t="s">
        <v>1058</v>
      </c>
      <c r="J422">
        <v>36522</v>
      </c>
    </row>
    <row r="423" spans="2:10" x14ac:dyDescent="0.25">
      <c r="B423" s="29" t="s">
        <v>519</v>
      </c>
      <c r="C423" s="29" t="s">
        <v>1009</v>
      </c>
      <c r="D423" s="29" t="s">
        <v>23</v>
      </c>
      <c r="E423" s="7">
        <v>45727</v>
      </c>
      <c r="F423" s="29" t="s">
        <v>57</v>
      </c>
      <c r="G423">
        <v>5</v>
      </c>
      <c r="H423">
        <v>2868</v>
      </c>
      <c r="I423" s="29" t="s">
        <v>1058</v>
      </c>
      <c r="J423">
        <v>14340</v>
      </c>
    </row>
    <row r="424" spans="2:10" x14ac:dyDescent="0.25">
      <c r="B424" s="29" t="s">
        <v>520</v>
      </c>
      <c r="C424" s="29" t="s">
        <v>1014</v>
      </c>
      <c r="D424" s="29" t="s">
        <v>21</v>
      </c>
      <c r="E424" s="7">
        <v>45858</v>
      </c>
      <c r="F424" s="29" t="s">
        <v>57</v>
      </c>
      <c r="G424">
        <v>2</v>
      </c>
      <c r="H424">
        <v>2008</v>
      </c>
      <c r="I424" s="29" t="s">
        <v>1058</v>
      </c>
      <c r="J424">
        <v>4016</v>
      </c>
    </row>
    <row r="425" spans="2:10" x14ac:dyDescent="0.25">
      <c r="B425" s="29" t="s">
        <v>521</v>
      </c>
      <c r="C425" s="29" t="s">
        <v>1012</v>
      </c>
      <c r="D425" s="29" t="s">
        <v>21</v>
      </c>
      <c r="E425" s="7">
        <v>45676</v>
      </c>
      <c r="F425" s="29" t="s">
        <v>58</v>
      </c>
      <c r="G425">
        <v>4</v>
      </c>
      <c r="H425">
        <v>1216</v>
      </c>
      <c r="I425" s="29" t="s">
        <v>1058</v>
      </c>
      <c r="J425">
        <v>4864</v>
      </c>
    </row>
    <row r="426" spans="2:10" x14ac:dyDescent="0.25">
      <c r="B426" s="29" t="s">
        <v>522</v>
      </c>
      <c r="C426" s="29" t="s">
        <v>1016</v>
      </c>
      <c r="D426" s="29" t="s">
        <v>23</v>
      </c>
      <c r="E426" s="7">
        <v>45853</v>
      </c>
      <c r="F426" s="29" t="s">
        <v>57</v>
      </c>
      <c r="G426">
        <v>7</v>
      </c>
      <c r="H426">
        <v>1556</v>
      </c>
      <c r="I426" s="29" t="s">
        <v>76</v>
      </c>
      <c r="J426">
        <v>10892</v>
      </c>
    </row>
    <row r="427" spans="2:10" x14ac:dyDescent="0.25">
      <c r="B427" s="29" t="s">
        <v>523</v>
      </c>
      <c r="C427" s="29" t="s">
        <v>1019</v>
      </c>
      <c r="D427" s="29" t="s">
        <v>27</v>
      </c>
      <c r="E427" s="7">
        <v>45740</v>
      </c>
      <c r="F427" s="29" t="s">
        <v>58</v>
      </c>
      <c r="G427">
        <v>10</v>
      </c>
      <c r="H427">
        <v>2923</v>
      </c>
      <c r="I427" s="29" t="s">
        <v>76</v>
      </c>
      <c r="J427">
        <v>29230</v>
      </c>
    </row>
    <row r="428" spans="2:10" x14ac:dyDescent="0.25">
      <c r="B428" s="29" t="s">
        <v>524</v>
      </c>
      <c r="C428" s="29" t="s">
        <v>1020</v>
      </c>
      <c r="D428" s="29" t="s">
        <v>11</v>
      </c>
      <c r="E428" s="7">
        <v>45816</v>
      </c>
      <c r="F428" s="29" t="s">
        <v>58</v>
      </c>
      <c r="G428">
        <v>7</v>
      </c>
      <c r="H428">
        <v>1554</v>
      </c>
      <c r="I428" s="29" t="s">
        <v>1058</v>
      </c>
      <c r="J428">
        <v>10878</v>
      </c>
    </row>
    <row r="429" spans="2:10" x14ac:dyDescent="0.25">
      <c r="B429" s="29" t="s">
        <v>525</v>
      </c>
      <c r="C429" s="29" t="s">
        <v>1019</v>
      </c>
      <c r="D429" s="29" t="s">
        <v>27</v>
      </c>
      <c r="E429" s="7">
        <v>46015</v>
      </c>
      <c r="F429" s="29" t="s">
        <v>57</v>
      </c>
      <c r="G429">
        <v>4</v>
      </c>
      <c r="H429">
        <v>2482</v>
      </c>
      <c r="I429" s="29" t="s">
        <v>84</v>
      </c>
      <c r="J429">
        <v>9928</v>
      </c>
    </row>
    <row r="430" spans="2:10" x14ac:dyDescent="0.25">
      <c r="B430" s="29" t="s">
        <v>526</v>
      </c>
      <c r="C430" s="29" t="s">
        <v>1017</v>
      </c>
      <c r="D430" s="29" t="s">
        <v>11</v>
      </c>
      <c r="E430" s="7">
        <v>45886</v>
      </c>
      <c r="F430" s="29" t="s">
        <v>58</v>
      </c>
      <c r="G430">
        <v>10</v>
      </c>
      <c r="H430">
        <v>2100</v>
      </c>
      <c r="I430" s="29" t="s">
        <v>84</v>
      </c>
      <c r="J430">
        <v>21000</v>
      </c>
    </row>
    <row r="431" spans="2:10" x14ac:dyDescent="0.25">
      <c r="B431" s="29" t="s">
        <v>527</v>
      </c>
      <c r="C431" s="29" t="s">
        <v>1010</v>
      </c>
      <c r="D431" s="29" t="s">
        <v>17</v>
      </c>
      <c r="E431" s="7">
        <v>45988</v>
      </c>
      <c r="F431" s="29" t="s">
        <v>57</v>
      </c>
      <c r="G431">
        <v>8</v>
      </c>
      <c r="H431">
        <v>614</v>
      </c>
      <c r="I431" s="29" t="s">
        <v>76</v>
      </c>
      <c r="J431">
        <v>4912</v>
      </c>
    </row>
    <row r="432" spans="2:10" x14ac:dyDescent="0.25">
      <c r="B432" s="29" t="s">
        <v>528</v>
      </c>
      <c r="C432" s="29" t="s">
        <v>1008</v>
      </c>
      <c r="D432" s="29" t="s">
        <v>11</v>
      </c>
      <c r="E432" s="7">
        <v>45971</v>
      </c>
      <c r="F432" s="29" t="s">
        <v>57</v>
      </c>
      <c r="G432">
        <v>4</v>
      </c>
      <c r="H432">
        <v>4536</v>
      </c>
      <c r="I432" s="29" t="s">
        <v>1058</v>
      </c>
      <c r="J432">
        <v>18144</v>
      </c>
    </row>
    <row r="433" spans="2:10" x14ac:dyDescent="0.25">
      <c r="B433" s="29" t="s">
        <v>529</v>
      </c>
      <c r="C433" s="29" t="s">
        <v>1007</v>
      </c>
      <c r="D433" s="29" t="s">
        <v>21</v>
      </c>
      <c r="E433" s="7">
        <v>45919</v>
      </c>
      <c r="F433" s="29" t="s">
        <v>57</v>
      </c>
      <c r="G433">
        <v>7</v>
      </c>
      <c r="H433">
        <v>4265</v>
      </c>
      <c r="I433" s="29" t="s">
        <v>1058</v>
      </c>
      <c r="J433">
        <v>29855</v>
      </c>
    </row>
    <row r="434" spans="2:10" x14ac:dyDescent="0.25">
      <c r="B434" s="29" t="s">
        <v>530</v>
      </c>
      <c r="C434" s="29" t="s">
        <v>1021</v>
      </c>
      <c r="D434" s="29" t="s">
        <v>17</v>
      </c>
      <c r="E434" s="7">
        <v>45708</v>
      </c>
      <c r="F434" s="29" t="s">
        <v>58</v>
      </c>
      <c r="G434">
        <v>1</v>
      </c>
      <c r="H434">
        <v>1488</v>
      </c>
      <c r="I434" s="29" t="s">
        <v>76</v>
      </c>
      <c r="J434">
        <v>1488</v>
      </c>
    </row>
    <row r="435" spans="2:10" x14ac:dyDescent="0.25">
      <c r="B435" s="29" t="s">
        <v>531</v>
      </c>
      <c r="C435" s="29" t="s">
        <v>1010</v>
      </c>
      <c r="D435" s="29" t="s">
        <v>21</v>
      </c>
      <c r="E435" s="7">
        <v>45890</v>
      </c>
      <c r="F435" s="29" t="s">
        <v>58</v>
      </c>
      <c r="G435">
        <v>1</v>
      </c>
      <c r="H435">
        <v>1702</v>
      </c>
      <c r="I435" s="29" t="s">
        <v>76</v>
      </c>
      <c r="J435">
        <v>1702</v>
      </c>
    </row>
    <row r="436" spans="2:10" x14ac:dyDescent="0.25">
      <c r="B436" s="29" t="s">
        <v>532</v>
      </c>
      <c r="C436" s="29" t="s">
        <v>1004</v>
      </c>
      <c r="D436" s="29" t="s">
        <v>19</v>
      </c>
      <c r="E436" s="7">
        <v>45897</v>
      </c>
      <c r="F436" s="29" t="s">
        <v>58</v>
      </c>
      <c r="G436">
        <v>6</v>
      </c>
      <c r="H436">
        <v>1769</v>
      </c>
      <c r="I436" s="29" t="s">
        <v>1058</v>
      </c>
      <c r="J436">
        <v>10614</v>
      </c>
    </row>
    <row r="437" spans="2:10" x14ac:dyDescent="0.25">
      <c r="B437" s="29" t="s">
        <v>533</v>
      </c>
      <c r="C437" s="29" t="s">
        <v>1010</v>
      </c>
      <c r="D437" s="29" t="s">
        <v>27</v>
      </c>
      <c r="E437" s="7">
        <v>45996</v>
      </c>
      <c r="F437" s="29" t="s">
        <v>57</v>
      </c>
      <c r="G437">
        <v>8</v>
      </c>
      <c r="H437">
        <v>2362</v>
      </c>
      <c r="I437" s="29" t="s">
        <v>1058</v>
      </c>
      <c r="J437">
        <v>18896</v>
      </c>
    </row>
    <row r="438" spans="2:10" x14ac:dyDescent="0.25">
      <c r="B438" s="29" t="s">
        <v>534</v>
      </c>
      <c r="C438" s="29" t="s">
        <v>1004</v>
      </c>
      <c r="D438" s="29" t="s">
        <v>14</v>
      </c>
      <c r="E438" s="7">
        <v>45925</v>
      </c>
      <c r="F438" s="29" t="s">
        <v>58</v>
      </c>
      <c r="G438">
        <v>4</v>
      </c>
      <c r="H438">
        <v>497</v>
      </c>
      <c r="I438" s="29" t="s">
        <v>76</v>
      </c>
      <c r="J438">
        <v>1988</v>
      </c>
    </row>
    <row r="439" spans="2:10" x14ac:dyDescent="0.25">
      <c r="B439" s="29" t="s">
        <v>535</v>
      </c>
      <c r="C439" s="29" t="s">
        <v>1004</v>
      </c>
      <c r="D439" s="29" t="s">
        <v>23</v>
      </c>
      <c r="E439" s="7">
        <v>45753</v>
      </c>
      <c r="F439" s="29" t="s">
        <v>58</v>
      </c>
      <c r="G439">
        <v>2</v>
      </c>
      <c r="H439">
        <v>1984</v>
      </c>
      <c r="I439" s="29" t="s">
        <v>1058</v>
      </c>
      <c r="J439">
        <v>3968</v>
      </c>
    </row>
    <row r="440" spans="2:10" x14ac:dyDescent="0.25">
      <c r="B440" s="29" t="s">
        <v>536</v>
      </c>
      <c r="C440" s="29" t="s">
        <v>1013</v>
      </c>
      <c r="D440" s="29" t="s">
        <v>23</v>
      </c>
      <c r="E440" s="7">
        <v>45722</v>
      </c>
      <c r="F440" s="29" t="s">
        <v>57</v>
      </c>
      <c r="G440">
        <v>5</v>
      </c>
      <c r="H440">
        <v>3995</v>
      </c>
      <c r="I440" s="29" t="s">
        <v>76</v>
      </c>
      <c r="J440">
        <v>19975</v>
      </c>
    </row>
    <row r="441" spans="2:10" x14ac:dyDescent="0.25">
      <c r="B441" s="29" t="s">
        <v>537</v>
      </c>
      <c r="C441" s="29" t="s">
        <v>1009</v>
      </c>
      <c r="D441" s="29" t="s">
        <v>11</v>
      </c>
      <c r="E441" s="7">
        <v>45819</v>
      </c>
      <c r="F441" s="29" t="s">
        <v>58</v>
      </c>
      <c r="G441">
        <v>7</v>
      </c>
      <c r="H441">
        <v>2533</v>
      </c>
      <c r="I441" s="29" t="s">
        <v>1058</v>
      </c>
      <c r="J441">
        <v>17731</v>
      </c>
    </row>
    <row r="442" spans="2:10" x14ac:dyDescent="0.25">
      <c r="B442" s="29" t="s">
        <v>538</v>
      </c>
      <c r="C442" s="29" t="s">
        <v>1017</v>
      </c>
      <c r="D442" s="29" t="s">
        <v>21</v>
      </c>
      <c r="E442" s="7">
        <v>45996</v>
      </c>
      <c r="F442" s="29" t="s">
        <v>57</v>
      </c>
      <c r="G442">
        <v>10</v>
      </c>
      <c r="H442">
        <v>4888</v>
      </c>
      <c r="I442" s="29" t="s">
        <v>76</v>
      </c>
      <c r="J442">
        <v>48880</v>
      </c>
    </row>
    <row r="443" spans="2:10" x14ac:dyDescent="0.25">
      <c r="B443" s="29" t="s">
        <v>539</v>
      </c>
      <c r="C443" s="29" t="s">
        <v>1009</v>
      </c>
      <c r="D443" s="29" t="s">
        <v>21</v>
      </c>
      <c r="E443" s="7">
        <v>45820</v>
      </c>
      <c r="F443" s="29" t="s">
        <v>57</v>
      </c>
      <c r="G443">
        <v>3</v>
      </c>
      <c r="H443">
        <v>2238</v>
      </c>
      <c r="I443" s="29" t="s">
        <v>1058</v>
      </c>
      <c r="J443">
        <v>6714</v>
      </c>
    </row>
    <row r="444" spans="2:10" x14ac:dyDescent="0.25">
      <c r="B444" s="29" t="s">
        <v>540</v>
      </c>
      <c r="C444" s="29" t="s">
        <v>1022</v>
      </c>
      <c r="D444" s="29" t="s">
        <v>14</v>
      </c>
      <c r="E444" s="7">
        <v>45749</v>
      </c>
      <c r="F444" s="29" t="s">
        <v>58</v>
      </c>
      <c r="G444">
        <v>4</v>
      </c>
      <c r="H444">
        <v>2028</v>
      </c>
      <c r="I444" s="29" t="s">
        <v>76</v>
      </c>
      <c r="J444">
        <v>8112</v>
      </c>
    </row>
    <row r="445" spans="2:10" x14ac:dyDescent="0.25">
      <c r="B445" s="29" t="s">
        <v>541</v>
      </c>
      <c r="C445" s="29" t="s">
        <v>1007</v>
      </c>
      <c r="D445" s="29" t="s">
        <v>21</v>
      </c>
      <c r="E445" s="7">
        <v>45910</v>
      </c>
      <c r="F445" s="29" t="s">
        <v>57</v>
      </c>
      <c r="G445">
        <v>10</v>
      </c>
      <c r="H445">
        <v>574</v>
      </c>
      <c r="I445" s="29" t="s">
        <v>84</v>
      </c>
      <c r="J445">
        <v>5740</v>
      </c>
    </row>
    <row r="446" spans="2:10" x14ac:dyDescent="0.25">
      <c r="B446" s="29" t="s">
        <v>542</v>
      </c>
      <c r="C446" s="29" t="s">
        <v>1010</v>
      </c>
      <c r="D446" s="29" t="s">
        <v>19</v>
      </c>
      <c r="E446" s="7">
        <v>45885</v>
      </c>
      <c r="F446" s="29" t="s">
        <v>57</v>
      </c>
      <c r="G446">
        <v>3</v>
      </c>
      <c r="H446">
        <v>495</v>
      </c>
      <c r="I446" s="29" t="s">
        <v>1058</v>
      </c>
      <c r="J446">
        <v>1485</v>
      </c>
    </row>
    <row r="447" spans="2:10" x14ac:dyDescent="0.25">
      <c r="B447" s="29" t="s">
        <v>543</v>
      </c>
      <c r="C447" s="29" t="s">
        <v>1006</v>
      </c>
      <c r="D447" s="29" t="s">
        <v>21</v>
      </c>
      <c r="E447" s="7">
        <v>45941</v>
      </c>
      <c r="F447" s="29" t="s">
        <v>57</v>
      </c>
      <c r="G447">
        <v>9</v>
      </c>
      <c r="H447">
        <v>3242</v>
      </c>
      <c r="I447" s="29" t="s">
        <v>1058</v>
      </c>
      <c r="J447">
        <v>29178</v>
      </c>
    </row>
    <row r="448" spans="2:10" x14ac:dyDescent="0.25">
      <c r="B448" s="29" t="s">
        <v>544</v>
      </c>
      <c r="C448" s="29" t="s">
        <v>1005</v>
      </c>
      <c r="D448" s="29" t="s">
        <v>17</v>
      </c>
      <c r="E448" s="7">
        <v>45915</v>
      </c>
      <c r="F448" s="29" t="s">
        <v>57</v>
      </c>
      <c r="G448">
        <v>6</v>
      </c>
      <c r="H448">
        <v>1630</v>
      </c>
      <c r="I448" s="29" t="s">
        <v>84</v>
      </c>
      <c r="J448">
        <v>9780</v>
      </c>
    </row>
    <row r="449" spans="2:10" x14ac:dyDescent="0.25">
      <c r="B449" s="29" t="s">
        <v>545</v>
      </c>
      <c r="C449" s="29" t="s">
        <v>1004</v>
      </c>
      <c r="D449" s="29" t="s">
        <v>21</v>
      </c>
      <c r="E449" s="7">
        <v>45811</v>
      </c>
      <c r="F449" s="29" t="s">
        <v>58</v>
      </c>
      <c r="G449">
        <v>7</v>
      </c>
      <c r="H449">
        <v>2245</v>
      </c>
      <c r="I449" s="29" t="s">
        <v>1058</v>
      </c>
      <c r="J449">
        <v>15715</v>
      </c>
    </row>
    <row r="450" spans="2:10" x14ac:dyDescent="0.25">
      <c r="B450" s="29" t="s">
        <v>546</v>
      </c>
      <c r="C450" s="29" t="s">
        <v>1006</v>
      </c>
      <c r="D450" s="29" t="s">
        <v>14</v>
      </c>
      <c r="E450" s="7">
        <v>45781</v>
      </c>
      <c r="F450" s="29" t="s">
        <v>58</v>
      </c>
      <c r="G450">
        <v>6</v>
      </c>
      <c r="H450">
        <v>3039</v>
      </c>
      <c r="I450" s="29" t="s">
        <v>84</v>
      </c>
      <c r="J450">
        <v>18234</v>
      </c>
    </row>
    <row r="451" spans="2:10" x14ac:dyDescent="0.25">
      <c r="B451" s="29" t="s">
        <v>547</v>
      </c>
      <c r="C451" s="29" t="s">
        <v>1011</v>
      </c>
      <c r="D451" s="29" t="s">
        <v>27</v>
      </c>
      <c r="E451" s="7">
        <v>45966</v>
      </c>
      <c r="F451" s="29" t="s">
        <v>58</v>
      </c>
      <c r="G451">
        <v>1</v>
      </c>
      <c r="H451">
        <v>794</v>
      </c>
      <c r="I451" s="29" t="s">
        <v>1058</v>
      </c>
      <c r="J451">
        <v>794</v>
      </c>
    </row>
    <row r="452" spans="2:10" x14ac:dyDescent="0.25">
      <c r="B452" s="29" t="s">
        <v>548</v>
      </c>
      <c r="C452" s="29" t="s">
        <v>1020</v>
      </c>
      <c r="D452" s="29" t="s">
        <v>23</v>
      </c>
      <c r="E452" s="7">
        <v>45981</v>
      </c>
      <c r="F452" s="29" t="s">
        <v>57</v>
      </c>
      <c r="G452">
        <v>5</v>
      </c>
      <c r="H452">
        <v>3576</v>
      </c>
      <c r="I452" s="29" t="s">
        <v>84</v>
      </c>
      <c r="J452">
        <v>17880</v>
      </c>
    </row>
    <row r="453" spans="2:10" x14ac:dyDescent="0.25">
      <c r="B453" s="29" t="s">
        <v>549</v>
      </c>
      <c r="C453" s="29" t="s">
        <v>1007</v>
      </c>
      <c r="D453" s="29" t="s">
        <v>19</v>
      </c>
      <c r="E453" s="7">
        <v>45795</v>
      </c>
      <c r="F453" s="29" t="s">
        <v>57</v>
      </c>
      <c r="G453">
        <v>2</v>
      </c>
      <c r="H453">
        <v>3344</v>
      </c>
      <c r="I453" s="29" t="s">
        <v>76</v>
      </c>
      <c r="J453">
        <v>6688</v>
      </c>
    </row>
    <row r="454" spans="2:10" x14ac:dyDescent="0.25">
      <c r="B454" s="29" t="s">
        <v>550</v>
      </c>
      <c r="C454" s="29" t="s">
        <v>1019</v>
      </c>
      <c r="D454" s="29" t="s">
        <v>27</v>
      </c>
      <c r="E454" s="7">
        <v>45925</v>
      </c>
      <c r="F454" s="29" t="s">
        <v>58</v>
      </c>
      <c r="G454">
        <v>1</v>
      </c>
      <c r="H454">
        <v>3338</v>
      </c>
      <c r="I454" s="29" t="s">
        <v>84</v>
      </c>
      <c r="J454">
        <v>3338</v>
      </c>
    </row>
    <row r="455" spans="2:10" x14ac:dyDescent="0.25">
      <c r="B455" s="29" t="s">
        <v>551</v>
      </c>
      <c r="C455" s="29" t="s">
        <v>1016</v>
      </c>
      <c r="D455" s="29" t="s">
        <v>14</v>
      </c>
      <c r="E455" s="7">
        <v>45860</v>
      </c>
      <c r="F455" s="29" t="s">
        <v>58</v>
      </c>
      <c r="G455">
        <v>2</v>
      </c>
      <c r="H455">
        <v>653</v>
      </c>
      <c r="I455" s="29" t="s">
        <v>76</v>
      </c>
      <c r="J455">
        <v>1306</v>
      </c>
    </row>
    <row r="456" spans="2:10" x14ac:dyDescent="0.25">
      <c r="B456" s="29" t="s">
        <v>552</v>
      </c>
      <c r="C456" s="29" t="s">
        <v>1010</v>
      </c>
      <c r="D456" s="29" t="s">
        <v>21</v>
      </c>
      <c r="E456" s="7">
        <v>45854</v>
      </c>
      <c r="F456" s="29" t="s">
        <v>58</v>
      </c>
      <c r="G456">
        <v>2</v>
      </c>
      <c r="H456">
        <v>3666</v>
      </c>
      <c r="I456" s="29" t="s">
        <v>1058</v>
      </c>
      <c r="J456">
        <v>7332</v>
      </c>
    </row>
    <row r="457" spans="2:10" x14ac:dyDescent="0.25">
      <c r="B457" s="29" t="s">
        <v>553</v>
      </c>
      <c r="C457" s="29" t="s">
        <v>1007</v>
      </c>
      <c r="D457" s="29" t="s">
        <v>11</v>
      </c>
      <c r="E457" s="7">
        <v>45689</v>
      </c>
      <c r="F457" s="29" t="s">
        <v>58</v>
      </c>
      <c r="G457">
        <v>7</v>
      </c>
      <c r="H457">
        <v>4648</v>
      </c>
      <c r="I457" s="29" t="s">
        <v>84</v>
      </c>
      <c r="J457">
        <v>32536</v>
      </c>
    </row>
    <row r="458" spans="2:10" x14ac:dyDescent="0.25">
      <c r="B458" s="29" t="s">
        <v>554</v>
      </c>
      <c r="C458" s="29" t="s">
        <v>1021</v>
      </c>
      <c r="D458" s="29" t="s">
        <v>14</v>
      </c>
      <c r="E458" s="7">
        <v>45833</v>
      </c>
      <c r="F458" s="29" t="s">
        <v>57</v>
      </c>
      <c r="G458">
        <v>1</v>
      </c>
      <c r="H458">
        <v>2169</v>
      </c>
      <c r="I458" s="29" t="s">
        <v>1058</v>
      </c>
      <c r="J458">
        <v>2169</v>
      </c>
    </row>
    <row r="459" spans="2:10" x14ac:dyDescent="0.25">
      <c r="B459" s="29" t="s">
        <v>555</v>
      </c>
      <c r="C459" s="29" t="s">
        <v>1016</v>
      </c>
      <c r="D459" s="29" t="s">
        <v>11</v>
      </c>
      <c r="E459" s="7">
        <v>45753</v>
      </c>
      <c r="F459" s="29" t="s">
        <v>57</v>
      </c>
      <c r="G459">
        <v>5</v>
      </c>
      <c r="H459">
        <v>3596</v>
      </c>
      <c r="I459" s="29" t="s">
        <v>84</v>
      </c>
      <c r="J459">
        <v>17980</v>
      </c>
    </row>
    <row r="460" spans="2:10" x14ac:dyDescent="0.25">
      <c r="B460" s="29" t="s">
        <v>556</v>
      </c>
      <c r="C460" s="29" t="s">
        <v>1020</v>
      </c>
      <c r="D460" s="29" t="s">
        <v>17</v>
      </c>
      <c r="E460" s="7">
        <v>45813</v>
      </c>
      <c r="F460" s="29" t="s">
        <v>57</v>
      </c>
      <c r="G460">
        <v>1</v>
      </c>
      <c r="H460">
        <v>2678</v>
      </c>
      <c r="I460" s="29" t="s">
        <v>76</v>
      </c>
      <c r="J460">
        <v>2678</v>
      </c>
    </row>
    <row r="461" spans="2:10" x14ac:dyDescent="0.25">
      <c r="B461" s="29" t="s">
        <v>557</v>
      </c>
      <c r="C461" s="29" t="s">
        <v>1014</v>
      </c>
      <c r="D461" s="29" t="s">
        <v>19</v>
      </c>
      <c r="E461" s="7">
        <v>45756</v>
      </c>
      <c r="F461" s="29" t="s">
        <v>57</v>
      </c>
      <c r="G461">
        <v>7</v>
      </c>
      <c r="H461">
        <v>1954</v>
      </c>
      <c r="I461" s="29" t="s">
        <v>84</v>
      </c>
      <c r="J461">
        <v>13678</v>
      </c>
    </row>
    <row r="462" spans="2:10" x14ac:dyDescent="0.25">
      <c r="B462" s="29" t="s">
        <v>558</v>
      </c>
      <c r="C462" s="29" t="s">
        <v>1015</v>
      </c>
      <c r="D462" s="29" t="s">
        <v>27</v>
      </c>
      <c r="E462" s="7">
        <v>45691</v>
      </c>
      <c r="F462" s="29" t="s">
        <v>57</v>
      </c>
      <c r="G462">
        <v>9</v>
      </c>
      <c r="H462">
        <v>310</v>
      </c>
      <c r="I462" s="29" t="s">
        <v>1058</v>
      </c>
      <c r="J462">
        <v>2790</v>
      </c>
    </row>
    <row r="463" spans="2:10" x14ac:dyDescent="0.25">
      <c r="B463" s="29" t="s">
        <v>559</v>
      </c>
      <c r="C463" s="29" t="s">
        <v>1013</v>
      </c>
      <c r="D463" s="29" t="s">
        <v>19</v>
      </c>
      <c r="E463" s="7">
        <v>45946</v>
      </c>
      <c r="F463" s="29" t="s">
        <v>57</v>
      </c>
      <c r="G463">
        <v>4</v>
      </c>
      <c r="H463">
        <v>441</v>
      </c>
      <c r="I463" s="29" t="s">
        <v>1058</v>
      </c>
      <c r="J463">
        <v>1764</v>
      </c>
    </row>
    <row r="464" spans="2:10" x14ac:dyDescent="0.25">
      <c r="B464" s="29" t="s">
        <v>560</v>
      </c>
      <c r="C464" s="29" t="s">
        <v>1017</v>
      </c>
      <c r="D464" s="29" t="s">
        <v>27</v>
      </c>
      <c r="E464" s="7">
        <v>45704</v>
      </c>
      <c r="F464" s="29" t="s">
        <v>58</v>
      </c>
      <c r="G464">
        <v>4</v>
      </c>
      <c r="H464">
        <v>1389</v>
      </c>
      <c r="I464" s="29" t="s">
        <v>76</v>
      </c>
      <c r="J464">
        <v>5556</v>
      </c>
    </row>
    <row r="465" spans="2:10" x14ac:dyDescent="0.25">
      <c r="B465" s="29" t="s">
        <v>561</v>
      </c>
      <c r="C465" s="29" t="s">
        <v>1005</v>
      </c>
      <c r="D465" s="29" t="s">
        <v>11</v>
      </c>
      <c r="E465" s="7">
        <v>45883</v>
      </c>
      <c r="F465" s="29" t="s">
        <v>58</v>
      </c>
      <c r="G465">
        <v>2</v>
      </c>
      <c r="H465">
        <v>1023</v>
      </c>
      <c r="I465" s="29" t="s">
        <v>84</v>
      </c>
      <c r="J465">
        <v>2046</v>
      </c>
    </row>
    <row r="466" spans="2:10" x14ac:dyDescent="0.25">
      <c r="B466" s="29" t="s">
        <v>562</v>
      </c>
      <c r="C466" s="29" t="s">
        <v>1011</v>
      </c>
      <c r="D466" s="29" t="s">
        <v>23</v>
      </c>
      <c r="E466" s="7">
        <v>45826</v>
      </c>
      <c r="F466" s="29" t="s">
        <v>57</v>
      </c>
      <c r="G466">
        <v>7</v>
      </c>
      <c r="H466">
        <v>3521</v>
      </c>
      <c r="I466" s="29" t="s">
        <v>76</v>
      </c>
      <c r="J466">
        <v>24647</v>
      </c>
    </row>
    <row r="467" spans="2:10" x14ac:dyDescent="0.25">
      <c r="B467" s="29" t="s">
        <v>563</v>
      </c>
      <c r="C467" s="29" t="s">
        <v>1019</v>
      </c>
      <c r="D467" s="29" t="s">
        <v>14</v>
      </c>
      <c r="E467" s="7">
        <v>45953</v>
      </c>
      <c r="F467" s="29" t="s">
        <v>57</v>
      </c>
      <c r="G467">
        <v>10</v>
      </c>
      <c r="H467">
        <v>1928</v>
      </c>
      <c r="I467" s="29" t="s">
        <v>84</v>
      </c>
      <c r="J467">
        <v>19280</v>
      </c>
    </row>
    <row r="468" spans="2:10" x14ac:dyDescent="0.25">
      <c r="B468" s="29" t="s">
        <v>564</v>
      </c>
      <c r="C468" s="29" t="s">
        <v>1010</v>
      </c>
      <c r="D468" s="29" t="s">
        <v>14</v>
      </c>
      <c r="E468" s="7">
        <v>45798</v>
      </c>
      <c r="F468" s="29" t="s">
        <v>58</v>
      </c>
      <c r="G468">
        <v>4</v>
      </c>
      <c r="H468">
        <v>577</v>
      </c>
      <c r="I468" s="29" t="s">
        <v>1058</v>
      </c>
      <c r="J468">
        <v>2308</v>
      </c>
    </row>
    <row r="469" spans="2:10" x14ac:dyDescent="0.25">
      <c r="B469" s="29" t="s">
        <v>565</v>
      </c>
      <c r="C469" s="29" t="s">
        <v>1007</v>
      </c>
      <c r="D469" s="29" t="s">
        <v>27</v>
      </c>
      <c r="E469" s="7">
        <v>45886</v>
      </c>
      <c r="F469" s="29" t="s">
        <v>57</v>
      </c>
      <c r="G469">
        <v>7</v>
      </c>
      <c r="H469">
        <v>2632</v>
      </c>
      <c r="I469" s="29" t="s">
        <v>84</v>
      </c>
      <c r="J469">
        <v>18424</v>
      </c>
    </row>
    <row r="470" spans="2:10" x14ac:dyDescent="0.25">
      <c r="B470" s="29" t="s">
        <v>566</v>
      </c>
      <c r="C470" s="29" t="s">
        <v>1020</v>
      </c>
      <c r="D470" s="29" t="s">
        <v>21</v>
      </c>
      <c r="E470" s="7">
        <v>45702</v>
      </c>
      <c r="F470" s="29" t="s">
        <v>58</v>
      </c>
      <c r="G470">
        <v>10</v>
      </c>
      <c r="H470">
        <v>2618</v>
      </c>
      <c r="I470" s="29" t="s">
        <v>76</v>
      </c>
      <c r="J470">
        <v>26180</v>
      </c>
    </row>
    <row r="471" spans="2:10" x14ac:dyDescent="0.25">
      <c r="B471" s="29" t="s">
        <v>567</v>
      </c>
      <c r="C471" s="29" t="s">
        <v>1019</v>
      </c>
      <c r="D471" s="29" t="s">
        <v>23</v>
      </c>
      <c r="E471" s="7">
        <v>45962</v>
      </c>
      <c r="F471" s="29" t="s">
        <v>57</v>
      </c>
      <c r="G471">
        <v>6</v>
      </c>
      <c r="H471">
        <v>3854</v>
      </c>
      <c r="I471" s="29" t="s">
        <v>84</v>
      </c>
      <c r="J471">
        <v>23124</v>
      </c>
    </row>
    <row r="472" spans="2:10" x14ac:dyDescent="0.25">
      <c r="B472" s="29" t="s">
        <v>568</v>
      </c>
      <c r="C472" s="29" t="s">
        <v>1022</v>
      </c>
      <c r="D472" s="29" t="s">
        <v>21</v>
      </c>
      <c r="E472" s="7">
        <v>45921</v>
      </c>
      <c r="F472" s="29" t="s">
        <v>58</v>
      </c>
      <c r="G472">
        <v>4</v>
      </c>
      <c r="H472">
        <v>1023</v>
      </c>
      <c r="I472" s="29" t="s">
        <v>76</v>
      </c>
      <c r="J472">
        <v>4092</v>
      </c>
    </row>
    <row r="473" spans="2:10" x14ac:dyDescent="0.25">
      <c r="B473" s="29" t="s">
        <v>569</v>
      </c>
      <c r="C473" s="29" t="s">
        <v>1021</v>
      </c>
      <c r="D473" s="29" t="s">
        <v>21</v>
      </c>
      <c r="E473" s="7">
        <v>45707</v>
      </c>
      <c r="F473" s="29" t="s">
        <v>58</v>
      </c>
      <c r="G473">
        <v>3</v>
      </c>
      <c r="H473">
        <v>2579</v>
      </c>
      <c r="I473" s="29" t="s">
        <v>84</v>
      </c>
      <c r="J473">
        <v>7737</v>
      </c>
    </row>
    <row r="474" spans="2:10" x14ac:dyDescent="0.25">
      <c r="B474" s="29" t="s">
        <v>570</v>
      </c>
      <c r="C474" s="29" t="s">
        <v>1019</v>
      </c>
      <c r="D474" s="29" t="s">
        <v>19</v>
      </c>
      <c r="E474" s="7">
        <v>45949</v>
      </c>
      <c r="F474" s="29" t="s">
        <v>58</v>
      </c>
      <c r="G474">
        <v>9</v>
      </c>
      <c r="H474">
        <v>3360</v>
      </c>
      <c r="I474" s="29" t="s">
        <v>76</v>
      </c>
      <c r="J474">
        <v>30240</v>
      </c>
    </row>
    <row r="475" spans="2:10" x14ac:dyDescent="0.25">
      <c r="B475" s="29" t="s">
        <v>571</v>
      </c>
      <c r="C475" s="29" t="s">
        <v>1009</v>
      </c>
      <c r="D475" s="29" t="s">
        <v>17</v>
      </c>
      <c r="E475" s="7">
        <v>45906</v>
      </c>
      <c r="F475" s="29" t="s">
        <v>57</v>
      </c>
      <c r="G475">
        <v>6</v>
      </c>
      <c r="H475">
        <v>2017</v>
      </c>
      <c r="I475" s="29" t="s">
        <v>1058</v>
      </c>
      <c r="J475">
        <v>12102</v>
      </c>
    </row>
    <row r="476" spans="2:10" x14ac:dyDescent="0.25">
      <c r="B476" s="29" t="s">
        <v>572</v>
      </c>
      <c r="C476" s="29" t="s">
        <v>1008</v>
      </c>
      <c r="D476" s="29" t="s">
        <v>19</v>
      </c>
      <c r="E476" s="7">
        <v>45948</v>
      </c>
      <c r="F476" s="29" t="s">
        <v>57</v>
      </c>
      <c r="G476">
        <v>7</v>
      </c>
      <c r="H476">
        <v>3502</v>
      </c>
      <c r="I476" s="29" t="s">
        <v>84</v>
      </c>
      <c r="J476">
        <v>24514</v>
      </c>
    </row>
    <row r="477" spans="2:10" x14ac:dyDescent="0.25">
      <c r="B477" s="29" t="s">
        <v>573</v>
      </c>
      <c r="C477" s="29" t="s">
        <v>1008</v>
      </c>
      <c r="D477" s="29" t="s">
        <v>14</v>
      </c>
      <c r="E477" s="7">
        <v>45920</v>
      </c>
      <c r="F477" s="29" t="s">
        <v>58</v>
      </c>
      <c r="G477">
        <v>5</v>
      </c>
      <c r="H477">
        <v>1642</v>
      </c>
      <c r="I477" s="29" t="s">
        <v>84</v>
      </c>
      <c r="J477">
        <v>8210</v>
      </c>
    </row>
    <row r="478" spans="2:10" x14ac:dyDescent="0.25">
      <c r="B478" s="29" t="s">
        <v>574</v>
      </c>
      <c r="C478" s="29" t="s">
        <v>1022</v>
      </c>
      <c r="D478" s="29" t="s">
        <v>21</v>
      </c>
      <c r="E478" s="7">
        <v>45664</v>
      </c>
      <c r="F478" s="29" t="s">
        <v>57</v>
      </c>
      <c r="G478">
        <v>7</v>
      </c>
      <c r="H478">
        <v>1545</v>
      </c>
      <c r="I478" s="29" t="s">
        <v>76</v>
      </c>
      <c r="J478">
        <v>10815</v>
      </c>
    </row>
    <row r="479" spans="2:10" x14ac:dyDescent="0.25">
      <c r="B479" s="29" t="s">
        <v>575</v>
      </c>
      <c r="C479" s="29" t="s">
        <v>1011</v>
      </c>
      <c r="D479" s="29" t="s">
        <v>21</v>
      </c>
      <c r="E479" s="7">
        <v>45973</v>
      </c>
      <c r="F479" s="29" t="s">
        <v>57</v>
      </c>
      <c r="G479">
        <v>2</v>
      </c>
      <c r="H479">
        <v>2174</v>
      </c>
      <c r="I479" s="29" t="s">
        <v>76</v>
      </c>
      <c r="J479">
        <v>4348</v>
      </c>
    </row>
    <row r="480" spans="2:10" x14ac:dyDescent="0.25">
      <c r="B480" s="29" t="s">
        <v>576</v>
      </c>
      <c r="C480" s="29" t="s">
        <v>1017</v>
      </c>
      <c r="D480" s="29" t="s">
        <v>11</v>
      </c>
      <c r="E480" s="7">
        <v>45789</v>
      </c>
      <c r="F480" s="29" t="s">
        <v>58</v>
      </c>
      <c r="G480">
        <v>6</v>
      </c>
      <c r="H480">
        <v>3813</v>
      </c>
      <c r="I480" s="29" t="s">
        <v>76</v>
      </c>
      <c r="J480">
        <v>22878</v>
      </c>
    </row>
    <row r="481" spans="2:10" x14ac:dyDescent="0.25">
      <c r="B481" s="29" t="s">
        <v>577</v>
      </c>
      <c r="C481" s="29" t="s">
        <v>1013</v>
      </c>
      <c r="D481" s="29" t="s">
        <v>14</v>
      </c>
      <c r="E481" s="7">
        <v>45680</v>
      </c>
      <c r="F481" s="29" t="s">
        <v>57</v>
      </c>
      <c r="G481">
        <v>4</v>
      </c>
      <c r="H481">
        <v>599</v>
      </c>
      <c r="I481" s="29" t="s">
        <v>84</v>
      </c>
      <c r="J481">
        <v>2396</v>
      </c>
    </row>
    <row r="482" spans="2:10" x14ac:dyDescent="0.25">
      <c r="B482" s="29" t="s">
        <v>578</v>
      </c>
      <c r="C482" s="29" t="s">
        <v>1016</v>
      </c>
      <c r="D482" s="29" t="s">
        <v>14</v>
      </c>
      <c r="E482" s="7">
        <v>45876</v>
      </c>
      <c r="F482" s="29" t="s">
        <v>57</v>
      </c>
      <c r="G482">
        <v>7</v>
      </c>
      <c r="H482">
        <v>2932</v>
      </c>
      <c r="I482" s="29" t="s">
        <v>84</v>
      </c>
      <c r="J482">
        <v>20524</v>
      </c>
    </row>
    <row r="483" spans="2:10" x14ac:dyDescent="0.25">
      <c r="B483" s="29" t="s">
        <v>579</v>
      </c>
      <c r="C483" s="29" t="s">
        <v>1004</v>
      </c>
      <c r="D483" s="29" t="s">
        <v>11</v>
      </c>
      <c r="E483" s="7">
        <v>45735</v>
      </c>
      <c r="F483" s="29" t="s">
        <v>58</v>
      </c>
      <c r="G483">
        <v>7</v>
      </c>
      <c r="H483">
        <v>125</v>
      </c>
      <c r="I483" s="29" t="s">
        <v>76</v>
      </c>
      <c r="J483">
        <v>875</v>
      </c>
    </row>
    <row r="484" spans="2:10" x14ac:dyDescent="0.25">
      <c r="B484" s="29" t="s">
        <v>580</v>
      </c>
      <c r="C484" s="29" t="s">
        <v>1007</v>
      </c>
      <c r="D484" s="29" t="s">
        <v>19</v>
      </c>
      <c r="E484" s="7">
        <v>45660</v>
      </c>
      <c r="F484" s="29" t="s">
        <v>57</v>
      </c>
      <c r="G484">
        <v>3</v>
      </c>
      <c r="H484">
        <v>2735</v>
      </c>
      <c r="I484" s="29" t="s">
        <v>76</v>
      </c>
      <c r="J484">
        <v>8205</v>
      </c>
    </row>
    <row r="485" spans="2:10" x14ac:dyDescent="0.25">
      <c r="B485" s="29" t="s">
        <v>581</v>
      </c>
      <c r="C485" s="29" t="s">
        <v>1012</v>
      </c>
      <c r="D485" s="29" t="s">
        <v>19</v>
      </c>
      <c r="E485" s="7">
        <v>45958</v>
      </c>
      <c r="F485" s="29" t="s">
        <v>57</v>
      </c>
      <c r="G485">
        <v>3</v>
      </c>
      <c r="H485">
        <v>228</v>
      </c>
      <c r="I485" s="29" t="s">
        <v>1058</v>
      </c>
      <c r="J485">
        <v>684</v>
      </c>
    </row>
    <row r="486" spans="2:10" x14ac:dyDescent="0.25">
      <c r="B486" s="29" t="s">
        <v>582</v>
      </c>
      <c r="C486" s="29" t="s">
        <v>1017</v>
      </c>
      <c r="D486" s="29" t="s">
        <v>23</v>
      </c>
      <c r="E486" s="7">
        <v>45707</v>
      </c>
      <c r="F486" s="29" t="s">
        <v>57</v>
      </c>
      <c r="G486">
        <v>1</v>
      </c>
      <c r="H486">
        <v>3318</v>
      </c>
      <c r="I486" s="29" t="s">
        <v>1058</v>
      </c>
      <c r="J486">
        <v>3318</v>
      </c>
    </row>
    <row r="487" spans="2:10" x14ac:dyDescent="0.25">
      <c r="B487" s="29" t="s">
        <v>583</v>
      </c>
      <c r="C487" s="29" t="s">
        <v>1020</v>
      </c>
      <c r="D487" s="29" t="s">
        <v>23</v>
      </c>
      <c r="E487" s="7">
        <v>45775</v>
      </c>
      <c r="F487" s="29" t="s">
        <v>57</v>
      </c>
      <c r="G487">
        <v>4</v>
      </c>
      <c r="H487">
        <v>1628</v>
      </c>
      <c r="I487" s="29" t="s">
        <v>76</v>
      </c>
      <c r="J487">
        <v>6512</v>
      </c>
    </row>
    <row r="488" spans="2:10" x14ac:dyDescent="0.25">
      <c r="B488" s="29" t="s">
        <v>584</v>
      </c>
      <c r="C488" s="29" t="s">
        <v>1013</v>
      </c>
      <c r="D488" s="29" t="s">
        <v>17</v>
      </c>
      <c r="E488" s="7">
        <v>45830</v>
      </c>
      <c r="F488" s="29" t="s">
        <v>57</v>
      </c>
      <c r="G488">
        <v>1</v>
      </c>
      <c r="H488">
        <v>1044</v>
      </c>
      <c r="I488" s="29" t="s">
        <v>1058</v>
      </c>
      <c r="J488">
        <v>1044</v>
      </c>
    </row>
    <row r="489" spans="2:10" x14ac:dyDescent="0.25">
      <c r="B489" s="29" t="s">
        <v>585</v>
      </c>
      <c r="C489" s="29" t="s">
        <v>1022</v>
      </c>
      <c r="D489" s="29" t="s">
        <v>23</v>
      </c>
      <c r="E489" s="7">
        <v>45845</v>
      </c>
      <c r="F489" s="29" t="s">
        <v>58</v>
      </c>
      <c r="G489">
        <v>5</v>
      </c>
      <c r="H489">
        <v>1308</v>
      </c>
      <c r="I489" s="29" t="s">
        <v>76</v>
      </c>
      <c r="J489">
        <v>6540</v>
      </c>
    </row>
    <row r="490" spans="2:10" x14ac:dyDescent="0.25">
      <c r="B490" s="29" t="s">
        <v>586</v>
      </c>
      <c r="C490" s="29" t="s">
        <v>1010</v>
      </c>
      <c r="D490" s="29" t="s">
        <v>17</v>
      </c>
      <c r="E490" s="7">
        <v>45732</v>
      </c>
      <c r="F490" s="29" t="s">
        <v>57</v>
      </c>
      <c r="G490">
        <v>4</v>
      </c>
      <c r="H490">
        <v>3482</v>
      </c>
      <c r="I490" s="29" t="s">
        <v>84</v>
      </c>
      <c r="J490">
        <v>13928</v>
      </c>
    </row>
    <row r="491" spans="2:10" x14ac:dyDescent="0.25">
      <c r="B491" s="29" t="s">
        <v>587</v>
      </c>
      <c r="C491" s="29" t="s">
        <v>1006</v>
      </c>
      <c r="D491" s="29" t="s">
        <v>19</v>
      </c>
      <c r="E491" s="7">
        <v>45912</v>
      </c>
      <c r="F491" s="29" t="s">
        <v>57</v>
      </c>
      <c r="G491">
        <v>5</v>
      </c>
      <c r="H491">
        <v>2480</v>
      </c>
      <c r="I491" s="29" t="s">
        <v>1058</v>
      </c>
      <c r="J491">
        <v>12400</v>
      </c>
    </row>
    <row r="492" spans="2:10" x14ac:dyDescent="0.25">
      <c r="B492" s="29" t="s">
        <v>588</v>
      </c>
      <c r="C492" s="29" t="s">
        <v>1004</v>
      </c>
      <c r="D492" s="29" t="s">
        <v>19</v>
      </c>
      <c r="E492" s="7">
        <v>45789</v>
      </c>
      <c r="F492" s="29" t="s">
        <v>58</v>
      </c>
      <c r="G492">
        <v>4</v>
      </c>
      <c r="H492">
        <v>4502</v>
      </c>
      <c r="I492" s="29" t="s">
        <v>84</v>
      </c>
      <c r="J492">
        <v>18008</v>
      </c>
    </row>
    <row r="493" spans="2:10" x14ac:dyDescent="0.25">
      <c r="B493" s="29" t="s">
        <v>589</v>
      </c>
      <c r="C493" s="29" t="s">
        <v>1021</v>
      </c>
      <c r="D493" s="29" t="s">
        <v>27</v>
      </c>
      <c r="E493" s="7">
        <v>45674</v>
      </c>
      <c r="F493" s="29" t="s">
        <v>57</v>
      </c>
      <c r="G493">
        <v>4</v>
      </c>
      <c r="H493">
        <v>4617</v>
      </c>
      <c r="I493" s="29" t="s">
        <v>84</v>
      </c>
      <c r="J493">
        <v>18468</v>
      </c>
    </row>
    <row r="494" spans="2:10" x14ac:dyDescent="0.25">
      <c r="B494" s="29" t="s">
        <v>590</v>
      </c>
      <c r="C494" s="29" t="s">
        <v>1010</v>
      </c>
      <c r="D494" s="29" t="s">
        <v>19</v>
      </c>
      <c r="E494" s="7">
        <v>45835</v>
      </c>
      <c r="F494" s="29" t="s">
        <v>57</v>
      </c>
      <c r="G494">
        <v>7</v>
      </c>
      <c r="H494">
        <v>4201</v>
      </c>
      <c r="I494" s="29" t="s">
        <v>1058</v>
      </c>
      <c r="J494">
        <v>29407</v>
      </c>
    </row>
    <row r="495" spans="2:10" x14ac:dyDescent="0.25">
      <c r="B495" s="29" t="s">
        <v>591</v>
      </c>
      <c r="C495" s="29" t="s">
        <v>1015</v>
      </c>
      <c r="D495" s="29" t="s">
        <v>23</v>
      </c>
      <c r="E495" s="7">
        <v>45716</v>
      </c>
      <c r="F495" s="29" t="s">
        <v>58</v>
      </c>
      <c r="G495">
        <v>4</v>
      </c>
      <c r="H495">
        <v>3460</v>
      </c>
      <c r="I495" s="29" t="s">
        <v>1058</v>
      </c>
      <c r="J495">
        <v>13840</v>
      </c>
    </row>
    <row r="496" spans="2:10" x14ac:dyDescent="0.25">
      <c r="B496" s="29" t="s">
        <v>592</v>
      </c>
      <c r="C496" s="29" t="s">
        <v>1004</v>
      </c>
      <c r="D496" s="29" t="s">
        <v>21</v>
      </c>
      <c r="E496" s="7">
        <v>45750</v>
      </c>
      <c r="F496" s="29" t="s">
        <v>57</v>
      </c>
      <c r="G496">
        <v>3</v>
      </c>
      <c r="H496">
        <v>3923</v>
      </c>
      <c r="I496" s="29" t="s">
        <v>1058</v>
      </c>
      <c r="J496">
        <v>11769</v>
      </c>
    </row>
    <row r="497" spans="2:10" x14ac:dyDescent="0.25">
      <c r="B497" s="29" t="s">
        <v>593</v>
      </c>
      <c r="C497" s="29" t="s">
        <v>1008</v>
      </c>
      <c r="D497" s="29" t="s">
        <v>23</v>
      </c>
      <c r="E497" s="7">
        <v>45965</v>
      </c>
      <c r="F497" s="29" t="s">
        <v>57</v>
      </c>
      <c r="G497">
        <v>1</v>
      </c>
      <c r="H497">
        <v>972</v>
      </c>
      <c r="I497" s="29" t="s">
        <v>76</v>
      </c>
      <c r="J497">
        <v>972</v>
      </c>
    </row>
    <row r="498" spans="2:10" x14ac:dyDescent="0.25">
      <c r="B498" s="29" t="s">
        <v>594</v>
      </c>
      <c r="C498" s="29" t="s">
        <v>1009</v>
      </c>
      <c r="D498" s="29" t="s">
        <v>11</v>
      </c>
      <c r="E498" s="7">
        <v>45926</v>
      </c>
      <c r="F498" s="29" t="s">
        <v>57</v>
      </c>
      <c r="G498">
        <v>3</v>
      </c>
      <c r="H498">
        <v>1273</v>
      </c>
      <c r="I498" s="29" t="s">
        <v>1058</v>
      </c>
      <c r="J498">
        <v>3819</v>
      </c>
    </row>
    <row r="499" spans="2:10" x14ac:dyDescent="0.25">
      <c r="B499" s="29" t="s">
        <v>595</v>
      </c>
      <c r="C499" s="29" t="s">
        <v>1011</v>
      </c>
      <c r="D499" s="29" t="s">
        <v>23</v>
      </c>
      <c r="E499" s="7">
        <v>45768</v>
      </c>
      <c r="F499" s="29" t="s">
        <v>58</v>
      </c>
      <c r="G499">
        <v>3</v>
      </c>
      <c r="H499">
        <v>364</v>
      </c>
      <c r="I499" s="29" t="s">
        <v>76</v>
      </c>
      <c r="J499">
        <v>1092</v>
      </c>
    </row>
    <row r="500" spans="2:10" x14ac:dyDescent="0.25">
      <c r="B500" s="29" t="s">
        <v>596</v>
      </c>
      <c r="C500" s="29" t="s">
        <v>1018</v>
      </c>
      <c r="D500" s="29" t="s">
        <v>21</v>
      </c>
      <c r="E500" s="7">
        <v>46014</v>
      </c>
      <c r="F500" s="29" t="s">
        <v>58</v>
      </c>
      <c r="G500">
        <v>2</v>
      </c>
      <c r="H500">
        <v>86</v>
      </c>
      <c r="I500" s="29" t="s">
        <v>84</v>
      </c>
      <c r="J500">
        <v>172</v>
      </c>
    </row>
    <row r="501" spans="2:10" x14ac:dyDescent="0.25">
      <c r="B501" s="29" t="s">
        <v>597</v>
      </c>
      <c r="C501" s="29" t="s">
        <v>1013</v>
      </c>
      <c r="D501" s="29" t="s">
        <v>11</v>
      </c>
      <c r="E501" s="7">
        <v>45923</v>
      </c>
      <c r="F501" s="29" t="s">
        <v>57</v>
      </c>
      <c r="G501">
        <v>10</v>
      </c>
      <c r="H501">
        <v>1112</v>
      </c>
      <c r="I501" s="29" t="s">
        <v>76</v>
      </c>
      <c r="J501">
        <v>11120</v>
      </c>
    </row>
    <row r="502" spans="2:10" x14ac:dyDescent="0.25">
      <c r="B502" s="29" t="s">
        <v>598</v>
      </c>
      <c r="C502" s="29" t="s">
        <v>1008</v>
      </c>
      <c r="D502" s="29" t="s">
        <v>27</v>
      </c>
      <c r="E502" s="7">
        <v>45850</v>
      </c>
      <c r="F502" s="29" t="s">
        <v>57</v>
      </c>
      <c r="G502">
        <v>6</v>
      </c>
      <c r="H502">
        <v>458</v>
      </c>
      <c r="I502" s="29" t="s">
        <v>84</v>
      </c>
      <c r="J502">
        <v>2748</v>
      </c>
    </row>
    <row r="503" spans="2:10" x14ac:dyDescent="0.25">
      <c r="B503" s="29" t="s">
        <v>599</v>
      </c>
      <c r="C503" s="29" t="s">
        <v>1021</v>
      </c>
      <c r="D503" s="29" t="s">
        <v>11</v>
      </c>
      <c r="E503" s="7">
        <v>45949</v>
      </c>
      <c r="F503" s="29" t="s">
        <v>58</v>
      </c>
      <c r="G503">
        <v>5</v>
      </c>
      <c r="H503">
        <v>3934</v>
      </c>
      <c r="I503" s="29" t="s">
        <v>76</v>
      </c>
      <c r="J503">
        <v>19670</v>
      </c>
    </row>
    <row r="504" spans="2:10" x14ac:dyDescent="0.25">
      <c r="B504" s="29" t="s">
        <v>600</v>
      </c>
      <c r="C504" s="29" t="s">
        <v>1007</v>
      </c>
      <c r="D504" s="29" t="s">
        <v>17</v>
      </c>
      <c r="E504" s="7">
        <v>45674</v>
      </c>
      <c r="F504" s="29" t="s">
        <v>57</v>
      </c>
      <c r="G504">
        <v>3</v>
      </c>
      <c r="H504">
        <v>3732</v>
      </c>
      <c r="I504" s="29" t="s">
        <v>1058</v>
      </c>
      <c r="J504">
        <v>11196</v>
      </c>
    </row>
    <row r="505" spans="2:10" x14ac:dyDescent="0.25">
      <c r="B505" s="29" t="s">
        <v>601</v>
      </c>
      <c r="C505" s="29" t="s">
        <v>1018</v>
      </c>
      <c r="D505" s="29" t="s">
        <v>19</v>
      </c>
      <c r="E505" s="7">
        <v>45768</v>
      </c>
      <c r="F505" s="29" t="s">
        <v>58</v>
      </c>
      <c r="G505">
        <v>4</v>
      </c>
      <c r="H505">
        <v>835</v>
      </c>
      <c r="I505" s="29" t="s">
        <v>76</v>
      </c>
      <c r="J505">
        <v>3340</v>
      </c>
    </row>
    <row r="506" spans="2:10" x14ac:dyDescent="0.25">
      <c r="B506" s="29" t="s">
        <v>602</v>
      </c>
      <c r="C506" s="29" t="s">
        <v>1020</v>
      </c>
      <c r="D506" s="29" t="s">
        <v>23</v>
      </c>
      <c r="E506" s="7">
        <v>45853</v>
      </c>
      <c r="F506" s="29" t="s">
        <v>58</v>
      </c>
      <c r="G506">
        <v>7</v>
      </c>
      <c r="H506">
        <v>2533</v>
      </c>
      <c r="I506" s="29" t="s">
        <v>76</v>
      </c>
      <c r="J506">
        <v>17731</v>
      </c>
    </row>
    <row r="507" spans="2:10" x14ac:dyDescent="0.25">
      <c r="B507" s="29" t="s">
        <v>603</v>
      </c>
      <c r="C507" s="29" t="s">
        <v>1011</v>
      </c>
      <c r="D507" s="29" t="s">
        <v>17</v>
      </c>
      <c r="E507" s="7">
        <v>45771</v>
      </c>
      <c r="F507" s="29" t="s">
        <v>57</v>
      </c>
      <c r="G507">
        <v>3</v>
      </c>
      <c r="H507">
        <v>4986</v>
      </c>
      <c r="I507" s="29" t="s">
        <v>1058</v>
      </c>
      <c r="J507">
        <v>14958</v>
      </c>
    </row>
    <row r="508" spans="2:10" x14ac:dyDescent="0.25">
      <c r="B508" s="29" t="s">
        <v>604</v>
      </c>
      <c r="C508" s="29" t="s">
        <v>1014</v>
      </c>
      <c r="D508" s="29" t="s">
        <v>17</v>
      </c>
      <c r="E508" s="7">
        <v>45703</v>
      </c>
      <c r="F508" s="29" t="s">
        <v>58</v>
      </c>
      <c r="G508">
        <v>10</v>
      </c>
      <c r="H508">
        <v>695</v>
      </c>
      <c r="I508" s="29" t="s">
        <v>76</v>
      </c>
      <c r="J508">
        <v>6950</v>
      </c>
    </row>
    <row r="509" spans="2:10" x14ac:dyDescent="0.25">
      <c r="B509" s="29" t="s">
        <v>605</v>
      </c>
      <c r="C509" s="29" t="s">
        <v>1004</v>
      </c>
      <c r="D509" s="29" t="s">
        <v>23</v>
      </c>
      <c r="E509" s="7">
        <v>45714</v>
      </c>
      <c r="F509" s="29" t="s">
        <v>58</v>
      </c>
      <c r="G509">
        <v>4</v>
      </c>
      <c r="H509">
        <v>919</v>
      </c>
      <c r="I509" s="29" t="s">
        <v>84</v>
      </c>
      <c r="J509">
        <v>3676</v>
      </c>
    </row>
    <row r="510" spans="2:10" x14ac:dyDescent="0.25">
      <c r="B510" s="29" t="s">
        <v>606</v>
      </c>
      <c r="C510" s="29" t="s">
        <v>1011</v>
      </c>
      <c r="D510" s="29" t="s">
        <v>19</v>
      </c>
      <c r="E510" s="7">
        <v>45785</v>
      </c>
      <c r="F510" s="29" t="s">
        <v>57</v>
      </c>
      <c r="G510">
        <v>10</v>
      </c>
      <c r="H510">
        <v>3296</v>
      </c>
      <c r="I510" s="29" t="s">
        <v>84</v>
      </c>
      <c r="J510">
        <v>32960</v>
      </c>
    </row>
    <row r="511" spans="2:10" x14ac:dyDescent="0.25">
      <c r="B511" s="29" t="s">
        <v>607</v>
      </c>
      <c r="C511" s="29" t="s">
        <v>1008</v>
      </c>
      <c r="D511" s="29" t="s">
        <v>21</v>
      </c>
      <c r="E511" s="7">
        <v>45816</v>
      </c>
      <c r="F511" s="29" t="s">
        <v>57</v>
      </c>
      <c r="G511">
        <v>10</v>
      </c>
      <c r="H511">
        <v>4297</v>
      </c>
      <c r="I511" s="29" t="s">
        <v>84</v>
      </c>
      <c r="J511">
        <v>42970</v>
      </c>
    </row>
    <row r="512" spans="2:10" x14ac:dyDescent="0.25">
      <c r="B512" s="29" t="s">
        <v>608</v>
      </c>
      <c r="C512" s="29" t="s">
        <v>1014</v>
      </c>
      <c r="D512" s="29" t="s">
        <v>21</v>
      </c>
      <c r="E512" s="7">
        <v>46008</v>
      </c>
      <c r="F512" s="29" t="s">
        <v>57</v>
      </c>
      <c r="G512">
        <v>5</v>
      </c>
      <c r="H512">
        <v>1717</v>
      </c>
      <c r="I512" s="29" t="s">
        <v>1058</v>
      </c>
      <c r="J512">
        <v>8585</v>
      </c>
    </row>
    <row r="513" spans="2:10" x14ac:dyDescent="0.25">
      <c r="B513" s="29" t="s">
        <v>609</v>
      </c>
      <c r="C513" s="29" t="s">
        <v>1006</v>
      </c>
      <c r="D513" s="29" t="s">
        <v>11</v>
      </c>
      <c r="E513" s="7">
        <v>45668</v>
      </c>
      <c r="F513" s="29" t="s">
        <v>57</v>
      </c>
      <c r="G513">
        <v>5</v>
      </c>
      <c r="H513">
        <v>2143</v>
      </c>
      <c r="I513" s="29" t="s">
        <v>84</v>
      </c>
      <c r="J513">
        <v>10715</v>
      </c>
    </row>
    <row r="514" spans="2:10" x14ac:dyDescent="0.25">
      <c r="B514" s="29" t="s">
        <v>610</v>
      </c>
      <c r="C514" s="29" t="s">
        <v>1009</v>
      </c>
      <c r="D514" s="29" t="s">
        <v>21</v>
      </c>
      <c r="E514" s="7">
        <v>45949</v>
      </c>
      <c r="F514" s="29" t="s">
        <v>57</v>
      </c>
      <c r="G514">
        <v>7</v>
      </c>
      <c r="H514">
        <v>3525</v>
      </c>
      <c r="I514" s="29" t="s">
        <v>84</v>
      </c>
      <c r="J514">
        <v>24675</v>
      </c>
    </row>
    <row r="515" spans="2:10" x14ac:dyDescent="0.25">
      <c r="B515" s="29" t="s">
        <v>611</v>
      </c>
      <c r="C515" s="29" t="s">
        <v>1007</v>
      </c>
      <c r="D515" s="29" t="s">
        <v>17</v>
      </c>
      <c r="E515" s="7">
        <v>46019</v>
      </c>
      <c r="F515" s="29" t="s">
        <v>57</v>
      </c>
      <c r="G515">
        <v>8</v>
      </c>
      <c r="H515">
        <v>2647</v>
      </c>
      <c r="I515" s="29" t="s">
        <v>76</v>
      </c>
      <c r="J515">
        <v>21176</v>
      </c>
    </row>
    <row r="516" spans="2:10" x14ac:dyDescent="0.25">
      <c r="B516" s="29" t="s">
        <v>612</v>
      </c>
      <c r="C516" s="29" t="s">
        <v>1018</v>
      </c>
      <c r="D516" s="29" t="s">
        <v>21</v>
      </c>
      <c r="E516" s="7">
        <v>45712</v>
      </c>
      <c r="F516" s="29" t="s">
        <v>57</v>
      </c>
      <c r="G516">
        <v>1</v>
      </c>
      <c r="H516">
        <v>2593</v>
      </c>
      <c r="I516" s="29" t="s">
        <v>84</v>
      </c>
      <c r="J516">
        <v>2593</v>
      </c>
    </row>
    <row r="517" spans="2:10" x14ac:dyDescent="0.25">
      <c r="B517" s="29" t="s">
        <v>613</v>
      </c>
      <c r="C517" s="29" t="s">
        <v>1019</v>
      </c>
      <c r="D517" s="29" t="s">
        <v>21</v>
      </c>
      <c r="E517" s="7">
        <v>45842</v>
      </c>
      <c r="F517" s="29" t="s">
        <v>57</v>
      </c>
      <c r="G517">
        <v>9</v>
      </c>
      <c r="H517">
        <v>303</v>
      </c>
      <c r="I517" s="29" t="s">
        <v>84</v>
      </c>
      <c r="J517">
        <v>2727</v>
      </c>
    </row>
    <row r="518" spans="2:10" x14ac:dyDescent="0.25">
      <c r="B518" s="29" t="s">
        <v>614</v>
      </c>
      <c r="C518" s="29" t="s">
        <v>1013</v>
      </c>
      <c r="D518" s="29" t="s">
        <v>17</v>
      </c>
      <c r="E518" s="7">
        <v>45798</v>
      </c>
      <c r="F518" s="29" t="s">
        <v>57</v>
      </c>
      <c r="G518">
        <v>2</v>
      </c>
      <c r="H518">
        <v>3999</v>
      </c>
      <c r="I518" s="29" t="s">
        <v>84</v>
      </c>
      <c r="J518">
        <v>7998</v>
      </c>
    </row>
    <row r="519" spans="2:10" x14ac:dyDescent="0.25">
      <c r="B519" s="29" t="s">
        <v>615</v>
      </c>
      <c r="C519" s="29" t="s">
        <v>1020</v>
      </c>
      <c r="D519" s="29" t="s">
        <v>21</v>
      </c>
      <c r="E519" s="7">
        <v>45779</v>
      </c>
      <c r="F519" s="29" t="s">
        <v>58</v>
      </c>
      <c r="G519">
        <v>10</v>
      </c>
      <c r="H519">
        <v>813</v>
      </c>
      <c r="I519" s="29" t="s">
        <v>76</v>
      </c>
      <c r="J519">
        <v>8130</v>
      </c>
    </row>
    <row r="520" spans="2:10" x14ac:dyDescent="0.25">
      <c r="B520" s="29" t="s">
        <v>616</v>
      </c>
      <c r="C520" s="29" t="s">
        <v>1009</v>
      </c>
      <c r="D520" s="29" t="s">
        <v>21</v>
      </c>
      <c r="E520" s="7">
        <v>45755</v>
      </c>
      <c r="F520" s="29" t="s">
        <v>58</v>
      </c>
      <c r="G520">
        <v>10</v>
      </c>
      <c r="H520">
        <v>4104</v>
      </c>
      <c r="I520" s="29" t="s">
        <v>76</v>
      </c>
      <c r="J520">
        <v>41040</v>
      </c>
    </row>
    <row r="521" spans="2:10" x14ac:dyDescent="0.25">
      <c r="B521" s="29" t="s">
        <v>617</v>
      </c>
      <c r="C521" s="29" t="s">
        <v>1010</v>
      </c>
      <c r="D521" s="29" t="s">
        <v>21</v>
      </c>
      <c r="E521" s="7">
        <v>45784</v>
      </c>
      <c r="F521" s="29" t="s">
        <v>57</v>
      </c>
      <c r="G521">
        <v>8</v>
      </c>
      <c r="H521">
        <v>1159</v>
      </c>
      <c r="I521" s="29" t="s">
        <v>1058</v>
      </c>
      <c r="J521">
        <v>9272</v>
      </c>
    </row>
    <row r="522" spans="2:10" x14ac:dyDescent="0.25">
      <c r="B522" s="29" t="s">
        <v>618</v>
      </c>
      <c r="C522" s="29" t="s">
        <v>1013</v>
      </c>
      <c r="D522" s="29" t="s">
        <v>11</v>
      </c>
      <c r="E522" s="7">
        <v>45946</v>
      </c>
      <c r="F522" s="29" t="s">
        <v>57</v>
      </c>
      <c r="G522">
        <v>7</v>
      </c>
      <c r="H522">
        <v>514</v>
      </c>
      <c r="I522" s="29" t="s">
        <v>76</v>
      </c>
      <c r="J522">
        <v>3598</v>
      </c>
    </row>
    <row r="523" spans="2:10" x14ac:dyDescent="0.25">
      <c r="B523" s="29" t="s">
        <v>619</v>
      </c>
      <c r="C523" s="29" t="s">
        <v>1012</v>
      </c>
      <c r="D523" s="29" t="s">
        <v>11</v>
      </c>
      <c r="E523" s="7">
        <v>45821</v>
      </c>
      <c r="F523" s="29" t="s">
        <v>58</v>
      </c>
      <c r="G523">
        <v>10</v>
      </c>
      <c r="H523">
        <v>4554</v>
      </c>
      <c r="I523" s="29" t="s">
        <v>76</v>
      </c>
      <c r="J523">
        <v>45540</v>
      </c>
    </row>
    <row r="524" spans="2:10" x14ac:dyDescent="0.25">
      <c r="B524" s="29" t="s">
        <v>620</v>
      </c>
      <c r="C524" s="29" t="s">
        <v>1015</v>
      </c>
      <c r="D524" s="29" t="s">
        <v>14</v>
      </c>
      <c r="E524" s="7">
        <v>45716</v>
      </c>
      <c r="F524" s="29" t="s">
        <v>57</v>
      </c>
      <c r="G524">
        <v>6</v>
      </c>
      <c r="H524">
        <v>2045</v>
      </c>
      <c r="I524" s="29" t="s">
        <v>76</v>
      </c>
      <c r="J524">
        <v>12270</v>
      </c>
    </row>
    <row r="525" spans="2:10" x14ac:dyDescent="0.25">
      <c r="B525" s="29" t="s">
        <v>621</v>
      </c>
      <c r="C525" s="29" t="s">
        <v>1007</v>
      </c>
      <c r="D525" s="29" t="s">
        <v>23</v>
      </c>
      <c r="E525" s="7">
        <v>45708</v>
      </c>
      <c r="F525" s="29" t="s">
        <v>57</v>
      </c>
      <c r="G525">
        <v>6</v>
      </c>
      <c r="H525">
        <v>509</v>
      </c>
      <c r="I525" s="29" t="s">
        <v>84</v>
      </c>
      <c r="J525">
        <v>3054</v>
      </c>
    </row>
    <row r="526" spans="2:10" x14ac:dyDescent="0.25">
      <c r="B526" s="29" t="s">
        <v>622</v>
      </c>
      <c r="C526" s="29" t="s">
        <v>1016</v>
      </c>
      <c r="D526" s="29" t="s">
        <v>21</v>
      </c>
      <c r="E526" s="7">
        <v>45934</v>
      </c>
      <c r="F526" s="29" t="s">
        <v>58</v>
      </c>
      <c r="G526">
        <v>5</v>
      </c>
      <c r="H526">
        <v>3812</v>
      </c>
      <c r="I526" s="29" t="s">
        <v>76</v>
      </c>
      <c r="J526">
        <v>19060</v>
      </c>
    </row>
    <row r="527" spans="2:10" x14ac:dyDescent="0.25">
      <c r="B527" s="29" t="s">
        <v>623</v>
      </c>
      <c r="C527" s="29" t="s">
        <v>1019</v>
      </c>
      <c r="D527" s="29" t="s">
        <v>19</v>
      </c>
      <c r="E527" s="7">
        <v>45968</v>
      </c>
      <c r="F527" s="29" t="s">
        <v>58</v>
      </c>
      <c r="G527">
        <v>9</v>
      </c>
      <c r="H527">
        <v>4688</v>
      </c>
      <c r="I527" s="29" t="s">
        <v>84</v>
      </c>
      <c r="J527">
        <v>42192</v>
      </c>
    </row>
    <row r="528" spans="2:10" x14ac:dyDescent="0.25">
      <c r="B528" s="29" t="s">
        <v>624</v>
      </c>
      <c r="C528" s="29" t="s">
        <v>1004</v>
      </c>
      <c r="D528" s="29" t="s">
        <v>27</v>
      </c>
      <c r="E528" s="7">
        <v>45774</v>
      </c>
      <c r="F528" s="29" t="s">
        <v>58</v>
      </c>
      <c r="G528">
        <v>2</v>
      </c>
      <c r="H528">
        <v>2176</v>
      </c>
      <c r="I528" s="29" t="s">
        <v>76</v>
      </c>
      <c r="J528">
        <v>4352</v>
      </c>
    </row>
    <row r="529" spans="2:10" x14ac:dyDescent="0.25">
      <c r="B529" s="29" t="s">
        <v>625</v>
      </c>
      <c r="C529" s="29" t="s">
        <v>1005</v>
      </c>
      <c r="D529" s="29" t="s">
        <v>23</v>
      </c>
      <c r="E529" s="7">
        <v>45855</v>
      </c>
      <c r="F529" s="29" t="s">
        <v>58</v>
      </c>
      <c r="G529">
        <v>5</v>
      </c>
      <c r="H529">
        <v>4111</v>
      </c>
      <c r="I529" s="29" t="s">
        <v>76</v>
      </c>
      <c r="J529">
        <v>20555</v>
      </c>
    </row>
    <row r="530" spans="2:10" x14ac:dyDescent="0.25">
      <c r="B530" s="29" t="s">
        <v>626</v>
      </c>
      <c r="C530" s="29" t="s">
        <v>1016</v>
      </c>
      <c r="D530" s="29" t="s">
        <v>11</v>
      </c>
      <c r="E530" s="7">
        <v>45975</v>
      </c>
      <c r="F530" s="29" t="s">
        <v>58</v>
      </c>
      <c r="G530">
        <v>8</v>
      </c>
      <c r="H530">
        <v>4707</v>
      </c>
      <c r="I530" s="29" t="s">
        <v>1058</v>
      </c>
      <c r="J530">
        <v>37656</v>
      </c>
    </row>
    <row r="531" spans="2:10" x14ac:dyDescent="0.25">
      <c r="B531" s="29" t="s">
        <v>627</v>
      </c>
      <c r="C531" s="29" t="s">
        <v>1011</v>
      </c>
      <c r="D531" s="29" t="s">
        <v>21</v>
      </c>
      <c r="E531" s="7">
        <v>45729</v>
      </c>
      <c r="F531" s="29" t="s">
        <v>57</v>
      </c>
      <c r="G531">
        <v>1</v>
      </c>
      <c r="H531">
        <v>1991</v>
      </c>
      <c r="I531" s="29" t="s">
        <v>1058</v>
      </c>
      <c r="J531">
        <v>1991</v>
      </c>
    </row>
    <row r="532" spans="2:10" x14ac:dyDescent="0.25">
      <c r="B532" s="29" t="s">
        <v>628</v>
      </c>
      <c r="C532" s="29" t="s">
        <v>1007</v>
      </c>
      <c r="D532" s="29" t="s">
        <v>23</v>
      </c>
      <c r="E532" s="7">
        <v>45814</v>
      </c>
      <c r="F532" s="29" t="s">
        <v>58</v>
      </c>
      <c r="G532">
        <v>9</v>
      </c>
      <c r="H532">
        <v>295</v>
      </c>
      <c r="I532" s="29" t="s">
        <v>84</v>
      </c>
      <c r="J532">
        <v>2655</v>
      </c>
    </row>
    <row r="533" spans="2:10" x14ac:dyDescent="0.25">
      <c r="B533" s="29" t="s">
        <v>629</v>
      </c>
      <c r="C533" s="29" t="s">
        <v>1022</v>
      </c>
      <c r="D533" s="29" t="s">
        <v>19</v>
      </c>
      <c r="E533" s="7">
        <v>45741</v>
      </c>
      <c r="F533" s="29" t="s">
        <v>58</v>
      </c>
      <c r="G533">
        <v>8</v>
      </c>
      <c r="H533">
        <v>2783</v>
      </c>
      <c r="I533" s="29" t="s">
        <v>1058</v>
      </c>
      <c r="J533">
        <v>22264</v>
      </c>
    </row>
    <row r="534" spans="2:10" x14ac:dyDescent="0.25">
      <c r="B534" s="29" t="s">
        <v>630</v>
      </c>
      <c r="C534" s="29" t="s">
        <v>1012</v>
      </c>
      <c r="D534" s="29" t="s">
        <v>27</v>
      </c>
      <c r="E534" s="7">
        <v>45919</v>
      </c>
      <c r="F534" s="29" t="s">
        <v>58</v>
      </c>
      <c r="G534">
        <v>1</v>
      </c>
      <c r="H534">
        <v>3979</v>
      </c>
      <c r="I534" s="29" t="s">
        <v>1058</v>
      </c>
      <c r="J534">
        <v>3979</v>
      </c>
    </row>
    <row r="535" spans="2:10" x14ac:dyDescent="0.25">
      <c r="B535" s="29" t="s">
        <v>631</v>
      </c>
      <c r="C535" s="29" t="s">
        <v>1019</v>
      </c>
      <c r="D535" s="29" t="s">
        <v>19</v>
      </c>
      <c r="E535" s="7">
        <v>45692</v>
      </c>
      <c r="F535" s="29" t="s">
        <v>57</v>
      </c>
      <c r="G535">
        <v>9</v>
      </c>
      <c r="H535">
        <v>2224</v>
      </c>
      <c r="I535" s="29" t="s">
        <v>1058</v>
      </c>
      <c r="J535">
        <v>20016</v>
      </c>
    </row>
    <row r="536" spans="2:10" x14ac:dyDescent="0.25">
      <c r="B536" s="29" t="s">
        <v>632</v>
      </c>
      <c r="C536" s="29" t="s">
        <v>1016</v>
      </c>
      <c r="D536" s="29" t="s">
        <v>21</v>
      </c>
      <c r="E536" s="7">
        <v>45770</v>
      </c>
      <c r="F536" s="29" t="s">
        <v>58</v>
      </c>
      <c r="G536">
        <v>2</v>
      </c>
      <c r="H536">
        <v>2160</v>
      </c>
      <c r="I536" s="29" t="s">
        <v>1058</v>
      </c>
      <c r="J536">
        <v>4320</v>
      </c>
    </row>
    <row r="537" spans="2:10" x14ac:dyDescent="0.25">
      <c r="B537" s="29" t="s">
        <v>633</v>
      </c>
      <c r="C537" s="29" t="s">
        <v>1012</v>
      </c>
      <c r="D537" s="29" t="s">
        <v>19</v>
      </c>
      <c r="E537" s="7">
        <v>45949</v>
      </c>
      <c r="F537" s="29" t="s">
        <v>58</v>
      </c>
      <c r="G537">
        <v>9</v>
      </c>
      <c r="H537">
        <v>2282</v>
      </c>
      <c r="I537" s="29" t="s">
        <v>76</v>
      </c>
      <c r="J537">
        <v>20538</v>
      </c>
    </row>
    <row r="538" spans="2:10" x14ac:dyDescent="0.25">
      <c r="B538" s="29" t="s">
        <v>634</v>
      </c>
      <c r="C538" s="29" t="s">
        <v>1006</v>
      </c>
      <c r="D538" s="29" t="s">
        <v>27</v>
      </c>
      <c r="E538" s="7">
        <v>45708</v>
      </c>
      <c r="F538" s="29" t="s">
        <v>57</v>
      </c>
      <c r="G538">
        <v>4</v>
      </c>
      <c r="H538">
        <v>2406</v>
      </c>
      <c r="I538" s="29" t="s">
        <v>76</v>
      </c>
      <c r="J538">
        <v>9624</v>
      </c>
    </row>
    <row r="539" spans="2:10" x14ac:dyDescent="0.25">
      <c r="B539" s="29" t="s">
        <v>635</v>
      </c>
      <c r="C539" s="29" t="s">
        <v>1022</v>
      </c>
      <c r="D539" s="29" t="s">
        <v>21</v>
      </c>
      <c r="E539" s="7">
        <v>45755</v>
      </c>
      <c r="F539" s="29" t="s">
        <v>58</v>
      </c>
      <c r="G539">
        <v>5</v>
      </c>
      <c r="H539">
        <v>1184</v>
      </c>
      <c r="I539" s="29" t="s">
        <v>84</v>
      </c>
      <c r="J539">
        <v>5920</v>
      </c>
    </row>
    <row r="540" spans="2:10" x14ac:dyDescent="0.25">
      <c r="B540" s="29" t="s">
        <v>636</v>
      </c>
      <c r="C540" s="29" t="s">
        <v>1011</v>
      </c>
      <c r="D540" s="29" t="s">
        <v>27</v>
      </c>
      <c r="E540" s="7">
        <v>45799</v>
      </c>
      <c r="F540" s="29" t="s">
        <v>57</v>
      </c>
      <c r="G540">
        <v>2</v>
      </c>
      <c r="H540">
        <v>3570</v>
      </c>
      <c r="I540" s="29" t="s">
        <v>1058</v>
      </c>
      <c r="J540">
        <v>7140</v>
      </c>
    </row>
    <row r="541" spans="2:10" x14ac:dyDescent="0.25">
      <c r="B541" s="29" t="s">
        <v>637</v>
      </c>
      <c r="C541" s="29" t="s">
        <v>1004</v>
      </c>
      <c r="D541" s="29" t="s">
        <v>23</v>
      </c>
      <c r="E541" s="7">
        <v>46018</v>
      </c>
      <c r="F541" s="29" t="s">
        <v>57</v>
      </c>
      <c r="G541">
        <v>9</v>
      </c>
      <c r="H541">
        <v>3387</v>
      </c>
      <c r="I541" s="29" t="s">
        <v>1058</v>
      </c>
      <c r="J541">
        <v>30483</v>
      </c>
    </row>
    <row r="542" spans="2:10" x14ac:dyDescent="0.25">
      <c r="B542" s="29" t="s">
        <v>638</v>
      </c>
      <c r="C542" s="29" t="s">
        <v>1019</v>
      </c>
      <c r="D542" s="29" t="s">
        <v>11</v>
      </c>
      <c r="E542" s="7">
        <v>45886</v>
      </c>
      <c r="F542" s="29" t="s">
        <v>57</v>
      </c>
      <c r="G542">
        <v>2</v>
      </c>
      <c r="H542">
        <v>766</v>
      </c>
      <c r="I542" s="29" t="s">
        <v>76</v>
      </c>
      <c r="J542">
        <v>1532</v>
      </c>
    </row>
    <row r="543" spans="2:10" x14ac:dyDescent="0.25">
      <c r="B543" s="29" t="s">
        <v>639</v>
      </c>
      <c r="C543" s="29" t="s">
        <v>1016</v>
      </c>
      <c r="D543" s="29" t="s">
        <v>21</v>
      </c>
      <c r="E543" s="7">
        <v>45804</v>
      </c>
      <c r="F543" s="29" t="s">
        <v>58</v>
      </c>
      <c r="G543">
        <v>2</v>
      </c>
      <c r="H543">
        <v>4630</v>
      </c>
      <c r="I543" s="29" t="s">
        <v>76</v>
      </c>
      <c r="J543">
        <v>9260</v>
      </c>
    </row>
    <row r="544" spans="2:10" x14ac:dyDescent="0.25">
      <c r="B544" s="29" t="s">
        <v>640</v>
      </c>
      <c r="C544" s="29" t="s">
        <v>1017</v>
      </c>
      <c r="D544" s="29" t="s">
        <v>21</v>
      </c>
      <c r="E544" s="7">
        <v>45812</v>
      </c>
      <c r="F544" s="29" t="s">
        <v>58</v>
      </c>
      <c r="G544">
        <v>3</v>
      </c>
      <c r="H544">
        <v>320</v>
      </c>
      <c r="I544" s="29" t="s">
        <v>1058</v>
      </c>
      <c r="J544">
        <v>960</v>
      </c>
    </row>
    <row r="545" spans="2:10" x14ac:dyDescent="0.25">
      <c r="B545" s="29" t="s">
        <v>641</v>
      </c>
      <c r="C545" s="29" t="s">
        <v>1005</v>
      </c>
      <c r="D545" s="29" t="s">
        <v>11</v>
      </c>
      <c r="E545" s="7">
        <v>45798</v>
      </c>
      <c r="F545" s="29" t="s">
        <v>58</v>
      </c>
      <c r="G545">
        <v>1</v>
      </c>
      <c r="H545">
        <v>1897</v>
      </c>
      <c r="I545" s="29" t="s">
        <v>76</v>
      </c>
      <c r="J545">
        <v>1897</v>
      </c>
    </row>
    <row r="546" spans="2:10" x14ac:dyDescent="0.25">
      <c r="B546" s="29" t="s">
        <v>642</v>
      </c>
      <c r="C546" s="29" t="s">
        <v>1014</v>
      </c>
      <c r="D546" s="29" t="s">
        <v>11</v>
      </c>
      <c r="E546" s="7">
        <v>45973</v>
      </c>
      <c r="F546" s="29" t="s">
        <v>57</v>
      </c>
      <c r="G546">
        <v>7</v>
      </c>
      <c r="H546">
        <v>4819</v>
      </c>
      <c r="I546" s="29" t="s">
        <v>1058</v>
      </c>
      <c r="J546">
        <v>33733</v>
      </c>
    </row>
    <row r="547" spans="2:10" x14ac:dyDescent="0.25">
      <c r="B547" s="29" t="s">
        <v>643</v>
      </c>
      <c r="C547" s="29" t="s">
        <v>1005</v>
      </c>
      <c r="D547" s="29" t="s">
        <v>23</v>
      </c>
      <c r="E547" s="7">
        <v>45661</v>
      </c>
      <c r="F547" s="29" t="s">
        <v>58</v>
      </c>
      <c r="G547">
        <v>3</v>
      </c>
      <c r="H547">
        <v>3379</v>
      </c>
      <c r="I547" s="29" t="s">
        <v>84</v>
      </c>
      <c r="J547">
        <v>10137</v>
      </c>
    </row>
    <row r="548" spans="2:10" x14ac:dyDescent="0.25">
      <c r="B548" s="29" t="s">
        <v>644</v>
      </c>
      <c r="C548" s="29" t="s">
        <v>1020</v>
      </c>
      <c r="D548" s="29" t="s">
        <v>21</v>
      </c>
      <c r="E548" s="7">
        <v>45683</v>
      </c>
      <c r="F548" s="29" t="s">
        <v>57</v>
      </c>
      <c r="G548">
        <v>8</v>
      </c>
      <c r="H548">
        <v>3153</v>
      </c>
      <c r="I548" s="29" t="s">
        <v>76</v>
      </c>
      <c r="J548">
        <v>25224</v>
      </c>
    </row>
    <row r="549" spans="2:10" x14ac:dyDescent="0.25">
      <c r="B549" s="29" t="s">
        <v>645</v>
      </c>
      <c r="C549" s="29" t="s">
        <v>1014</v>
      </c>
      <c r="D549" s="29" t="s">
        <v>14</v>
      </c>
      <c r="E549" s="7">
        <v>45904</v>
      </c>
      <c r="F549" s="29" t="s">
        <v>58</v>
      </c>
      <c r="G549">
        <v>9</v>
      </c>
      <c r="H549">
        <v>3569</v>
      </c>
      <c r="I549" s="29" t="s">
        <v>76</v>
      </c>
      <c r="J549">
        <v>32121</v>
      </c>
    </row>
    <row r="550" spans="2:10" x14ac:dyDescent="0.25">
      <c r="B550" s="29" t="s">
        <v>646</v>
      </c>
      <c r="C550" s="29" t="s">
        <v>1014</v>
      </c>
      <c r="D550" s="29" t="s">
        <v>21</v>
      </c>
      <c r="E550" s="7">
        <v>45843</v>
      </c>
      <c r="F550" s="29" t="s">
        <v>57</v>
      </c>
      <c r="G550">
        <v>2</v>
      </c>
      <c r="H550">
        <v>399</v>
      </c>
      <c r="I550" s="29" t="s">
        <v>1058</v>
      </c>
      <c r="J550">
        <v>798</v>
      </c>
    </row>
    <row r="551" spans="2:10" x14ac:dyDescent="0.25">
      <c r="B551" s="29" t="s">
        <v>647</v>
      </c>
      <c r="C551" s="29" t="s">
        <v>1015</v>
      </c>
      <c r="D551" s="29" t="s">
        <v>21</v>
      </c>
      <c r="E551" s="7">
        <v>46017</v>
      </c>
      <c r="F551" s="29" t="s">
        <v>58</v>
      </c>
      <c r="G551">
        <v>1</v>
      </c>
      <c r="H551">
        <v>3189</v>
      </c>
      <c r="I551" s="29" t="s">
        <v>84</v>
      </c>
      <c r="J551">
        <v>3189</v>
      </c>
    </row>
    <row r="552" spans="2:10" x14ac:dyDescent="0.25">
      <c r="B552" s="29" t="s">
        <v>648</v>
      </c>
      <c r="C552" s="29" t="s">
        <v>1018</v>
      </c>
      <c r="D552" s="29" t="s">
        <v>23</v>
      </c>
      <c r="E552" s="7">
        <v>45995</v>
      </c>
      <c r="F552" s="29" t="s">
        <v>57</v>
      </c>
      <c r="G552">
        <v>9</v>
      </c>
      <c r="H552">
        <v>2883</v>
      </c>
      <c r="I552" s="29" t="s">
        <v>1058</v>
      </c>
      <c r="J552">
        <v>25947</v>
      </c>
    </row>
    <row r="553" spans="2:10" x14ac:dyDescent="0.25">
      <c r="B553" s="29" t="s">
        <v>649</v>
      </c>
      <c r="C553" s="29" t="s">
        <v>1017</v>
      </c>
      <c r="D553" s="29" t="s">
        <v>23</v>
      </c>
      <c r="E553" s="7">
        <v>45840</v>
      </c>
      <c r="F553" s="29" t="s">
        <v>57</v>
      </c>
      <c r="G553">
        <v>5</v>
      </c>
      <c r="H553">
        <v>4202</v>
      </c>
      <c r="I553" s="29" t="s">
        <v>1058</v>
      </c>
      <c r="J553">
        <v>21010</v>
      </c>
    </row>
    <row r="554" spans="2:10" x14ac:dyDescent="0.25">
      <c r="B554" s="29" t="s">
        <v>650</v>
      </c>
      <c r="C554" s="29" t="s">
        <v>1004</v>
      </c>
      <c r="D554" s="29" t="s">
        <v>21</v>
      </c>
      <c r="E554" s="7">
        <v>45803</v>
      </c>
      <c r="F554" s="29" t="s">
        <v>58</v>
      </c>
      <c r="G554">
        <v>9</v>
      </c>
      <c r="H554">
        <v>3228</v>
      </c>
      <c r="I554" s="29" t="s">
        <v>1058</v>
      </c>
      <c r="J554">
        <v>29052</v>
      </c>
    </row>
    <row r="555" spans="2:10" x14ac:dyDescent="0.25">
      <c r="B555" s="29" t="s">
        <v>651</v>
      </c>
      <c r="C555" s="29" t="s">
        <v>1017</v>
      </c>
      <c r="D555" s="29" t="s">
        <v>23</v>
      </c>
      <c r="E555" s="7">
        <v>45909</v>
      </c>
      <c r="F555" s="29" t="s">
        <v>58</v>
      </c>
      <c r="G555">
        <v>9</v>
      </c>
      <c r="H555">
        <v>4838</v>
      </c>
      <c r="I555" s="29" t="s">
        <v>1058</v>
      </c>
      <c r="J555">
        <v>43542</v>
      </c>
    </row>
    <row r="556" spans="2:10" x14ac:dyDescent="0.25">
      <c r="B556" s="29" t="s">
        <v>652</v>
      </c>
      <c r="C556" s="29" t="s">
        <v>1007</v>
      </c>
      <c r="D556" s="29" t="s">
        <v>21</v>
      </c>
      <c r="E556" s="7">
        <v>45986</v>
      </c>
      <c r="F556" s="29" t="s">
        <v>58</v>
      </c>
      <c r="G556">
        <v>8</v>
      </c>
      <c r="H556">
        <v>289</v>
      </c>
      <c r="I556" s="29" t="s">
        <v>76</v>
      </c>
      <c r="J556">
        <v>2312</v>
      </c>
    </row>
    <row r="557" spans="2:10" x14ac:dyDescent="0.25">
      <c r="B557" s="29" t="s">
        <v>653</v>
      </c>
      <c r="C557" s="29" t="s">
        <v>1021</v>
      </c>
      <c r="D557" s="29" t="s">
        <v>23</v>
      </c>
      <c r="E557" s="7">
        <v>45888</v>
      </c>
      <c r="F557" s="29" t="s">
        <v>57</v>
      </c>
      <c r="G557">
        <v>2</v>
      </c>
      <c r="H557">
        <v>4573</v>
      </c>
      <c r="I557" s="29" t="s">
        <v>1058</v>
      </c>
      <c r="J557">
        <v>9146</v>
      </c>
    </row>
    <row r="558" spans="2:10" x14ac:dyDescent="0.25">
      <c r="B558" s="29" t="s">
        <v>654</v>
      </c>
      <c r="C558" s="29" t="s">
        <v>1006</v>
      </c>
      <c r="D558" s="29" t="s">
        <v>21</v>
      </c>
      <c r="E558" s="7">
        <v>45980</v>
      </c>
      <c r="F558" s="29" t="s">
        <v>57</v>
      </c>
      <c r="G558">
        <v>2</v>
      </c>
      <c r="H558">
        <v>4123</v>
      </c>
      <c r="I558" s="29" t="s">
        <v>76</v>
      </c>
      <c r="J558">
        <v>8246</v>
      </c>
    </row>
    <row r="559" spans="2:10" x14ac:dyDescent="0.25">
      <c r="B559" s="29" t="s">
        <v>655</v>
      </c>
      <c r="C559" s="29" t="s">
        <v>1004</v>
      </c>
      <c r="D559" s="29" t="s">
        <v>17</v>
      </c>
      <c r="E559" s="7">
        <v>46001</v>
      </c>
      <c r="F559" s="29" t="s">
        <v>58</v>
      </c>
      <c r="G559">
        <v>9</v>
      </c>
      <c r="H559">
        <v>4125</v>
      </c>
      <c r="I559" s="29" t="s">
        <v>1058</v>
      </c>
      <c r="J559">
        <v>37125</v>
      </c>
    </row>
    <row r="560" spans="2:10" x14ac:dyDescent="0.25">
      <c r="B560" s="29" t="s">
        <v>656</v>
      </c>
      <c r="C560" s="29" t="s">
        <v>1017</v>
      </c>
      <c r="D560" s="29" t="s">
        <v>27</v>
      </c>
      <c r="E560" s="7">
        <v>45751</v>
      </c>
      <c r="F560" s="29" t="s">
        <v>57</v>
      </c>
      <c r="G560">
        <v>10</v>
      </c>
      <c r="H560">
        <v>1130</v>
      </c>
      <c r="I560" s="29" t="s">
        <v>1058</v>
      </c>
      <c r="J560">
        <v>11300</v>
      </c>
    </row>
    <row r="561" spans="2:10" x14ac:dyDescent="0.25">
      <c r="B561" s="29" t="s">
        <v>657</v>
      </c>
      <c r="C561" s="29" t="s">
        <v>1007</v>
      </c>
      <c r="D561" s="29" t="s">
        <v>27</v>
      </c>
      <c r="E561" s="7">
        <v>45863</v>
      </c>
      <c r="F561" s="29" t="s">
        <v>57</v>
      </c>
      <c r="G561">
        <v>3</v>
      </c>
      <c r="H561">
        <v>480</v>
      </c>
      <c r="I561" s="29" t="s">
        <v>1058</v>
      </c>
      <c r="J561">
        <v>1440</v>
      </c>
    </row>
    <row r="562" spans="2:10" x14ac:dyDescent="0.25">
      <c r="B562" s="29" t="s">
        <v>658</v>
      </c>
      <c r="C562" s="29" t="s">
        <v>1013</v>
      </c>
      <c r="D562" s="29" t="s">
        <v>21</v>
      </c>
      <c r="E562" s="7">
        <v>45973</v>
      </c>
      <c r="F562" s="29" t="s">
        <v>57</v>
      </c>
      <c r="G562">
        <v>3</v>
      </c>
      <c r="H562">
        <v>3861</v>
      </c>
      <c r="I562" s="29" t="s">
        <v>84</v>
      </c>
      <c r="J562">
        <v>11583</v>
      </c>
    </row>
    <row r="563" spans="2:10" x14ac:dyDescent="0.25">
      <c r="B563" s="29" t="s">
        <v>659</v>
      </c>
      <c r="C563" s="29" t="s">
        <v>1019</v>
      </c>
      <c r="D563" s="29" t="s">
        <v>21</v>
      </c>
      <c r="E563" s="7">
        <v>45809</v>
      </c>
      <c r="F563" s="29" t="s">
        <v>57</v>
      </c>
      <c r="G563">
        <v>4</v>
      </c>
      <c r="H563">
        <v>1828</v>
      </c>
      <c r="I563" s="29" t="s">
        <v>1058</v>
      </c>
      <c r="J563">
        <v>7312</v>
      </c>
    </row>
    <row r="564" spans="2:10" x14ac:dyDescent="0.25">
      <c r="B564" s="29" t="s">
        <v>660</v>
      </c>
      <c r="C564" s="29" t="s">
        <v>1011</v>
      </c>
      <c r="D564" s="29" t="s">
        <v>21</v>
      </c>
      <c r="E564" s="7">
        <v>45987</v>
      </c>
      <c r="F564" s="29" t="s">
        <v>58</v>
      </c>
      <c r="G564">
        <v>6</v>
      </c>
      <c r="H564">
        <v>1204</v>
      </c>
      <c r="I564" s="29" t="s">
        <v>76</v>
      </c>
      <c r="J564">
        <v>7224</v>
      </c>
    </row>
    <row r="565" spans="2:10" x14ac:dyDescent="0.25">
      <c r="B565" s="29" t="s">
        <v>661</v>
      </c>
      <c r="C565" s="29" t="s">
        <v>1008</v>
      </c>
      <c r="D565" s="29" t="s">
        <v>27</v>
      </c>
      <c r="E565" s="7">
        <v>45680</v>
      </c>
      <c r="F565" s="29" t="s">
        <v>58</v>
      </c>
      <c r="G565">
        <v>1</v>
      </c>
      <c r="H565">
        <v>2663</v>
      </c>
      <c r="I565" s="29" t="s">
        <v>84</v>
      </c>
      <c r="J565">
        <v>2663</v>
      </c>
    </row>
    <row r="566" spans="2:10" x14ac:dyDescent="0.25">
      <c r="B566" s="29" t="s">
        <v>662</v>
      </c>
      <c r="C566" s="29" t="s">
        <v>1006</v>
      </c>
      <c r="D566" s="29" t="s">
        <v>21</v>
      </c>
      <c r="E566" s="7">
        <v>45969</v>
      </c>
      <c r="F566" s="29" t="s">
        <v>58</v>
      </c>
      <c r="G566">
        <v>5</v>
      </c>
      <c r="H566">
        <v>3220</v>
      </c>
      <c r="I566" s="29" t="s">
        <v>84</v>
      </c>
      <c r="J566">
        <v>16100</v>
      </c>
    </row>
    <row r="567" spans="2:10" x14ac:dyDescent="0.25">
      <c r="B567" s="29" t="s">
        <v>663</v>
      </c>
      <c r="C567" s="29" t="s">
        <v>1009</v>
      </c>
      <c r="D567" s="29" t="s">
        <v>11</v>
      </c>
      <c r="E567" s="7">
        <v>45942</v>
      </c>
      <c r="F567" s="29" t="s">
        <v>58</v>
      </c>
      <c r="G567">
        <v>7</v>
      </c>
      <c r="H567">
        <v>3705</v>
      </c>
      <c r="I567" s="29" t="s">
        <v>84</v>
      </c>
      <c r="J567">
        <v>25935</v>
      </c>
    </row>
    <row r="568" spans="2:10" x14ac:dyDescent="0.25">
      <c r="B568" s="29" t="s">
        <v>664</v>
      </c>
      <c r="C568" s="29" t="s">
        <v>1005</v>
      </c>
      <c r="D568" s="29" t="s">
        <v>19</v>
      </c>
      <c r="E568" s="7">
        <v>45817</v>
      </c>
      <c r="F568" s="29" t="s">
        <v>57</v>
      </c>
      <c r="G568">
        <v>10</v>
      </c>
      <c r="H568">
        <v>1289</v>
      </c>
      <c r="I568" s="29" t="s">
        <v>84</v>
      </c>
      <c r="J568">
        <v>12890</v>
      </c>
    </row>
    <row r="569" spans="2:10" x14ac:dyDescent="0.25">
      <c r="B569" s="29" t="s">
        <v>665</v>
      </c>
      <c r="C569" s="29" t="s">
        <v>1008</v>
      </c>
      <c r="D569" s="29" t="s">
        <v>21</v>
      </c>
      <c r="E569" s="7">
        <v>45912</v>
      </c>
      <c r="F569" s="29" t="s">
        <v>57</v>
      </c>
      <c r="G569">
        <v>8</v>
      </c>
      <c r="H569">
        <v>1939</v>
      </c>
      <c r="I569" s="29" t="s">
        <v>76</v>
      </c>
      <c r="J569">
        <v>15512</v>
      </c>
    </row>
    <row r="570" spans="2:10" x14ac:dyDescent="0.25">
      <c r="B570" s="29" t="s">
        <v>666</v>
      </c>
      <c r="C570" s="29" t="s">
        <v>1007</v>
      </c>
      <c r="D570" s="29" t="s">
        <v>23</v>
      </c>
      <c r="E570" s="7">
        <v>45844</v>
      </c>
      <c r="F570" s="29" t="s">
        <v>58</v>
      </c>
      <c r="G570">
        <v>2</v>
      </c>
      <c r="H570">
        <v>2980</v>
      </c>
      <c r="I570" s="29" t="s">
        <v>76</v>
      </c>
      <c r="J570">
        <v>5960</v>
      </c>
    </row>
    <row r="571" spans="2:10" x14ac:dyDescent="0.25">
      <c r="B571" s="29" t="s">
        <v>667</v>
      </c>
      <c r="C571" s="29" t="s">
        <v>1013</v>
      </c>
      <c r="D571" s="29" t="s">
        <v>27</v>
      </c>
      <c r="E571" s="7">
        <v>45916</v>
      </c>
      <c r="F571" s="29" t="s">
        <v>57</v>
      </c>
      <c r="G571">
        <v>1</v>
      </c>
      <c r="H571">
        <v>574</v>
      </c>
      <c r="I571" s="29" t="s">
        <v>1058</v>
      </c>
      <c r="J571">
        <v>574</v>
      </c>
    </row>
    <row r="572" spans="2:10" x14ac:dyDescent="0.25">
      <c r="B572" s="29" t="s">
        <v>668</v>
      </c>
      <c r="C572" s="29" t="s">
        <v>1009</v>
      </c>
      <c r="D572" s="29" t="s">
        <v>14</v>
      </c>
      <c r="E572" s="7">
        <v>45847</v>
      </c>
      <c r="F572" s="29" t="s">
        <v>58</v>
      </c>
      <c r="G572">
        <v>4</v>
      </c>
      <c r="H572">
        <v>2164</v>
      </c>
      <c r="I572" s="29" t="s">
        <v>1058</v>
      </c>
      <c r="J572">
        <v>8656</v>
      </c>
    </row>
    <row r="573" spans="2:10" x14ac:dyDescent="0.25">
      <c r="B573" s="29" t="s">
        <v>669</v>
      </c>
      <c r="C573" s="29" t="s">
        <v>1010</v>
      </c>
      <c r="D573" s="29" t="s">
        <v>23</v>
      </c>
      <c r="E573" s="7">
        <v>45711</v>
      </c>
      <c r="F573" s="29" t="s">
        <v>58</v>
      </c>
      <c r="G573">
        <v>7</v>
      </c>
      <c r="H573">
        <v>4066</v>
      </c>
      <c r="I573" s="29" t="s">
        <v>76</v>
      </c>
      <c r="J573">
        <v>28462</v>
      </c>
    </row>
    <row r="574" spans="2:10" x14ac:dyDescent="0.25">
      <c r="B574" s="29" t="s">
        <v>670</v>
      </c>
      <c r="C574" s="29" t="s">
        <v>1019</v>
      </c>
      <c r="D574" s="29" t="s">
        <v>19</v>
      </c>
      <c r="E574" s="7">
        <v>45908</v>
      </c>
      <c r="F574" s="29" t="s">
        <v>57</v>
      </c>
      <c r="G574">
        <v>4</v>
      </c>
      <c r="H574">
        <v>3918</v>
      </c>
      <c r="I574" s="29" t="s">
        <v>84</v>
      </c>
      <c r="J574">
        <v>15672</v>
      </c>
    </row>
    <row r="575" spans="2:10" x14ac:dyDescent="0.25">
      <c r="B575" s="29" t="s">
        <v>671</v>
      </c>
      <c r="C575" s="29" t="s">
        <v>1004</v>
      </c>
      <c r="D575" s="29" t="s">
        <v>11</v>
      </c>
      <c r="E575" s="7">
        <v>45913</v>
      </c>
      <c r="F575" s="29" t="s">
        <v>58</v>
      </c>
      <c r="G575">
        <v>9</v>
      </c>
      <c r="H575">
        <v>3173</v>
      </c>
      <c r="I575" s="29" t="s">
        <v>84</v>
      </c>
      <c r="J575">
        <v>28557</v>
      </c>
    </row>
    <row r="576" spans="2:10" x14ac:dyDescent="0.25">
      <c r="B576" s="29" t="s">
        <v>672</v>
      </c>
      <c r="C576" s="29" t="s">
        <v>1005</v>
      </c>
      <c r="D576" s="29" t="s">
        <v>21</v>
      </c>
      <c r="E576" s="7">
        <v>45957</v>
      </c>
      <c r="F576" s="29" t="s">
        <v>57</v>
      </c>
      <c r="G576">
        <v>1</v>
      </c>
      <c r="H576">
        <v>4606</v>
      </c>
      <c r="I576" s="29" t="s">
        <v>84</v>
      </c>
      <c r="J576">
        <v>4606</v>
      </c>
    </row>
    <row r="577" spans="2:10" x14ac:dyDescent="0.25">
      <c r="B577" s="29" t="s">
        <v>673</v>
      </c>
      <c r="C577" s="29" t="s">
        <v>1021</v>
      </c>
      <c r="D577" s="29" t="s">
        <v>17</v>
      </c>
      <c r="E577" s="7">
        <v>45715</v>
      </c>
      <c r="F577" s="29" t="s">
        <v>58</v>
      </c>
      <c r="G577">
        <v>2</v>
      </c>
      <c r="H577">
        <v>4842</v>
      </c>
      <c r="I577" s="29" t="s">
        <v>76</v>
      </c>
      <c r="J577">
        <v>9684</v>
      </c>
    </row>
    <row r="578" spans="2:10" x14ac:dyDescent="0.25">
      <c r="B578" s="29" t="s">
        <v>674</v>
      </c>
      <c r="C578" s="29" t="s">
        <v>1016</v>
      </c>
      <c r="D578" s="29" t="s">
        <v>11</v>
      </c>
      <c r="E578" s="7">
        <v>45945</v>
      </c>
      <c r="F578" s="29" t="s">
        <v>58</v>
      </c>
      <c r="G578">
        <v>7</v>
      </c>
      <c r="H578">
        <v>1832</v>
      </c>
      <c r="I578" s="29" t="s">
        <v>1058</v>
      </c>
      <c r="J578">
        <v>12824</v>
      </c>
    </row>
    <row r="579" spans="2:10" x14ac:dyDescent="0.25">
      <c r="B579" s="29" t="s">
        <v>675</v>
      </c>
      <c r="C579" s="29" t="s">
        <v>1008</v>
      </c>
      <c r="D579" s="29" t="s">
        <v>19</v>
      </c>
      <c r="E579" s="7">
        <v>45842</v>
      </c>
      <c r="F579" s="29" t="s">
        <v>57</v>
      </c>
      <c r="G579">
        <v>3</v>
      </c>
      <c r="H579">
        <v>2320</v>
      </c>
      <c r="I579" s="29" t="s">
        <v>1058</v>
      </c>
      <c r="J579">
        <v>6960</v>
      </c>
    </row>
    <row r="580" spans="2:10" x14ac:dyDescent="0.25">
      <c r="B580" s="29" t="s">
        <v>676</v>
      </c>
      <c r="C580" s="29" t="s">
        <v>1018</v>
      </c>
      <c r="D580" s="29" t="s">
        <v>19</v>
      </c>
      <c r="E580" s="7">
        <v>45999</v>
      </c>
      <c r="F580" s="29" t="s">
        <v>57</v>
      </c>
      <c r="G580">
        <v>5</v>
      </c>
      <c r="H580">
        <v>4412</v>
      </c>
      <c r="I580" s="29" t="s">
        <v>1058</v>
      </c>
      <c r="J580">
        <v>22060</v>
      </c>
    </row>
    <row r="581" spans="2:10" x14ac:dyDescent="0.25">
      <c r="B581" s="29" t="s">
        <v>677</v>
      </c>
      <c r="C581" s="29" t="s">
        <v>1021</v>
      </c>
      <c r="D581" s="29" t="s">
        <v>23</v>
      </c>
      <c r="E581" s="7">
        <v>45742</v>
      </c>
      <c r="F581" s="29" t="s">
        <v>57</v>
      </c>
      <c r="G581">
        <v>4</v>
      </c>
      <c r="H581">
        <v>64</v>
      </c>
      <c r="I581" s="29" t="s">
        <v>1058</v>
      </c>
      <c r="J581">
        <v>256</v>
      </c>
    </row>
    <row r="582" spans="2:10" x14ac:dyDescent="0.25">
      <c r="B582" s="29" t="s">
        <v>678</v>
      </c>
      <c r="C582" s="29" t="s">
        <v>1007</v>
      </c>
      <c r="D582" s="29" t="s">
        <v>21</v>
      </c>
      <c r="E582" s="7">
        <v>45896</v>
      </c>
      <c r="F582" s="29" t="s">
        <v>57</v>
      </c>
      <c r="G582">
        <v>1</v>
      </c>
      <c r="H582">
        <v>2481</v>
      </c>
      <c r="I582" s="29" t="s">
        <v>1058</v>
      </c>
      <c r="J582">
        <v>2481</v>
      </c>
    </row>
    <row r="583" spans="2:10" x14ac:dyDescent="0.25">
      <c r="B583" s="29" t="s">
        <v>679</v>
      </c>
      <c r="C583" s="29" t="s">
        <v>1012</v>
      </c>
      <c r="D583" s="29" t="s">
        <v>23</v>
      </c>
      <c r="E583" s="7">
        <v>45948</v>
      </c>
      <c r="F583" s="29" t="s">
        <v>57</v>
      </c>
      <c r="G583">
        <v>7</v>
      </c>
      <c r="H583">
        <v>3774</v>
      </c>
      <c r="I583" s="29" t="s">
        <v>1058</v>
      </c>
      <c r="J583">
        <v>26418</v>
      </c>
    </row>
    <row r="584" spans="2:10" x14ac:dyDescent="0.25">
      <c r="B584" s="29" t="s">
        <v>680</v>
      </c>
      <c r="C584" s="29" t="s">
        <v>1004</v>
      </c>
      <c r="D584" s="29" t="s">
        <v>21</v>
      </c>
      <c r="E584" s="7">
        <v>45878</v>
      </c>
      <c r="F584" s="29" t="s">
        <v>57</v>
      </c>
      <c r="G584">
        <v>6</v>
      </c>
      <c r="H584">
        <v>2362</v>
      </c>
      <c r="I584" s="29" t="s">
        <v>84</v>
      </c>
      <c r="J584">
        <v>14172</v>
      </c>
    </row>
    <row r="585" spans="2:10" x14ac:dyDescent="0.25">
      <c r="B585" s="29" t="s">
        <v>681</v>
      </c>
      <c r="C585" s="29" t="s">
        <v>1019</v>
      </c>
      <c r="D585" s="29" t="s">
        <v>11</v>
      </c>
      <c r="E585" s="7">
        <v>45709</v>
      </c>
      <c r="F585" s="29" t="s">
        <v>58</v>
      </c>
      <c r="G585">
        <v>7</v>
      </c>
      <c r="H585">
        <v>473</v>
      </c>
      <c r="I585" s="29" t="s">
        <v>1058</v>
      </c>
      <c r="J585">
        <v>3311</v>
      </c>
    </row>
    <row r="586" spans="2:10" x14ac:dyDescent="0.25">
      <c r="B586" s="29" t="s">
        <v>682</v>
      </c>
      <c r="C586" s="29" t="s">
        <v>1009</v>
      </c>
      <c r="D586" s="29" t="s">
        <v>23</v>
      </c>
      <c r="E586" s="7">
        <v>45947</v>
      </c>
      <c r="F586" s="29" t="s">
        <v>58</v>
      </c>
      <c r="G586">
        <v>1</v>
      </c>
      <c r="H586">
        <v>1662</v>
      </c>
      <c r="I586" s="29" t="s">
        <v>76</v>
      </c>
      <c r="J586">
        <v>1662</v>
      </c>
    </row>
    <row r="587" spans="2:10" x14ac:dyDescent="0.25">
      <c r="B587" s="29" t="s">
        <v>683</v>
      </c>
      <c r="C587" s="29" t="s">
        <v>1013</v>
      </c>
      <c r="D587" s="29" t="s">
        <v>23</v>
      </c>
      <c r="E587" s="7">
        <v>45775</v>
      </c>
      <c r="F587" s="29" t="s">
        <v>57</v>
      </c>
      <c r="G587">
        <v>2</v>
      </c>
      <c r="H587">
        <v>3333</v>
      </c>
      <c r="I587" s="29" t="s">
        <v>84</v>
      </c>
      <c r="J587">
        <v>6666</v>
      </c>
    </row>
    <row r="588" spans="2:10" x14ac:dyDescent="0.25">
      <c r="B588" s="29" t="s">
        <v>684</v>
      </c>
      <c r="C588" s="29" t="s">
        <v>1022</v>
      </c>
      <c r="D588" s="29" t="s">
        <v>21</v>
      </c>
      <c r="E588" s="7">
        <v>45780</v>
      </c>
      <c r="F588" s="29" t="s">
        <v>58</v>
      </c>
      <c r="G588">
        <v>10</v>
      </c>
      <c r="H588">
        <v>4214</v>
      </c>
      <c r="I588" s="29" t="s">
        <v>76</v>
      </c>
      <c r="J588">
        <v>42140</v>
      </c>
    </row>
    <row r="589" spans="2:10" x14ac:dyDescent="0.25">
      <c r="B589" s="29" t="s">
        <v>685</v>
      </c>
      <c r="C589" s="29" t="s">
        <v>1008</v>
      </c>
      <c r="D589" s="29" t="s">
        <v>27</v>
      </c>
      <c r="E589" s="7">
        <v>45850</v>
      </c>
      <c r="F589" s="29" t="s">
        <v>58</v>
      </c>
      <c r="G589">
        <v>3</v>
      </c>
      <c r="H589">
        <v>1866</v>
      </c>
      <c r="I589" s="29" t="s">
        <v>76</v>
      </c>
      <c r="J589">
        <v>5598</v>
      </c>
    </row>
    <row r="590" spans="2:10" x14ac:dyDescent="0.25">
      <c r="B590" s="29" t="s">
        <v>686</v>
      </c>
      <c r="C590" s="29" t="s">
        <v>1015</v>
      </c>
      <c r="D590" s="29" t="s">
        <v>17</v>
      </c>
      <c r="E590" s="7">
        <v>46005</v>
      </c>
      <c r="F590" s="29" t="s">
        <v>58</v>
      </c>
      <c r="G590">
        <v>9</v>
      </c>
      <c r="H590">
        <v>153</v>
      </c>
      <c r="I590" s="29" t="s">
        <v>1058</v>
      </c>
      <c r="J590">
        <v>1377</v>
      </c>
    </row>
    <row r="591" spans="2:10" x14ac:dyDescent="0.25">
      <c r="B591" s="29" t="s">
        <v>687</v>
      </c>
      <c r="C591" s="29" t="s">
        <v>1015</v>
      </c>
      <c r="D591" s="29" t="s">
        <v>17</v>
      </c>
      <c r="E591" s="7">
        <v>45815</v>
      </c>
      <c r="F591" s="29" t="s">
        <v>58</v>
      </c>
      <c r="G591">
        <v>3</v>
      </c>
      <c r="H591">
        <v>1773</v>
      </c>
      <c r="I591" s="29" t="s">
        <v>1058</v>
      </c>
      <c r="J591">
        <v>5319</v>
      </c>
    </row>
    <row r="592" spans="2:10" x14ac:dyDescent="0.25">
      <c r="B592" s="29" t="s">
        <v>688</v>
      </c>
      <c r="C592" s="29" t="s">
        <v>1008</v>
      </c>
      <c r="D592" s="29" t="s">
        <v>21</v>
      </c>
      <c r="E592" s="7">
        <v>45675</v>
      </c>
      <c r="F592" s="29" t="s">
        <v>58</v>
      </c>
      <c r="G592">
        <v>8</v>
      </c>
      <c r="H592">
        <v>785</v>
      </c>
      <c r="I592" s="29" t="s">
        <v>76</v>
      </c>
      <c r="J592">
        <v>6280</v>
      </c>
    </row>
    <row r="593" spans="2:10" x14ac:dyDescent="0.25">
      <c r="B593" s="29" t="s">
        <v>689</v>
      </c>
      <c r="C593" s="29" t="s">
        <v>1005</v>
      </c>
      <c r="D593" s="29" t="s">
        <v>17</v>
      </c>
      <c r="E593" s="7">
        <v>45658</v>
      </c>
      <c r="F593" s="29" t="s">
        <v>58</v>
      </c>
      <c r="G593">
        <v>6</v>
      </c>
      <c r="H593">
        <v>40</v>
      </c>
      <c r="I593" s="29" t="s">
        <v>1058</v>
      </c>
      <c r="J593">
        <v>240</v>
      </c>
    </row>
    <row r="594" spans="2:10" x14ac:dyDescent="0.25">
      <c r="B594" s="29" t="s">
        <v>690</v>
      </c>
      <c r="C594" s="29" t="s">
        <v>1013</v>
      </c>
      <c r="D594" s="29" t="s">
        <v>11</v>
      </c>
      <c r="E594" s="7">
        <v>45919</v>
      </c>
      <c r="F594" s="29" t="s">
        <v>57</v>
      </c>
      <c r="G594">
        <v>8</v>
      </c>
      <c r="H594">
        <v>3714</v>
      </c>
      <c r="I594" s="29" t="s">
        <v>1058</v>
      </c>
      <c r="J594">
        <v>29712</v>
      </c>
    </row>
    <row r="595" spans="2:10" x14ac:dyDescent="0.25">
      <c r="B595" s="29" t="s">
        <v>691</v>
      </c>
      <c r="C595" s="29" t="s">
        <v>1012</v>
      </c>
      <c r="D595" s="29" t="s">
        <v>11</v>
      </c>
      <c r="E595" s="7">
        <v>45728</v>
      </c>
      <c r="F595" s="29" t="s">
        <v>58</v>
      </c>
      <c r="G595">
        <v>1</v>
      </c>
      <c r="H595">
        <v>4856</v>
      </c>
      <c r="I595" s="29" t="s">
        <v>1058</v>
      </c>
      <c r="J595">
        <v>4856</v>
      </c>
    </row>
    <row r="596" spans="2:10" x14ac:dyDescent="0.25">
      <c r="B596" s="29" t="s">
        <v>692</v>
      </c>
      <c r="C596" s="29" t="s">
        <v>1019</v>
      </c>
      <c r="D596" s="29" t="s">
        <v>14</v>
      </c>
      <c r="E596" s="7">
        <v>45744</v>
      </c>
      <c r="F596" s="29" t="s">
        <v>58</v>
      </c>
      <c r="G596">
        <v>3</v>
      </c>
      <c r="H596">
        <v>2814</v>
      </c>
      <c r="I596" s="29" t="s">
        <v>76</v>
      </c>
      <c r="J596">
        <v>8442</v>
      </c>
    </row>
    <row r="597" spans="2:10" x14ac:dyDescent="0.25">
      <c r="B597" s="29" t="s">
        <v>693</v>
      </c>
      <c r="C597" s="29" t="s">
        <v>1004</v>
      </c>
      <c r="D597" s="29" t="s">
        <v>21</v>
      </c>
      <c r="E597" s="7">
        <v>45762</v>
      </c>
      <c r="F597" s="29" t="s">
        <v>57</v>
      </c>
      <c r="G597">
        <v>8</v>
      </c>
      <c r="H597">
        <v>754</v>
      </c>
      <c r="I597" s="29" t="s">
        <v>84</v>
      </c>
      <c r="J597">
        <v>6032</v>
      </c>
    </row>
    <row r="598" spans="2:10" x14ac:dyDescent="0.25">
      <c r="B598" s="29" t="s">
        <v>694</v>
      </c>
      <c r="C598" s="29" t="s">
        <v>1004</v>
      </c>
      <c r="D598" s="29" t="s">
        <v>23</v>
      </c>
      <c r="E598" s="7">
        <v>45967</v>
      </c>
      <c r="F598" s="29" t="s">
        <v>57</v>
      </c>
      <c r="G598">
        <v>10</v>
      </c>
      <c r="H598">
        <v>3162</v>
      </c>
      <c r="I598" s="29" t="s">
        <v>84</v>
      </c>
      <c r="J598">
        <v>31620</v>
      </c>
    </row>
    <row r="599" spans="2:10" x14ac:dyDescent="0.25">
      <c r="B599" s="29" t="s">
        <v>695</v>
      </c>
      <c r="C599" s="29" t="s">
        <v>1013</v>
      </c>
      <c r="D599" s="29" t="s">
        <v>23</v>
      </c>
      <c r="E599" s="7">
        <v>46007</v>
      </c>
      <c r="F599" s="29" t="s">
        <v>57</v>
      </c>
      <c r="G599">
        <v>10</v>
      </c>
      <c r="H599">
        <v>3396</v>
      </c>
      <c r="I599" s="29" t="s">
        <v>84</v>
      </c>
      <c r="J599">
        <v>33960</v>
      </c>
    </row>
    <row r="600" spans="2:10" x14ac:dyDescent="0.25">
      <c r="B600" s="29" t="s">
        <v>696</v>
      </c>
      <c r="C600" s="29" t="s">
        <v>1010</v>
      </c>
      <c r="D600" s="29" t="s">
        <v>11</v>
      </c>
      <c r="E600" s="7">
        <v>45813</v>
      </c>
      <c r="F600" s="29" t="s">
        <v>57</v>
      </c>
      <c r="G600">
        <v>8</v>
      </c>
      <c r="H600">
        <v>1119</v>
      </c>
      <c r="I600" s="29" t="s">
        <v>1058</v>
      </c>
      <c r="J600">
        <v>8952</v>
      </c>
    </row>
    <row r="601" spans="2:10" x14ac:dyDescent="0.25">
      <c r="B601" s="29" t="s">
        <v>697</v>
      </c>
      <c r="C601" s="29" t="s">
        <v>1017</v>
      </c>
      <c r="D601" s="29" t="s">
        <v>11</v>
      </c>
      <c r="E601" s="7">
        <v>45992</v>
      </c>
      <c r="F601" s="29" t="s">
        <v>58</v>
      </c>
      <c r="G601">
        <v>2</v>
      </c>
      <c r="H601">
        <v>4786</v>
      </c>
      <c r="I601" s="29" t="s">
        <v>76</v>
      </c>
      <c r="J601">
        <v>9572</v>
      </c>
    </row>
    <row r="602" spans="2:10" x14ac:dyDescent="0.25">
      <c r="B602" s="29" t="s">
        <v>698</v>
      </c>
      <c r="C602" s="29" t="s">
        <v>1013</v>
      </c>
      <c r="D602" s="29" t="s">
        <v>17</v>
      </c>
      <c r="E602" s="7">
        <v>45993</v>
      </c>
      <c r="F602" s="29" t="s">
        <v>57</v>
      </c>
      <c r="G602">
        <v>8</v>
      </c>
      <c r="H602">
        <v>4254</v>
      </c>
      <c r="I602" s="29" t="s">
        <v>84</v>
      </c>
      <c r="J602">
        <v>34032</v>
      </c>
    </row>
    <row r="603" spans="2:10" x14ac:dyDescent="0.25">
      <c r="B603" s="29" t="s">
        <v>699</v>
      </c>
      <c r="C603" s="29" t="s">
        <v>1017</v>
      </c>
      <c r="D603" s="29" t="s">
        <v>19</v>
      </c>
      <c r="E603" s="7">
        <v>45827</v>
      </c>
      <c r="F603" s="29" t="s">
        <v>58</v>
      </c>
      <c r="G603">
        <v>2</v>
      </c>
      <c r="H603">
        <v>3154</v>
      </c>
      <c r="I603" s="29" t="s">
        <v>1058</v>
      </c>
      <c r="J603">
        <v>6308</v>
      </c>
    </row>
    <row r="604" spans="2:10" x14ac:dyDescent="0.25">
      <c r="B604" s="29" t="s">
        <v>700</v>
      </c>
      <c r="C604" s="29" t="s">
        <v>1021</v>
      </c>
      <c r="D604" s="29" t="s">
        <v>14</v>
      </c>
      <c r="E604" s="7">
        <v>45844</v>
      </c>
      <c r="F604" s="29" t="s">
        <v>57</v>
      </c>
      <c r="G604">
        <v>5</v>
      </c>
      <c r="H604">
        <v>1458</v>
      </c>
      <c r="I604" s="29" t="s">
        <v>84</v>
      </c>
      <c r="J604">
        <v>7290</v>
      </c>
    </row>
    <row r="605" spans="2:10" x14ac:dyDescent="0.25">
      <c r="B605" s="29" t="s">
        <v>701</v>
      </c>
      <c r="C605" s="29" t="s">
        <v>1013</v>
      </c>
      <c r="D605" s="29" t="s">
        <v>14</v>
      </c>
      <c r="E605" s="7">
        <v>45914</v>
      </c>
      <c r="F605" s="29" t="s">
        <v>57</v>
      </c>
      <c r="G605">
        <v>1</v>
      </c>
      <c r="H605">
        <v>2954</v>
      </c>
      <c r="I605" s="29" t="s">
        <v>84</v>
      </c>
      <c r="J605">
        <v>2954</v>
      </c>
    </row>
    <row r="606" spans="2:10" x14ac:dyDescent="0.25">
      <c r="B606" s="29" t="s">
        <v>702</v>
      </c>
      <c r="C606" s="29" t="s">
        <v>1014</v>
      </c>
      <c r="D606" s="29" t="s">
        <v>19</v>
      </c>
      <c r="E606" s="7">
        <v>45908</v>
      </c>
      <c r="F606" s="29" t="s">
        <v>58</v>
      </c>
      <c r="G606">
        <v>6</v>
      </c>
      <c r="H606">
        <v>2790</v>
      </c>
      <c r="I606" s="29" t="s">
        <v>84</v>
      </c>
      <c r="J606">
        <v>16740</v>
      </c>
    </row>
    <row r="607" spans="2:10" x14ac:dyDescent="0.25">
      <c r="B607" s="29" t="s">
        <v>703</v>
      </c>
      <c r="C607" s="29" t="s">
        <v>1013</v>
      </c>
      <c r="D607" s="29" t="s">
        <v>21</v>
      </c>
      <c r="E607" s="7">
        <v>45799</v>
      </c>
      <c r="F607" s="29" t="s">
        <v>58</v>
      </c>
      <c r="G607">
        <v>10</v>
      </c>
      <c r="H607">
        <v>4907</v>
      </c>
      <c r="I607" s="29" t="s">
        <v>76</v>
      </c>
      <c r="J607">
        <v>49070</v>
      </c>
    </row>
    <row r="608" spans="2:10" x14ac:dyDescent="0.25">
      <c r="B608" s="29" t="s">
        <v>704</v>
      </c>
      <c r="C608" s="29" t="s">
        <v>1007</v>
      </c>
      <c r="D608" s="29" t="s">
        <v>14</v>
      </c>
      <c r="E608" s="7">
        <v>45661</v>
      </c>
      <c r="F608" s="29" t="s">
        <v>58</v>
      </c>
      <c r="G608">
        <v>9</v>
      </c>
      <c r="H608">
        <v>4610</v>
      </c>
      <c r="I608" s="29" t="s">
        <v>84</v>
      </c>
      <c r="J608">
        <v>41490</v>
      </c>
    </row>
    <row r="609" spans="2:10" x14ac:dyDescent="0.25">
      <c r="B609" s="29" t="s">
        <v>705</v>
      </c>
      <c r="C609" s="29" t="s">
        <v>1020</v>
      </c>
      <c r="D609" s="29" t="s">
        <v>23</v>
      </c>
      <c r="E609" s="7">
        <v>45775</v>
      </c>
      <c r="F609" s="29" t="s">
        <v>57</v>
      </c>
      <c r="G609">
        <v>7</v>
      </c>
      <c r="H609">
        <v>1016</v>
      </c>
      <c r="I609" s="29" t="s">
        <v>76</v>
      </c>
      <c r="J609">
        <v>7112</v>
      </c>
    </row>
    <row r="610" spans="2:10" x14ac:dyDescent="0.25">
      <c r="B610" s="29" t="s">
        <v>706</v>
      </c>
      <c r="C610" s="29" t="s">
        <v>1011</v>
      </c>
      <c r="D610" s="29" t="s">
        <v>23</v>
      </c>
      <c r="E610" s="7">
        <v>45895</v>
      </c>
      <c r="F610" s="29" t="s">
        <v>58</v>
      </c>
      <c r="G610">
        <v>6</v>
      </c>
      <c r="H610">
        <v>4527</v>
      </c>
      <c r="I610" s="29" t="s">
        <v>84</v>
      </c>
      <c r="J610">
        <v>27162</v>
      </c>
    </row>
    <row r="611" spans="2:10" x14ac:dyDescent="0.25">
      <c r="B611" s="29" t="s">
        <v>707</v>
      </c>
      <c r="C611" s="29" t="s">
        <v>1004</v>
      </c>
      <c r="D611" s="29" t="s">
        <v>17</v>
      </c>
      <c r="E611" s="7">
        <v>45804</v>
      </c>
      <c r="F611" s="29" t="s">
        <v>58</v>
      </c>
      <c r="G611">
        <v>8</v>
      </c>
      <c r="H611">
        <v>4453</v>
      </c>
      <c r="I611" s="29" t="s">
        <v>76</v>
      </c>
      <c r="J611">
        <v>35624</v>
      </c>
    </row>
    <row r="612" spans="2:10" x14ac:dyDescent="0.25">
      <c r="B612" s="29" t="s">
        <v>708</v>
      </c>
      <c r="C612" s="29" t="s">
        <v>1017</v>
      </c>
      <c r="D612" s="29" t="s">
        <v>27</v>
      </c>
      <c r="E612" s="7">
        <v>45901</v>
      </c>
      <c r="F612" s="29" t="s">
        <v>57</v>
      </c>
      <c r="G612">
        <v>1</v>
      </c>
      <c r="H612">
        <v>1391</v>
      </c>
      <c r="I612" s="29" t="s">
        <v>1058</v>
      </c>
      <c r="J612">
        <v>1391</v>
      </c>
    </row>
    <row r="613" spans="2:10" x14ac:dyDescent="0.25">
      <c r="B613" s="29" t="s">
        <v>709</v>
      </c>
      <c r="C613" s="29" t="s">
        <v>1017</v>
      </c>
      <c r="D613" s="29" t="s">
        <v>21</v>
      </c>
      <c r="E613" s="7">
        <v>45732</v>
      </c>
      <c r="F613" s="29" t="s">
        <v>58</v>
      </c>
      <c r="G613">
        <v>3</v>
      </c>
      <c r="H613">
        <v>4731</v>
      </c>
      <c r="I613" s="29" t="s">
        <v>1058</v>
      </c>
      <c r="J613">
        <v>14193</v>
      </c>
    </row>
    <row r="614" spans="2:10" x14ac:dyDescent="0.25">
      <c r="B614" s="29" t="s">
        <v>710</v>
      </c>
      <c r="C614" s="29" t="s">
        <v>1009</v>
      </c>
      <c r="D614" s="29" t="s">
        <v>17</v>
      </c>
      <c r="E614" s="7">
        <v>45839</v>
      </c>
      <c r="F614" s="29" t="s">
        <v>58</v>
      </c>
      <c r="G614">
        <v>10</v>
      </c>
      <c r="H614">
        <v>282</v>
      </c>
      <c r="I614" s="29" t="s">
        <v>84</v>
      </c>
      <c r="J614">
        <v>2820</v>
      </c>
    </row>
    <row r="615" spans="2:10" x14ac:dyDescent="0.25">
      <c r="B615" s="29" t="s">
        <v>711</v>
      </c>
      <c r="C615" s="29" t="s">
        <v>1022</v>
      </c>
      <c r="D615" s="29" t="s">
        <v>14</v>
      </c>
      <c r="E615" s="7">
        <v>45693</v>
      </c>
      <c r="F615" s="29" t="s">
        <v>58</v>
      </c>
      <c r="G615">
        <v>7</v>
      </c>
      <c r="H615">
        <v>2570</v>
      </c>
      <c r="I615" s="29" t="s">
        <v>84</v>
      </c>
      <c r="J615">
        <v>17990</v>
      </c>
    </row>
    <row r="616" spans="2:10" x14ac:dyDescent="0.25">
      <c r="B616" s="29" t="s">
        <v>712</v>
      </c>
      <c r="C616" s="29" t="s">
        <v>1015</v>
      </c>
      <c r="D616" s="29" t="s">
        <v>11</v>
      </c>
      <c r="E616" s="7">
        <v>45681</v>
      </c>
      <c r="F616" s="29" t="s">
        <v>58</v>
      </c>
      <c r="G616">
        <v>4</v>
      </c>
      <c r="H616">
        <v>2542</v>
      </c>
      <c r="I616" s="29" t="s">
        <v>84</v>
      </c>
      <c r="J616">
        <v>10168</v>
      </c>
    </row>
    <row r="617" spans="2:10" x14ac:dyDescent="0.25">
      <c r="B617" s="29" t="s">
        <v>713</v>
      </c>
      <c r="C617" s="29" t="s">
        <v>1013</v>
      </c>
      <c r="D617" s="29" t="s">
        <v>21</v>
      </c>
      <c r="E617" s="7">
        <v>45695</v>
      </c>
      <c r="F617" s="29" t="s">
        <v>57</v>
      </c>
      <c r="G617">
        <v>3</v>
      </c>
      <c r="H617">
        <v>4916</v>
      </c>
      <c r="I617" s="29" t="s">
        <v>1058</v>
      </c>
      <c r="J617">
        <v>14748</v>
      </c>
    </row>
    <row r="618" spans="2:10" x14ac:dyDescent="0.25">
      <c r="B618" s="29" t="s">
        <v>714</v>
      </c>
      <c r="C618" s="29" t="s">
        <v>1022</v>
      </c>
      <c r="D618" s="29" t="s">
        <v>21</v>
      </c>
      <c r="E618" s="7">
        <v>45705</v>
      </c>
      <c r="F618" s="29" t="s">
        <v>58</v>
      </c>
      <c r="G618">
        <v>3</v>
      </c>
      <c r="H618">
        <v>796</v>
      </c>
      <c r="I618" s="29" t="s">
        <v>1058</v>
      </c>
      <c r="J618">
        <v>2388</v>
      </c>
    </row>
    <row r="619" spans="2:10" x14ac:dyDescent="0.25">
      <c r="B619" s="29" t="s">
        <v>715</v>
      </c>
      <c r="C619" s="29" t="s">
        <v>1005</v>
      </c>
      <c r="D619" s="29" t="s">
        <v>27</v>
      </c>
      <c r="E619" s="7">
        <v>45731</v>
      </c>
      <c r="F619" s="29" t="s">
        <v>57</v>
      </c>
      <c r="G619">
        <v>1</v>
      </c>
      <c r="H619">
        <v>37</v>
      </c>
      <c r="I619" s="29" t="s">
        <v>76</v>
      </c>
      <c r="J619">
        <v>37</v>
      </c>
    </row>
    <row r="620" spans="2:10" x14ac:dyDescent="0.25">
      <c r="B620" s="29" t="s">
        <v>716</v>
      </c>
      <c r="C620" s="29" t="s">
        <v>1013</v>
      </c>
      <c r="D620" s="29" t="s">
        <v>21</v>
      </c>
      <c r="E620" s="7">
        <v>45979</v>
      </c>
      <c r="F620" s="29" t="s">
        <v>57</v>
      </c>
      <c r="G620">
        <v>1</v>
      </c>
      <c r="H620">
        <v>3859</v>
      </c>
      <c r="I620" s="29" t="s">
        <v>84</v>
      </c>
      <c r="J620">
        <v>3859</v>
      </c>
    </row>
    <row r="621" spans="2:10" x14ac:dyDescent="0.25">
      <c r="B621" s="29" t="s">
        <v>717</v>
      </c>
      <c r="C621" s="29" t="s">
        <v>1021</v>
      </c>
      <c r="D621" s="29" t="s">
        <v>19</v>
      </c>
      <c r="E621" s="7">
        <v>45931</v>
      </c>
      <c r="F621" s="29" t="s">
        <v>57</v>
      </c>
      <c r="G621">
        <v>9</v>
      </c>
      <c r="H621">
        <v>2350</v>
      </c>
      <c r="I621" s="29" t="s">
        <v>1058</v>
      </c>
      <c r="J621">
        <v>21150</v>
      </c>
    </row>
    <row r="622" spans="2:10" x14ac:dyDescent="0.25">
      <c r="B622" s="29" t="s">
        <v>718</v>
      </c>
      <c r="C622" s="29" t="s">
        <v>1010</v>
      </c>
      <c r="D622" s="29" t="s">
        <v>21</v>
      </c>
      <c r="E622" s="7">
        <v>45980</v>
      </c>
      <c r="F622" s="29" t="s">
        <v>58</v>
      </c>
      <c r="G622">
        <v>5</v>
      </c>
      <c r="H622">
        <v>1865</v>
      </c>
      <c r="I622" s="29" t="s">
        <v>76</v>
      </c>
      <c r="J622">
        <v>9325</v>
      </c>
    </row>
    <row r="623" spans="2:10" x14ac:dyDescent="0.25">
      <c r="B623" s="29" t="s">
        <v>719</v>
      </c>
      <c r="C623" s="29" t="s">
        <v>1021</v>
      </c>
      <c r="D623" s="29" t="s">
        <v>19</v>
      </c>
      <c r="E623" s="7">
        <v>45805</v>
      </c>
      <c r="F623" s="29" t="s">
        <v>57</v>
      </c>
      <c r="G623">
        <v>2</v>
      </c>
      <c r="H623">
        <v>2612</v>
      </c>
      <c r="I623" s="29" t="s">
        <v>76</v>
      </c>
      <c r="J623">
        <v>5224</v>
      </c>
    </row>
    <row r="624" spans="2:10" x14ac:dyDescent="0.25">
      <c r="B624" s="29" t="s">
        <v>720</v>
      </c>
      <c r="C624" s="29" t="s">
        <v>1019</v>
      </c>
      <c r="D624" s="29" t="s">
        <v>11</v>
      </c>
      <c r="E624" s="7">
        <v>45944</v>
      </c>
      <c r="F624" s="29" t="s">
        <v>57</v>
      </c>
      <c r="G624">
        <v>5</v>
      </c>
      <c r="H624">
        <v>1139</v>
      </c>
      <c r="I624" s="29" t="s">
        <v>76</v>
      </c>
      <c r="J624">
        <v>5695</v>
      </c>
    </row>
    <row r="625" spans="2:10" x14ac:dyDescent="0.25">
      <c r="B625" s="29" t="s">
        <v>721</v>
      </c>
      <c r="C625" s="29" t="s">
        <v>1014</v>
      </c>
      <c r="D625" s="29" t="s">
        <v>23</v>
      </c>
      <c r="E625" s="7">
        <v>45988</v>
      </c>
      <c r="F625" s="29" t="s">
        <v>57</v>
      </c>
      <c r="G625">
        <v>4</v>
      </c>
      <c r="H625">
        <v>2790</v>
      </c>
      <c r="I625" s="29" t="s">
        <v>1058</v>
      </c>
      <c r="J625">
        <v>11160</v>
      </c>
    </row>
    <row r="626" spans="2:10" x14ac:dyDescent="0.25">
      <c r="B626" s="29" t="s">
        <v>722</v>
      </c>
      <c r="C626" s="29" t="s">
        <v>1021</v>
      </c>
      <c r="D626" s="29" t="s">
        <v>14</v>
      </c>
      <c r="E626" s="7">
        <v>45846</v>
      </c>
      <c r="F626" s="29" t="s">
        <v>58</v>
      </c>
      <c r="G626">
        <v>1</v>
      </c>
      <c r="H626">
        <v>4269</v>
      </c>
      <c r="I626" s="29" t="s">
        <v>1058</v>
      </c>
      <c r="J626">
        <v>4269</v>
      </c>
    </row>
    <row r="627" spans="2:10" x14ac:dyDescent="0.25">
      <c r="B627" s="29" t="s">
        <v>723</v>
      </c>
      <c r="C627" s="29" t="s">
        <v>1022</v>
      </c>
      <c r="D627" s="29" t="s">
        <v>19</v>
      </c>
      <c r="E627" s="7">
        <v>45735</v>
      </c>
      <c r="F627" s="29" t="s">
        <v>58</v>
      </c>
      <c r="G627">
        <v>3</v>
      </c>
      <c r="H627">
        <v>1113</v>
      </c>
      <c r="I627" s="29" t="s">
        <v>84</v>
      </c>
      <c r="J627">
        <v>3339</v>
      </c>
    </row>
    <row r="628" spans="2:10" x14ac:dyDescent="0.25">
      <c r="B628" s="29" t="s">
        <v>724</v>
      </c>
      <c r="C628" s="29" t="s">
        <v>1019</v>
      </c>
      <c r="D628" s="29" t="s">
        <v>19</v>
      </c>
      <c r="E628" s="7">
        <v>45788</v>
      </c>
      <c r="F628" s="29" t="s">
        <v>58</v>
      </c>
      <c r="G628">
        <v>9</v>
      </c>
      <c r="H628">
        <v>143</v>
      </c>
      <c r="I628" s="29" t="s">
        <v>76</v>
      </c>
      <c r="J628">
        <v>1287</v>
      </c>
    </row>
    <row r="629" spans="2:10" x14ac:dyDescent="0.25">
      <c r="B629" s="29" t="s">
        <v>725</v>
      </c>
      <c r="C629" s="29" t="s">
        <v>1005</v>
      </c>
      <c r="D629" s="29" t="s">
        <v>21</v>
      </c>
      <c r="E629" s="7">
        <v>45964</v>
      </c>
      <c r="F629" s="29" t="s">
        <v>57</v>
      </c>
      <c r="G629">
        <v>10</v>
      </c>
      <c r="H629">
        <v>2035</v>
      </c>
      <c r="I629" s="29" t="s">
        <v>76</v>
      </c>
      <c r="J629">
        <v>20350</v>
      </c>
    </row>
    <row r="630" spans="2:10" x14ac:dyDescent="0.25">
      <c r="B630" s="29" t="s">
        <v>726</v>
      </c>
      <c r="C630" s="29" t="s">
        <v>1012</v>
      </c>
      <c r="D630" s="29" t="s">
        <v>27</v>
      </c>
      <c r="E630" s="7">
        <v>45942</v>
      </c>
      <c r="F630" s="29" t="s">
        <v>58</v>
      </c>
      <c r="G630">
        <v>3</v>
      </c>
      <c r="H630">
        <v>3804</v>
      </c>
      <c r="I630" s="29" t="s">
        <v>84</v>
      </c>
      <c r="J630">
        <v>11412</v>
      </c>
    </row>
    <row r="631" spans="2:10" x14ac:dyDescent="0.25">
      <c r="B631" s="29" t="s">
        <v>727</v>
      </c>
      <c r="C631" s="29" t="s">
        <v>1006</v>
      </c>
      <c r="D631" s="29" t="s">
        <v>23</v>
      </c>
      <c r="E631" s="7">
        <v>45822</v>
      </c>
      <c r="F631" s="29" t="s">
        <v>58</v>
      </c>
      <c r="G631">
        <v>7</v>
      </c>
      <c r="H631">
        <v>1297</v>
      </c>
      <c r="I631" s="29" t="s">
        <v>84</v>
      </c>
      <c r="J631">
        <v>9079</v>
      </c>
    </row>
    <row r="632" spans="2:10" x14ac:dyDescent="0.25">
      <c r="B632" s="29" t="s">
        <v>728</v>
      </c>
      <c r="C632" s="29" t="s">
        <v>1018</v>
      </c>
      <c r="D632" s="29" t="s">
        <v>19</v>
      </c>
      <c r="E632" s="7">
        <v>45787</v>
      </c>
      <c r="F632" s="29" t="s">
        <v>58</v>
      </c>
      <c r="G632">
        <v>5</v>
      </c>
      <c r="H632">
        <v>1649</v>
      </c>
      <c r="I632" s="29" t="s">
        <v>1058</v>
      </c>
      <c r="J632">
        <v>8245</v>
      </c>
    </row>
    <row r="633" spans="2:10" x14ac:dyDescent="0.25">
      <c r="B633" s="29" t="s">
        <v>729</v>
      </c>
      <c r="C633" s="29" t="s">
        <v>1016</v>
      </c>
      <c r="D633" s="29" t="s">
        <v>21</v>
      </c>
      <c r="E633" s="7">
        <v>45881</v>
      </c>
      <c r="F633" s="29" t="s">
        <v>57</v>
      </c>
      <c r="G633">
        <v>1</v>
      </c>
      <c r="H633">
        <v>863</v>
      </c>
      <c r="I633" s="29" t="s">
        <v>76</v>
      </c>
      <c r="J633">
        <v>863</v>
      </c>
    </row>
    <row r="634" spans="2:10" x14ac:dyDescent="0.25">
      <c r="B634" s="29" t="s">
        <v>730</v>
      </c>
      <c r="C634" s="29" t="s">
        <v>1014</v>
      </c>
      <c r="D634" s="29" t="s">
        <v>21</v>
      </c>
      <c r="E634" s="7">
        <v>45722</v>
      </c>
      <c r="F634" s="29" t="s">
        <v>57</v>
      </c>
      <c r="G634">
        <v>4</v>
      </c>
      <c r="H634">
        <v>1248</v>
      </c>
      <c r="I634" s="29" t="s">
        <v>84</v>
      </c>
      <c r="J634">
        <v>4992</v>
      </c>
    </row>
    <row r="635" spans="2:10" x14ac:dyDescent="0.25">
      <c r="B635" s="29" t="s">
        <v>731</v>
      </c>
      <c r="C635" s="29" t="s">
        <v>1018</v>
      </c>
      <c r="D635" s="29" t="s">
        <v>14</v>
      </c>
      <c r="E635" s="7">
        <v>45886</v>
      </c>
      <c r="F635" s="29" t="s">
        <v>58</v>
      </c>
      <c r="G635">
        <v>8</v>
      </c>
      <c r="H635">
        <v>3944</v>
      </c>
      <c r="I635" s="29" t="s">
        <v>76</v>
      </c>
      <c r="J635">
        <v>31552</v>
      </c>
    </row>
    <row r="636" spans="2:10" x14ac:dyDescent="0.25">
      <c r="B636" s="29" t="s">
        <v>732</v>
      </c>
      <c r="C636" s="29" t="s">
        <v>1006</v>
      </c>
      <c r="D636" s="29" t="s">
        <v>27</v>
      </c>
      <c r="E636" s="7">
        <v>45820</v>
      </c>
      <c r="F636" s="29" t="s">
        <v>58</v>
      </c>
      <c r="G636">
        <v>6</v>
      </c>
      <c r="H636">
        <v>1453</v>
      </c>
      <c r="I636" s="29" t="s">
        <v>84</v>
      </c>
      <c r="J636">
        <v>8718</v>
      </c>
    </row>
    <row r="637" spans="2:10" x14ac:dyDescent="0.25">
      <c r="B637" s="29" t="s">
        <v>733</v>
      </c>
      <c r="C637" s="29" t="s">
        <v>1016</v>
      </c>
      <c r="D637" s="29" t="s">
        <v>21</v>
      </c>
      <c r="E637" s="7">
        <v>45901</v>
      </c>
      <c r="F637" s="29" t="s">
        <v>57</v>
      </c>
      <c r="G637">
        <v>9</v>
      </c>
      <c r="H637">
        <v>52</v>
      </c>
      <c r="I637" s="29" t="s">
        <v>1058</v>
      </c>
      <c r="J637">
        <v>468</v>
      </c>
    </row>
    <row r="638" spans="2:10" x14ac:dyDescent="0.25">
      <c r="B638" s="29" t="s">
        <v>734</v>
      </c>
      <c r="C638" s="29" t="s">
        <v>1005</v>
      </c>
      <c r="D638" s="29" t="s">
        <v>14</v>
      </c>
      <c r="E638" s="7">
        <v>45855</v>
      </c>
      <c r="F638" s="29" t="s">
        <v>58</v>
      </c>
      <c r="G638">
        <v>7</v>
      </c>
      <c r="H638">
        <v>2361</v>
      </c>
      <c r="I638" s="29" t="s">
        <v>1058</v>
      </c>
      <c r="J638">
        <v>16527</v>
      </c>
    </row>
    <row r="639" spans="2:10" x14ac:dyDescent="0.25">
      <c r="B639" s="29" t="s">
        <v>735</v>
      </c>
      <c r="C639" s="29" t="s">
        <v>1013</v>
      </c>
      <c r="D639" s="29" t="s">
        <v>21</v>
      </c>
      <c r="E639" s="7">
        <v>45834</v>
      </c>
      <c r="F639" s="29" t="s">
        <v>58</v>
      </c>
      <c r="G639">
        <v>6</v>
      </c>
      <c r="H639">
        <v>4851</v>
      </c>
      <c r="I639" s="29" t="s">
        <v>76</v>
      </c>
      <c r="J639">
        <v>29106</v>
      </c>
    </row>
    <row r="640" spans="2:10" x14ac:dyDescent="0.25">
      <c r="B640" s="29" t="s">
        <v>736</v>
      </c>
      <c r="C640" s="29" t="s">
        <v>1016</v>
      </c>
      <c r="D640" s="29" t="s">
        <v>19</v>
      </c>
      <c r="E640" s="7">
        <v>45735</v>
      </c>
      <c r="F640" s="29" t="s">
        <v>58</v>
      </c>
      <c r="G640">
        <v>6</v>
      </c>
      <c r="H640">
        <v>334</v>
      </c>
      <c r="I640" s="29" t="s">
        <v>84</v>
      </c>
      <c r="J640">
        <v>2004</v>
      </c>
    </row>
    <row r="641" spans="2:10" x14ac:dyDescent="0.25">
      <c r="B641" s="29" t="s">
        <v>737</v>
      </c>
      <c r="C641" s="29" t="s">
        <v>1008</v>
      </c>
      <c r="D641" s="29" t="s">
        <v>19</v>
      </c>
      <c r="E641" s="7">
        <v>45955</v>
      </c>
      <c r="F641" s="29" t="s">
        <v>57</v>
      </c>
      <c r="G641">
        <v>7</v>
      </c>
      <c r="H641">
        <v>381</v>
      </c>
      <c r="I641" s="29" t="s">
        <v>76</v>
      </c>
      <c r="J641">
        <v>2667</v>
      </c>
    </row>
    <row r="642" spans="2:10" x14ac:dyDescent="0.25">
      <c r="B642" s="29" t="s">
        <v>738</v>
      </c>
      <c r="C642" s="29" t="s">
        <v>1004</v>
      </c>
      <c r="D642" s="29" t="s">
        <v>14</v>
      </c>
      <c r="E642" s="7">
        <v>45796</v>
      </c>
      <c r="F642" s="29" t="s">
        <v>58</v>
      </c>
      <c r="G642">
        <v>4</v>
      </c>
      <c r="H642">
        <v>2941</v>
      </c>
      <c r="I642" s="29" t="s">
        <v>84</v>
      </c>
      <c r="J642">
        <v>11764</v>
      </c>
    </row>
    <row r="643" spans="2:10" x14ac:dyDescent="0.25">
      <c r="B643" s="29" t="s">
        <v>739</v>
      </c>
      <c r="C643" s="29" t="s">
        <v>1022</v>
      </c>
      <c r="D643" s="29" t="s">
        <v>19</v>
      </c>
      <c r="E643" s="7">
        <v>45916</v>
      </c>
      <c r="F643" s="29" t="s">
        <v>57</v>
      </c>
      <c r="G643">
        <v>7</v>
      </c>
      <c r="H643">
        <v>4796</v>
      </c>
      <c r="I643" s="29" t="s">
        <v>1058</v>
      </c>
      <c r="J643">
        <v>33572</v>
      </c>
    </row>
    <row r="644" spans="2:10" x14ac:dyDescent="0.25">
      <c r="B644" s="29" t="s">
        <v>740</v>
      </c>
      <c r="C644" s="29" t="s">
        <v>1018</v>
      </c>
      <c r="D644" s="29" t="s">
        <v>11</v>
      </c>
      <c r="E644" s="7">
        <v>45749</v>
      </c>
      <c r="F644" s="29" t="s">
        <v>57</v>
      </c>
      <c r="G644">
        <v>7</v>
      </c>
      <c r="H644">
        <v>4052</v>
      </c>
      <c r="I644" s="29" t="s">
        <v>84</v>
      </c>
      <c r="J644">
        <v>28364</v>
      </c>
    </row>
    <row r="645" spans="2:10" x14ac:dyDescent="0.25">
      <c r="B645" s="29" t="s">
        <v>741</v>
      </c>
      <c r="C645" s="29" t="s">
        <v>1014</v>
      </c>
      <c r="D645" s="29" t="s">
        <v>21</v>
      </c>
      <c r="E645" s="7">
        <v>45810</v>
      </c>
      <c r="F645" s="29" t="s">
        <v>57</v>
      </c>
      <c r="G645">
        <v>7</v>
      </c>
      <c r="H645">
        <v>2627</v>
      </c>
      <c r="I645" s="29" t="s">
        <v>1058</v>
      </c>
      <c r="J645">
        <v>18389</v>
      </c>
    </row>
    <row r="646" spans="2:10" x14ac:dyDescent="0.25">
      <c r="B646" s="29" t="s">
        <v>742</v>
      </c>
      <c r="C646" s="29" t="s">
        <v>1009</v>
      </c>
      <c r="D646" s="29" t="s">
        <v>21</v>
      </c>
      <c r="E646" s="7">
        <v>45820</v>
      </c>
      <c r="F646" s="29" t="s">
        <v>58</v>
      </c>
      <c r="G646">
        <v>9</v>
      </c>
      <c r="H646">
        <v>3765</v>
      </c>
      <c r="I646" s="29" t="s">
        <v>84</v>
      </c>
      <c r="J646">
        <v>33885</v>
      </c>
    </row>
    <row r="647" spans="2:10" x14ac:dyDescent="0.25">
      <c r="B647" s="29" t="s">
        <v>743</v>
      </c>
      <c r="C647" s="29" t="s">
        <v>1004</v>
      </c>
      <c r="D647" s="29" t="s">
        <v>23</v>
      </c>
      <c r="E647" s="7">
        <v>45945</v>
      </c>
      <c r="F647" s="29" t="s">
        <v>57</v>
      </c>
      <c r="G647">
        <v>1</v>
      </c>
      <c r="H647">
        <v>4557</v>
      </c>
      <c r="I647" s="29" t="s">
        <v>1058</v>
      </c>
      <c r="J647">
        <v>4557</v>
      </c>
    </row>
    <row r="648" spans="2:10" x14ac:dyDescent="0.25">
      <c r="B648" s="29" t="s">
        <v>744</v>
      </c>
      <c r="C648" s="29" t="s">
        <v>1005</v>
      </c>
      <c r="D648" s="29" t="s">
        <v>17</v>
      </c>
      <c r="E648" s="7">
        <v>45827</v>
      </c>
      <c r="F648" s="29" t="s">
        <v>57</v>
      </c>
      <c r="G648">
        <v>1</v>
      </c>
      <c r="H648">
        <v>3422</v>
      </c>
      <c r="I648" s="29" t="s">
        <v>76</v>
      </c>
      <c r="J648">
        <v>3422</v>
      </c>
    </row>
    <row r="649" spans="2:10" x14ac:dyDescent="0.25">
      <c r="B649" s="29" t="s">
        <v>745</v>
      </c>
      <c r="C649" s="29" t="s">
        <v>1012</v>
      </c>
      <c r="D649" s="29" t="s">
        <v>17</v>
      </c>
      <c r="E649" s="7">
        <v>45854</v>
      </c>
      <c r="F649" s="29" t="s">
        <v>58</v>
      </c>
      <c r="G649">
        <v>4</v>
      </c>
      <c r="H649">
        <v>2589</v>
      </c>
      <c r="I649" s="29" t="s">
        <v>1058</v>
      </c>
      <c r="J649">
        <v>10356</v>
      </c>
    </row>
    <row r="650" spans="2:10" x14ac:dyDescent="0.25">
      <c r="B650" s="29" t="s">
        <v>746</v>
      </c>
      <c r="C650" s="29" t="s">
        <v>1021</v>
      </c>
      <c r="D650" s="29" t="s">
        <v>17</v>
      </c>
      <c r="E650" s="7">
        <v>45773</v>
      </c>
      <c r="F650" s="29" t="s">
        <v>57</v>
      </c>
      <c r="G650">
        <v>4</v>
      </c>
      <c r="H650">
        <v>630</v>
      </c>
      <c r="I650" s="29" t="s">
        <v>76</v>
      </c>
      <c r="J650">
        <v>2520</v>
      </c>
    </row>
    <row r="651" spans="2:10" x14ac:dyDescent="0.25">
      <c r="B651" s="29" t="s">
        <v>747</v>
      </c>
      <c r="C651" s="29" t="s">
        <v>1014</v>
      </c>
      <c r="D651" s="29" t="s">
        <v>17</v>
      </c>
      <c r="E651" s="7">
        <v>45894</v>
      </c>
      <c r="F651" s="29" t="s">
        <v>57</v>
      </c>
      <c r="G651">
        <v>3</v>
      </c>
      <c r="H651">
        <v>4913</v>
      </c>
      <c r="I651" s="29" t="s">
        <v>1058</v>
      </c>
      <c r="J651">
        <v>14739</v>
      </c>
    </row>
    <row r="652" spans="2:10" x14ac:dyDescent="0.25">
      <c r="B652" s="29" t="s">
        <v>748</v>
      </c>
      <c r="C652" s="29" t="s">
        <v>1008</v>
      </c>
      <c r="D652" s="29" t="s">
        <v>11</v>
      </c>
      <c r="E652" s="7">
        <v>45731</v>
      </c>
      <c r="F652" s="29" t="s">
        <v>58</v>
      </c>
      <c r="G652">
        <v>2</v>
      </c>
      <c r="H652">
        <v>4204</v>
      </c>
      <c r="I652" s="29" t="s">
        <v>84</v>
      </c>
      <c r="J652">
        <v>8408</v>
      </c>
    </row>
    <row r="653" spans="2:10" x14ac:dyDescent="0.25">
      <c r="B653" s="29" t="s">
        <v>749</v>
      </c>
      <c r="C653" s="29" t="s">
        <v>1007</v>
      </c>
      <c r="D653" s="29" t="s">
        <v>11</v>
      </c>
      <c r="E653" s="7">
        <v>45821</v>
      </c>
      <c r="F653" s="29" t="s">
        <v>58</v>
      </c>
      <c r="G653">
        <v>9</v>
      </c>
      <c r="H653">
        <v>1043</v>
      </c>
      <c r="I653" s="29" t="s">
        <v>76</v>
      </c>
      <c r="J653">
        <v>9387</v>
      </c>
    </row>
    <row r="654" spans="2:10" x14ac:dyDescent="0.25">
      <c r="B654" s="29" t="s">
        <v>750</v>
      </c>
      <c r="C654" s="29" t="s">
        <v>1019</v>
      </c>
      <c r="D654" s="29" t="s">
        <v>23</v>
      </c>
      <c r="E654" s="7">
        <v>45904</v>
      </c>
      <c r="F654" s="29" t="s">
        <v>57</v>
      </c>
      <c r="G654">
        <v>1</v>
      </c>
      <c r="H654">
        <v>4278</v>
      </c>
      <c r="I654" s="29" t="s">
        <v>1058</v>
      </c>
      <c r="J654">
        <v>4278</v>
      </c>
    </row>
    <row r="655" spans="2:10" x14ac:dyDescent="0.25">
      <c r="B655" s="29" t="s">
        <v>751</v>
      </c>
      <c r="C655" s="29" t="s">
        <v>1019</v>
      </c>
      <c r="D655" s="29" t="s">
        <v>23</v>
      </c>
      <c r="E655" s="7">
        <v>45916</v>
      </c>
      <c r="F655" s="29" t="s">
        <v>57</v>
      </c>
      <c r="G655">
        <v>5</v>
      </c>
      <c r="H655">
        <v>1661</v>
      </c>
      <c r="I655" s="29" t="s">
        <v>76</v>
      </c>
      <c r="J655">
        <v>8305</v>
      </c>
    </row>
    <row r="656" spans="2:10" x14ac:dyDescent="0.25">
      <c r="B656" s="29" t="s">
        <v>752</v>
      </c>
      <c r="C656" s="29" t="s">
        <v>1006</v>
      </c>
      <c r="D656" s="29" t="s">
        <v>14</v>
      </c>
      <c r="E656" s="7">
        <v>45796</v>
      </c>
      <c r="F656" s="29" t="s">
        <v>57</v>
      </c>
      <c r="G656">
        <v>2</v>
      </c>
      <c r="H656">
        <v>2195</v>
      </c>
      <c r="I656" s="29" t="s">
        <v>1058</v>
      </c>
      <c r="J656">
        <v>4390</v>
      </c>
    </row>
    <row r="657" spans="2:10" x14ac:dyDescent="0.25">
      <c r="B657" s="29" t="s">
        <v>753</v>
      </c>
      <c r="C657" s="29" t="s">
        <v>1012</v>
      </c>
      <c r="D657" s="29" t="s">
        <v>21</v>
      </c>
      <c r="E657" s="7">
        <v>45678</v>
      </c>
      <c r="F657" s="29" t="s">
        <v>58</v>
      </c>
      <c r="G657">
        <v>6</v>
      </c>
      <c r="H657">
        <v>3751</v>
      </c>
      <c r="I657" s="29" t="s">
        <v>76</v>
      </c>
      <c r="J657">
        <v>22506</v>
      </c>
    </row>
    <row r="658" spans="2:10" x14ac:dyDescent="0.25">
      <c r="B658" s="29" t="s">
        <v>754</v>
      </c>
      <c r="C658" s="29" t="s">
        <v>1004</v>
      </c>
      <c r="D658" s="29" t="s">
        <v>27</v>
      </c>
      <c r="E658" s="7">
        <v>45721</v>
      </c>
      <c r="F658" s="29" t="s">
        <v>57</v>
      </c>
      <c r="G658">
        <v>5</v>
      </c>
      <c r="H658">
        <v>543</v>
      </c>
      <c r="I658" s="29" t="s">
        <v>76</v>
      </c>
      <c r="J658">
        <v>2715</v>
      </c>
    </row>
    <row r="659" spans="2:10" x14ac:dyDescent="0.25">
      <c r="B659" s="29" t="s">
        <v>755</v>
      </c>
      <c r="C659" s="29" t="s">
        <v>1005</v>
      </c>
      <c r="D659" s="29" t="s">
        <v>14</v>
      </c>
      <c r="E659" s="7">
        <v>45920</v>
      </c>
      <c r="F659" s="29" t="s">
        <v>57</v>
      </c>
      <c r="G659">
        <v>9</v>
      </c>
      <c r="H659">
        <v>560</v>
      </c>
      <c r="I659" s="29" t="s">
        <v>1058</v>
      </c>
      <c r="J659">
        <v>5040</v>
      </c>
    </row>
    <row r="660" spans="2:10" x14ac:dyDescent="0.25">
      <c r="B660" s="29" t="s">
        <v>756</v>
      </c>
      <c r="C660" s="29" t="s">
        <v>1014</v>
      </c>
      <c r="D660" s="29" t="s">
        <v>19</v>
      </c>
      <c r="E660" s="7">
        <v>45811</v>
      </c>
      <c r="F660" s="29" t="s">
        <v>58</v>
      </c>
      <c r="G660">
        <v>4</v>
      </c>
      <c r="H660">
        <v>3154</v>
      </c>
      <c r="I660" s="29" t="s">
        <v>84</v>
      </c>
      <c r="J660">
        <v>12616</v>
      </c>
    </row>
    <row r="661" spans="2:10" x14ac:dyDescent="0.25">
      <c r="B661" s="29" t="s">
        <v>757</v>
      </c>
      <c r="C661" s="29" t="s">
        <v>1018</v>
      </c>
      <c r="D661" s="29" t="s">
        <v>23</v>
      </c>
      <c r="E661" s="7">
        <v>46004</v>
      </c>
      <c r="F661" s="29" t="s">
        <v>58</v>
      </c>
      <c r="G661">
        <v>6</v>
      </c>
      <c r="H661">
        <v>1527</v>
      </c>
      <c r="I661" s="29" t="s">
        <v>76</v>
      </c>
      <c r="J661">
        <v>9162</v>
      </c>
    </row>
    <row r="662" spans="2:10" x14ac:dyDescent="0.25">
      <c r="B662" s="29" t="s">
        <v>758</v>
      </c>
      <c r="C662" s="29" t="s">
        <v>1005</v>
      </c>
      <c r="D662" s="29" t="s">
        <v>21</v>
      </c>
      <c r="E662" s="7">
        <v>45839</v>
      </c>
      <c r="F662" s="29" t="s">
        <v>57</v>
      </c>
      <c r="G662">
        <v>7</v>
      </c>
      <c r="H662">
        <v>165</v>
      </c>
      <c r="I662" s="29" t="s">
        <v>1058</v>
      </c>
      <c r="J662">
        <v>1155</v>
      </c>
    </row>
    <row r="663" spans="2:10" x14ac:dyDescent="0.25">
      <c r="B663" s="29" t="s">
        <v>759</v>
      </c>
      <c r="C663" s="29" t="s">
        <v>1022</v>
      </c>
      <c r="D663" s="29" t="s">
        <v>11</v>
      </c>
      <c r="E663" s="7">
        <v>45755</v>
      </c>
      <c r="F663" s="29" t="s">
        <v>57</v>
      </c>
      <c r="G663">
        <v>9</v>
      </c>
      <c r="H663">
        <v>2389</v>
      </c>
      <c r="I663" s="29" t="s">
        <v>84</v>
      </c>
      <c r="J663">
        <v>21501</v>
      </c>
    </row>
    <row r="664" spans="2:10" x14ac:dyDescent="0.25">
      <c r="B664" s="29" t="s">
        <v>760</v>
      </c>
      <c r="C664" s="29" t="s">
        <v>1005</v>
      </c>
      <c r="D664" s="29" t="s">
        <v>21</v>
      </c>
      <c r="E664" s="7">
        <v>45740</v>
      </c>
      <c r="F664" s="29" t="s">
        <v>57</v>
      </c>
      <c r="G664">
        <v>2</v>
      </c>
      <c r="H664">
        <v>2879</v>
      </c>
      <c r="I664" s="29" t="s">
        <v>76</v>
      </c>
      <c r="J664">
        <v>5758</v>
      </c>
    </row>
    <row r="665" spans="2:10" x14ac:dyDescent="0.25">
      <c r="B665" s="29" t="s">
        <v>761</v>
      </c>
      <c r="C665" s="29" t="s">
        <v>1016</v>
      </c>
      <c r="D665" s="29" t="s">
        <v>21</v>
      </c>
      <c r="E665" s="7">
        <v>45919</v>
      </c>
      <c r="F665" s="29" t="s">
        <v>57</v>
      </c>
      <c r="G665">
        <v>4</v>
      </c>
      <c r="H665">
        <v>131</v>
      </c>
      <c r="I665" s="29" t="s">
        <v>76</v>
      </c>
      <c r="J665">
        <v>524</v>
      </c>
    </row>
    <row r="666" spans="2:10" x14ac:dyDescent="0.25">
      <c r="B666" s="29" t="s">
        <v>762</v>
      </c>
      <c r="C666" s="29" t="s">
        <v>1022</v>
      </c>
      <c r="D666" s="29" t="s">
        <v>21</v>
      </c>
      <c r="E666" s="7">
        <v>45797</v>
      </c>
      <c r="F666" s="29" t="s">
        <v>58</v>
      </c>
      <c r="G666">
        <v>10</v>
      </c>
      <c r="H666">
        <v>3923</v>
      </c>
      <c r="I666" s="29" t="s">
        <v>76</v>
      </c>
      <c r="J666">
        <v>39230</v>
      </c>
    </row>
    <row r="667" spans="2:10" x14ac:dyDescent="0.25">
      <c r="B667" s="29" t="s">
        <v>763</v>
      </c>
      <c r="C667" s="29" t="s">
        <v>1017</v>
      </c>
      <c r="D667" s="29" t="s">
        <v>14</v>
      </c>
      <c r="E667" s="7">
        <v>45726</v>
      </c>
      <c r="F667" s="29" t="s">
        <v>58</v>
      </c>
      <c r="G667">
        <v>7</v>
      </c>
      <c r="H667">
        <v>2944</v>
      </c>
      <c r="I667" s="29" t="s">
        <v>84</v>
      </c>
      <c r="J667">
        <v>20608</v>
      </c>
    </row>
    <row r="668" spans="2:10" x14ac:dyDescent="0.25">
      <c r="B668" s="29" t="s">
        <v>764</v>
      </c>
      <c r="C668" s="29" t="s">
        <v>1006</v>
      </c>
      <c r="D668" s="29" t="s">
        <v>17</v>
      </c>
      <c r="E668" s="7">
        <v>45774</v>
      </c>
      <c r="F668" s="29" t="s">
        <v>57</v>
      </c>
      <c r="G668">
        <v>7</v>
      </c>
      <c r="H668">
        <v>2148</v>
      </c>
      <c r="I668" s="29" t="s">
        <v>84</v>
      </c>
      <c r="J668">
        <v>15036</v>
      </c>
    </row>
    <row r="669" spans="2:10" x14ac:dyDescent="0.25">
      <c r="B669" s="29" t="s">
        <v>765</v>
      </c>
      <c r="C669" s="29" t="s">
        <v>1016</v>
      </c>
      <c r="D669" s="29" t="s">
        <v>19</v>
      </c>
      <c r="E669" s="7">
        <v>45698</v>
      </c>
      <c r="F669" s="29" t="s">
        <v>58</v>
      </c>
      <c r="G669">
        <v>1</v>
      </c>
      <c r="H669">
        <v>342</v>
      </c>
      <c r="I669" s="29" t="s">
        <v>84</v>
      </c>
      <c r="J669">
        <v>342</v>
      </c>
    </row>
    <row r="670" spans="2:10" x14ac:dyDescent="0.25">
      <c r="B670" s="29" t="s">
        <v>766</v>
      </c>
      <c r="C670" s="29" t="s">
        <v>1020</v>
      </c>
      <c r="D670" s="29" t="s">
        <v>21</v>
      </c>
      <c r="E670" s="7">
        <v>45755</v>
      </c>
      <c r="F670" s="29" t="s">
        <v>58</v>
      </c>
      <c r="G670">
        <v>8</v>
      </c>
      <c r="H670">
        <v>2633</v>
      </c>
      <c r="I670" s="29" t="s">
        <v>1058</v>
      </c>
      <c r="J670">
        <v>21064</v>
      </c>
    </row>
    <row r="671" spans="2:10" x14ac:dyDescent="0.25">
      <c r="B671" s="29" t="s">
        <v>767</v>
      </c>
      <c r="C671" s="29" t="s">
        <v>1009</v>
      </c>
      <c r="D671" s="29" t="s">
        <v>21</v>
      </c>
      <c r="E671" s="7">
        <v>46017</v>
      </c>
      <c r="F671" s="29" t="s">
        <v>57</v>
      </c>
      <c r="G671">
        <v>7</v>
      </c>
      <c r="H671">
        <v>3005</v>
      </c>
      <c r="I671" s="29" t="s">
        <v>1058</v>
      </c>
      <c r="J671">
        <v>21035</v>
      </c>
    </row>
    <row r="672" spans="2:10" x14ac:dyDescent="0.25">
      <c r="B672" s="29" t="s">
        <v>768</v>
      </c>
      <c r="C672" s="29" t="s">
        <v>1004</v>
      </c>
      <c r="D672" s="29" t="s">
        <v>19</v>
      </c>
      <c r="E672" s="7">
        <v>45730</v>
      </c>
      <c r="F672" s="29" t="s">
        <v>57</v>
      </c>
      <c r="G672">
        <v>3</v>
      </c>
      <c r="H672">
        <v>1740</v>
      </c>
      <c r="I672" s="29" t="s">
        <v>1058</v>
      </c>
      <c r="J672">
        <v>5220</v>
      </c>
    </row>
    <row r="673" spans="2:10" x14ac:dyDescent="0.25">
      <c r="B673" s="29" t="s">
        <v>769</v>
      </c>
      <c r="C673" s="29" t="s">
        <v>1019</v>
      </c>
      <c r="D673" s="29" t="s">
        <v>17</v>
      </c>
      <c r="E673" s="7">
        <v>45916</v>
      </c>
      <c r="F673" s="29" t="s">
        <v>57</v>
      </c>
      <c r="G673">
        <v>1</v>
      </c>
      <c r="H673">
        <v>2937</v>
      </c>
      <c r="I673" s="29" t="s">
        <v>84</v>
      </c>
      <c r="J673">
        <v>2937</v>
      </c>
    </row>
    <row r="674" spans="2:10" x14ac:dyDescent="0.25">
      <c r="B674" s="29" t="s">
        <v>770</v>
      </c>
      <c r="C674" s="29" t="s">
        <v>1014</v>
      </c>
      <c r="D674" s="29" t="s">
        <v>17</v>
      </c>
      <c r="E674" s="7">
        <v>45678</v>
      </c>
      <c r="F674" s="29" t="s">
        <v>58</v>
      </c>
      <c r="G674">
        <v>3</v>
      </c>
      <c r="H674">
        <v>2055</v>
      </c>
      <c r="I674" s="29" t="s">
        <v>84</v>
      </c>
      <c r="J674">
        <v>6165</v>
      </c>
    </row>
    <row r="675" spans="2:10" x14ac:dyDescent="0.25">
      <c r="B675" s="29" t="s">
        <v>771</v>
      </c>
      <c r="C675" s="29" t="s">
        <v>1012</v>
      </c>
      <c r="D675" s="29" t="s">
        <v>21</v>
      </c>
      <c r="E675" s="7">
        <v>45778</v>
      </c>
      <c r="F675" s="29" t="s">
        <v>57</v>
      </c>
      <c r="G675">
        <v>10</v>
      </c>
      <c r="H675">
        <v>3349</v>
      </c>
      <c r="I675" s="29" t="s">
        <v>84</v>
      </c>
      <c r="J675">
        <v>33490</v>
      </c>
    </row>
    <row r="676" spans="2:10" x14ac:dyDescent="0.25">
      <c r="B676" s="29" t="s">
        <v>772</v>
      </c>
      <c r="C676" s="29" t="s">
        <v>1008</v>
      </c>
      <c r="D676" s="29" t="s">
        <v>23</v>
      </c>
      <c r="E676" s="7">
        <v>45973</v>
      </c>
      <c r="F676" s="29" t="s">
        <v>57</v>
      </c>
      <c r="G676">
        <v>2</v>
      </c>
      <c r="H676">
        <v>2432</v>
      </c>
      <c r="I676" s="29" t="s">
        <v>84</v>
      </c>
      <c r="J676">
        <v>4864</v>
      </c>
    </row>
    <row r="677" spans="2:10" x14ac:dyDescent="0.25">
      <c r="B677" s="29" t="s">
        <v>773</v>
      </c>
      <c r="C677" s="29" t="s">
        <v>1020</v>
      </c>
      <c r="D677" s="29" t="s">
        <v>27</v>
      </c>
      <c r="E677" s="7">
        <v>45726</v>
      </c>
      <c r="F677" s="29" t="s">
        <v>58</v>
      </c>
      <c r="G677">
        <v>6</v>
      </c>
      <c r="H677">
        <v>3714</v>
      </c>
      <c r="I677" s="29" t="s">
        <v>1058</v>
      </c>
      <c r="J677">
        <v>22284</v>
      </c>
    </row>
    <row r="678" spans="2:10" x14ac:dyDescent="0.25">
      <c r="B678" s="29" t="s">
        <v>774</v>
      </c>
      <c r="C678" s="29" t="s">
        <v>1017</v>
      </c>
      <c r="D678" s="29" t="s">
        <v>23</v>
      </c>
      <c r="E678" s="7">
        <v>45721</v>
      </c>
      <c r="F678" s="29" t="s">
        <v>58</v>
      </c>
      <c r="G678">
        <v>7</v>
      </c>
      <c r="H678">
        <v>2967</v>
      </c>
      <c r="I678" s="29" t="s">
        <v>76</v>
      </c>
      <c r="J678">
        <v>20769</v>
      </c>
    </row>
    <row r="679" spans="2:10" x14ac:dyDescent="0.25">
      <c r="B679" s="29" t="s">
        <v>775</v>
      </c>
      <c r="C679" s="29" t="s">
        <v>1008</v>
      </c>
      <c r="D679" s="29" t="s">
        <v>21</v>
      </c>
      <c r="E679" s="7">
        <v>46012</v>
      </c>
      <c r="F679" s="29" t="s">
        <v>57</v>
      </c>
      <c r="G679">
        <v>10</v>
      </c>
      <c r="H679">
        <v>4754</v>
      </c>
      <c r="I679" s="29" t="s">
        <v>84</v>
      </c>
      <c r="J679">
        <v>47540</v>
      </c>
    </row>
    <row r="680" spans="2:10" x14ac:dyDescent="0.25">
      <c r="B680" s="29" t="s">
        <v>776</v>
      </c>
      <c r="C680" s="29" t="s">
        <v>1012</v>
      </c>
      <c r="D680" s="29" t="s">
        <v>14</v>
      </c>
      <c r="E680" s="7">
        <v>45924</v>
      </c>
      <c r="F680" s="29" t="s">
        <v>58</v>
      </c>
      <c r="G680">
        <v>7</v>
      </c>
      <c r="H680">
        <v>21</v>
      </c>
      <c r="I680" s="29" t="s">
        <v>84</v>
      </c>
      <c r="J680">
        <v>147</v>
      </c>
    </row>
    <row r="681" spans="2:10" x14ac:dyDescent="0.25">
      <c r="B681" s="29" t="s">
        <v>777</v>
      </c>
      <c r="C681" s="29" t="s">
        <v>1013</v>
      </c>
      <c r="D681" s="29" t="s">
        <v>14</v>
      </c>
      <c r="E681" s="7">
        <v>45767</v>
      </c>
      <c r="F681" s="29" t="s">
        <v>58</v>
      </c>
      <c r="G681">
        <v>9</v>
      </c>
      <c r="H681">
        <v>3452</v>
      </c>
      <c r="I681" s="29" t="s">
        <v>76</v>
      </c>
      <c r="J681">
        <v>31068</v>
      </c>
    </row>
    <row r="682" spans="2:10" x14ac:dyDescent="0.25">
      <c r="B682" s="29" t="s">
        <v>778</v>
      </c>
      <c r="C682" s="29" t="s">
        <v>1017</v>
      </c>
      <c r="D682" s="29" t="s">
        <v>21</v>
      </c>
      <c r="E682" s="7">
        <v>45793</v>
      </c>
      <c r="F682" s="29" t="s">
        <v>57</v>
      </c>
      <c r="G682">
        <v>4</v>
      </c>
      <c r="H682">
        <v>1165</v>
      </c>
      <c r="I682" s="29" t="s">
        <v>1058</v>
      </c>
      <c r="J682">
        <v>4660</v>
      </c>
    </row>
    <row r="683" spans="2:10" x14ac:dyDescent="0.25">
      <c r="B683" s="29" t="s">
        <v>779</v>
      </c>
      <c r="C683" s="29" t="s">
        <v>1018</v>
      </c>
      <c r="D683" s="29" t="s">
        <v>27</v>
      </c>
      <c r="E683" s="7">
        <v>45778</v>
      </c>
      <c r="F683" s="29" t="s">
        <v>57</v>
      </c>
      <c r="G683">
        <v>10</v>
      </c>
      <c r="H683">
        <v>3018</v>
      </c>
      <c r="I683" s="29" t="s">
        <v>1058</v>
      </c>
      <c r="J683">
        <v>30180</v>
      </c>
    </row>
    <row r="684" spans="2:10" x14ac:dyDescent="0.25">
      <c r="B684" s="29" t="s">
        <v>780</v>
      </c>
      <c r="C684" s="29" t="s">
        <v>1006</v>
      </c>
      <c r="D684" s="29" t="s">
        <v>19</v>
      </c>
      <c r="E684" s="7">
        <v>45829</v>
      </c>
      <c r="F684" s="29" t="s">
        <v>58</v>
      </c>
      <c r="G684">
        <v>2</v>
      </c>
      <c r="H684">
        <v>268</v>
      </c>
      <c r="I684" s="29" t="s">
        <v>76</v>
      </c>
      <c r="J684">
        <v>536</v>
      </c>
    </row>
    <row r="685" spans="2:10" x14ac:dyDescent="0.25">
      <c r="B685" s="29" t="s">
        <v>781</v>
      </c>
      <c r="C685" s="29" t="s">
        <v>1016</v>
      </c>
      <c r="D685" s="29" t="s">
        <v>23</v>
      </c>
      <c r="E685" s="7">
        <v>45858</v>
      </c>
      <c r="F685" s="29" t="s">
        <v>58</v>
      </c>
      <c r="G685">
        <v>4</v>
      </c>
      <c r="H685">
        <v>2928</v>
      </c>
      <c r="I685" s="29" t="s">
        <v>1058</v>
      </c>
      <c r="J685">
        <v>11712</v>
      </c>
    </row>
    <row r="686" spans="2:10" x14ac:dyDescent="0.25">
      <c r="B686" s="29" t="s">
        <v>782</v>
      </c>
      <c r="C686" s="29" t="s">
        <v>1007</v>
      </c>
      <c r="D686" s="29" t="s">
        <v>21</v>
      </c>
      <c r="E686" s="7">
        <v>45804</v>
      </c>
      <c r="F686" s="29" t="s">
        <v>58</v>
      </c>
      <c r="G686">
        <v>7</v>
      </c>
      <c r="H686">
        <v>2410</v>
      </c>
      <c r="I686" s="29" t="s">
        <v>76</v>
      </c>
      <c r="J686">
        <v>16870</v>
      </c>
    </row>
    <row r="687" spans="2:10" x14ac:dyDescent="0.25">
      <c r="B687" s="29" t="s">
        <v>783</v>
      </c>
      <c r="C687" s="29" t="s">
        <v>1004</v>
      </c>
      <c r="D687" s="29" t="s">
        <v>19</v>
      </c>
      <c r="E687" s="7">
        <v>45805</v>
      </c>
      <c r="F687" s="29" t="s">
        <v>58</v>
      </c>
      <c r="G687">
        <v>3</v>
      </c>
      <c r="H687">
        <v>3901</v>
      </c>
      <c r="I687" s="29" t="s">
        <v>84</v>
      </c>
      <c r="J687">
        <v>11703</v>
      </c>
    </row>
    <row r="688" spans="2:10" x14ac:dyDescent="0.25">
      <c r="B688" s="29" t="s">
        <v>784</v>
      </c>
      <c r="C688" s="29" t="s">
        <v>1016</v>
      </c>
      <c r="D688" s="29" t="s">
        <v>11</v>
      </c>
      <c r="E688" s="7">
        <v>45965</v>
      </c>
      <c r="F688" s="29" t="s">
        <v>58</v>
      </c>
      <c r="G688">
        <v>8</v>
      </c>
      <c r="H688">
        <v>3950</v>
      </c>
      <c r="I688" s="29" t="s">
        <v>1058</v>
      </c>
      <c r="J688">
        <v>31600</v>
      </c>
    </row>
    <row r="689" spans="2:10" x14ac:dyDescent="0.25">
      <c r="B689" s="29" t="s">
        <v>785</v>
      </c>
      <c r="C689" s="29" t="s">
        <v>1009</v>
      </c>
      <c r="D689" s="29" t="s">
        <v>21</v>
      </c>
      <c r="E689" s="7">
        <v>45910</v>
      </c>
      <c r="F689" s="29" t="s">
        <v>57</v>
      </c>
      <c r="G689">
        <v>2</v>
      </c>
      <c r="H689">
        <v>2921</v>
      </c>
      <c r="I689" s="29" t="s">
        <v>76</v>
      </c>
      <c r="J689">
        <v>5842</v>
      </c>
    </row>
    <row r="690" spans="2:10" x14ac:dyDescent="0.25">
      <c r="B690" s="29" t="s">
        <v>786</v>
      </c>
      <c r="C690" s="29" t="s">
        <v>1020</v>
      </c>
      <c r="D690" s="29" t="s">
        <v>19</v>
      </c>
      <c r="E690" s="7">
        <v>45942</v>
      </c>
      <c r="F690" s="29" t="s">
        <v>58</v>
      </c>
      <c r="G690">
        <v>8</v>
      </c>
      <c r="H690">
        <v>2498</v>
      </c>
      <c r="I690" s="29" t="s">
        <v>76</v>
      </c>
      <c r="J690">
        <v>19984</v>
      </c>
    </row>
    <row r="691" spans="2:10" x14ac:dyDescent="0.25">
      <c r="B691" s="29" t="s">
        <v>787</v>
      </c>
      <c r="C691" s="29" t="s">
        <v>1020</v>
      </c>
      <c r="D691" s="29" t="s">
        <v>11</v>
      </c>
      <c r="E691" s="7">
        <v>45855</v>
      </c>
      <c r="F691" s="29" t="s">
        <v>57</v>
      </c>
      <c r="G691">
        <v>10</v>
      </c>
      <c r="H691">
        <v>3199</v>
      </c>
      <c r="I691" s="29" t="s">
        <v>1058</v>
      </c>
      <c r="J691">
        <v>31990</v>
      </c>
    </row>
    <row r="692" spans="2:10" x14ac:dyDescent="0.25">
      <c r="B692" s="29" t="s">
        <v>788</v>
      </c>
      <c r="C692" s="29" t="s">
        <v>1005</v>
      </c>
      <c r="D692" s="29" t="s">
        <v>14</v>
      </c>
      <c r="E692" s="7">
        <v>45812</v>
      </c>
      <c r="F692" s="29" t="s">
        <v>58</v>
      </c>
      <c r="G692">
        <v>9</v>
      </c>
      <c r="H692">
        <v>1884</v>
      </c>
      <c r="I692" s="29" t="s">
        <v>84</v>
      </c>
      <c r="J692">
        <v>16956</v>
      </c>
    </row>
    <row r="693" spans="2:10" x14ac:dyDescent="0.25">
      <c r="B693" s="29" t="s">
        <v>789</v>
      </c>
      <c r="C693" s="29" t="s">
        <v>1019</v>
      </c>
      <c r="D693" s="29" t="s">
        <v>14</v>
      </c>
      <c r="E693" s="7">
        <v>45796</v>
      </c>
      <c r="F693" s="29" t="s">
        <v>58</v>
      </c>
      <c r="G693">
        <v>7</v>
      </c>
      <c r="H693">
        <v>4209</v>
      </c>
      <c r="I693" s="29" t="s">
        <v>84</v>
      </c>
      <c r="J693">
        <v>29463</v>
      </c>
    </row>
    <row r="694" spans="2:10" x14ac:dyDescent="0.25">
      <c r="B694" s="29" t="s">
        <v>790</v>
      </c>
      <c r="C694" s="29" t="s">
        <v>1015</v>
      </c>
      <c r="D694" s="29" t="s">
        <v>11</v>
      </c>
      <c r="E694" s="7">
        <v>45742</v>
      </c>
      <c r="F694" s="29" t="s">
        <v>58</v>
      </c>
      <c r="G694">
        <v>10</v>
      </c>
      <c r="H694">
        <v>2208</v>
      </c>
      <c r="I694" s="29" t="s">
        <v>1058</v>
      </c>
      <c r="J694">
        <v>22080</v>
      </c>
    </row>
    <row r="695" spans="2:10" x14ac:dyDescent="0.25">
      <c r="B695" s="29" t="s">
        <v>791</v>
      </c>
      <c r="C695" s="29" t="s">
        <v>1011</v>
      </c>
      <c r="D695" s="29" t="s">
        <v>19</v>
      </c>
      <c r="E695" s="7">
        <v>45894</v>
      </c>
      <c r="F695" s="29" t="s">
        <v>58</v>
      </c>
      <c r="G695">
        <v>5</v>
      </c>
      <c r="H695">
        <v>1691</v>
      </c>
      <c r="I695" s="29" t="s">
        <v>84</v>
      </c>
      <c r="J695">
        <v>8455</v>
      </c>
    </row>
    <row r="696" spans="2:10" x14ac:dyDescent="0.25">
      <c r="B696" s="29" t="s">
        <v>792</v>
      </c>
      <c r="C696" s="29" t="s">
        <v>1021</v>
      </c>
      <c r="D696" s="29" t="s">
        <v>17</v>
      </c>
      <c r="E696" s="7">
        <v>46010</v>
      </c>
      <c r="F696" s="29" t="s">
        <v>58</v>
      </c>
      <c r="G696">
        <v>8</v>
      </c>
      <c r="H696">
        <v>4810</v>
      </c>
      <c r="I696" s="29" t="s">
        <v>76</v>
      </c>
      <c r="J696">
        <v>38480</v>
      </c>
    </row>
    <row r="697" spans="2:10" x14ac:dyDescent="0.25">
      <c r="B697" s="29" t="s">
        <v>793</v>
      </c>
      <c r="C697" s="29" t="s">
        <v>1017</v>
      </c>
      <c r="D697" s="29" t="s">
        <v>21</v>
      </c>
      <c r="E697" s="7">
        <v>45737</v>
      </c>
      <c r="F697" s="29" t="s">
        <v>58</v>
      </c>
      <c r="G697">
        <v>1</v>
      </c>
      <c r="H697">
        <v>2590</v>
      </c>
      <c r="I697" s="29" t="s">
        <v>84</v>
      </c>
      <c r="J697">
        <v>2590</v>
      </c>
    </row>
    <row r="698" spans="2:10" x14ac:dyDescent="0.25">
      <c r="B698" s="29" t="s">
        <v>794</v>
      </c>
      <c r="C698" s="29" t="s">
        <v>1012</v>
      </c>
      <c r="D698" s="29" t="s">
        <v>14</v>
      </c>
      <c r="E698" s="7">
        <v>45823</v>
      </c>
      <c r="F698" s="29" t="s">
        <v>57</v>
      </c>
      <c r="G698">
        <v>6</v>
      </c>
      <c r="H698">
        <v>2318</v>
      </c>
      <c r="I698" s="29" t="s">
        <v>84</v>
      </c>
      <c r="J698">
        <v>13908</v>
      </c>
    </row>
    <row r="699" spans="2:10" x14ac:dyDescent="0.25">
      <c r="B699" s="29" t="s">
        <v>795</v>
      </c>
      <c r="C699" s="29" t="s">
        <v>1019</v>
      </c>
      <c r="D699" s="29" t="s">
        <v>19</v>
      </c>
      <c r="E699" s="7">
        <v>45714</v>
      </c>
      <c r="F699" s="29" t="s">
        <v>58</v>
      </c>
      <c r="G699">
        <v>2</v>
      </c>
      <c r="H699">
        <v>154</v>
      </c>
      <c r="I699" s="29" t="s">
        <v>1058</v>
      </c>
      <c r="J699">
        <v>308</v>
      </c>
    </row>
    <row r="700" spans="2:10" x14ac:dyDescent="0.25">
      <c r="B700" s="29" t="s">
        <v>796</v>
      </c>
      <c r="C700" s="29" t="s">
        <v>1014</v>
      </c>
      <c r="D700" s="29" t="s">
        <v>19</v>
      </c>
      <c r="E700" s="7">
        <v>46015</v>
      </c>
      <c r="F700" s="29" t="s">
        <v>58</v>
      </c>
      <c r="G700">
        <v>7</v>
      </c>
      <c r="H700">
        <v>3544</v>
      </c>
      <c r="I700" s="29" t="s">
        <v>1058</v>
      </c>
      <c r="J700">
        <v>24808</v>
      </c>
    </row>
    <row r="701" spans="2:10" x14ac:dyDescent="0.25">
      <c r="B701" s="29" t="s">
        <v>797</v>
      </c>
      <c r="C701" s="29" t="s">
        <v>1007</v>
      </c>
      <c r="D701" s="29" t="s">
        <v>17</v>
      </c>
      <c r="E701" s="7">
        <v>45976</v>
      </c>
      <c r="F701" s="29" t="s">
        <v>58</v>
      </c>
      <c r="G701">
        <v>8</v>
      </c>
      <c r="H701">
        <v>3822</v>
      </c>
      <c r="I701" s="29" t="s">
        <v>76</v>
      </c>
      <c r="J701">
        <v>30576</v>
      </c>
    </row>
    <row r="702" spans="2:10" x14ac:dyDescent="0.25">
      <c r="B702" s="29" t="s">
        <v>798</v>
      </c>
      <c r="C702" s="29" t="s">
        <v>1008</v>
      </c>
      <c r="D702" s="29" t="s">
        <v>21</v>
      </c>
      <c r="E702" s="7">
        <v>45998</v>
      </c>
      <c r="F702" s="29" t="s">
        <v>57</v>
      </c>
      <c r="G702">
        <v>8</v>
      </c>
      <c r="H702">
        <v>3606</v>
      </c>
      <c r="I702" s="29" t="s">
        <v>84</v>
      </c>
      <c r="J702">
        <v>28848</v>
      </c>
    </row>
    <row r="703" spans="2:10" x14ac:dyDescent="0.25">
      <c r="B703" s="29" t="s">
        <v>799</v>
      </c>
      <c r="C703" s="29" t="s">
        <v>1015</v>
      </c>
      <c r="D703" s="29" t="s">
        <v>21</v>
      </c>
      <c r="E703" s="7">
        <v>45982</v>
      </c>
      <c r="F703" s="29" t="s">
        <v>58</v>
      </c>
      <c r="G703">
        <v>2</v>
      </c>
      <c r="H703">
        <v>4349</v>
      </c>
      <c r="I703" s="29" t="s">
        <v>1058</v>
      </c>
      <c r="J703">
        <v>8698</v>
      </c>
    </row>
    <row r="704" spans="2:10" x14ac:dyDescent="0.25">
      <c r="B704" s="29" t="s">
        <v>800</v>
      </c>
      <c r="C704" s="29" t="s">
        <v>1010</v>
      </c>
      <c r="D704" s="29" t="s">
        <v>14</v>
      </c>
      <c r="E704" s="7">
        <v>45734</v>
      </c>
      <c r="F704" s="29" t="s">
        <v>58</v>
      </c>
      <c r="G704">
        <v>9</v>
      </c>
      <c r="H704">
        <v>3846</v>
      </c>
      <c r="I704" s="29" t="s">
        <v>84</v>
      </c>
      <c r="J704">
        <v>34614</v>
      </c>
    </row>
    <row r="705" spans="2:10" x14ac:dyDescent="0.25">
      <c r="B705" s="29" t="s">
        <v>801</v>
      </c>
      <c r="C705" s="29" t="s">
        <v>1020</v>
      </c>
      <c r="D705" s="29" t="s">
        <v>19</v>
      </c>
      <c r="E705" s="7">
        <v>45660</v>
      </c>
      <c r="F705" s="29" t="s">
        <v>57</v>
      </c>
      <c r="G705">
        <v>9</v>
      </c>
      <c r="H705">
        <v>3703</v>
      </c>
      <c r="I705" s="29" t="s">
        <v>1058</v>
      </c>
      <c r="J705">
        <v>33327</v>
      </c>
    </row>
    <row r="706" spans="2:10" x14ac:dyDescent="0.25">
      <c r="B706" s="29" t="s">
        <v>802</v>
      </c>
      <c r="C706" s="29" t="s">
        <v>1015</v>
      </c>
      <c r="D706" s="29" t="s">
        <v>14</v>
      </c>
      <c r="E706" s="7">
        <v>45842</v>
      </c>
      <c r="F706" s="29" t="s">
        <v>58</v>
      </c>
      <c r="G706">
        <v>10</v>
      </c>
      <c r="H706">
        <v>1870</v>
      </c>
      <c r="I706" s="29" t="s">
        <v>1058</v>
      </c>
      <c r="J706">
        <v>18700</v>
      </c>
    </row>
    <row r="707" spans="2:10" x14ac:dyDescent="0.25">
      <c r="B707" s="29" t="s">
        <v>803</v>
      </c>
      <c r="C707" s="29" t="s">
        <v>1016</v>
      </c>
      <c r="D707" s="29" t="s">
        <v>14</v>
      </c>
      <c r="E707" s="7">
        <v>45787</v>
      </c>
      <c r="F707" s="29" t="s">
        <v>57</v>
      </c>
      <c r="G707">
        <v>8</v>
      </c>
      <c r="H707">
        <v>111</v>
      </c>
      <c r="I707" s="29" t="s">
        <v>1058</v>
      </c>
      <c r="J707">
        <v>888</v>
      </c>
    </row>
    <row r="708" spans="2:10" x14ac:dyDescent="0.25">
      <c r="B708" s="29" t="s">
        <v>804</v>
      </c>
      <c r="C708" s="29" t="s">
        <v>1020</v>
      </c>
      <c r="D708" s="29" t="s">
        <v>19</v>
      </c>
      <c r="E708" s="7">
        <v>45751</v>
      </c>
      <c r="F708" s="29" t="s">
        <v>57</v>
      </c>
      <c r="G708">
        <v>7</v>
      </c>
      <c r="H708">
        <v>1512</v>
      </c>
      <c r="I708" s="29" t="s">
        <v>76</v>
      </c>
      <c r="J708">
        <v>10584</v>
      </c>
    </row>
    <row r="709" spans="2:10" x14ac:dyDescent="0.25">
      <c r="B709" s="29" t="s">
        <v>805</v>
      </c>
      <c r="C709" s="29" t="s">
        <v>1011</v>
      </c>
      <c r="D709" s="29" t="s">
        <v>19</v>
      </c>
      <c r="E709" s="7">
        <v>45761</v>
      </c>
      <c r="F709" s="29" t="s">
        <v>57</v>
      </c>
      <c r="G709">
        <v>9</v>
      </c>
      <c r="H709">
        <v>3011</v>
      </c>
      <c r="I709" s="29" t="s">
        <v>1058</v>
      </c>
      <c r="J709">
        <v>27099</v>
      </c>
    </row>
    <row r="710" spans="2:10" x14ac:dyDescent="0.25">
      <c r="B710" s="29" t="s">
        <v>806</v>
      </c>
      <c r="C710" s="29" t="s">
        <v>1008</v>
      </c>
      <c r="D710" s="29" t="s">
        <v>21</v>
      </c>
      <c r="E710" s="7">
        <v>45937</v>
      </c>
      <c r="F710" s="29" t="s">
        <v>58</v>
      </c>
      <c r="G710">
        <v>5</v>
      </c>
      <c r="H710">
        <v>2869</v>
      </c>
      <c r="I710" s="29" t="s">
        <v>84</v>
      </c>
      <c r="J710">
        <v>14345</v>
      </c>
    </row>
    <row r="711" spans="2:10" x14ac:dyDescent="0.25">
      <c r="B711" s="29" t="s">
        <v>807</v>
      </c>
      <c r="C711" s="29" t="s">
        <v>1005</v>
      </c>
      <c r="D711" s="29" t="s">
        <v>21</v>
      </c>
      <c r="E711" s="7">
        <v>45799</v>
      </c>
      <c r="F711" s="29" t="s">
        <v>58</v>
      </c>
      <c r="G711">
        <v>4</v>
      </c>
      <c r="H711">
        <v>3161</v>
      </c>
      <c r="I711" s="29" t="s">
        <v>76</v>
      </c>
      <c r="J711">
        <v>12644</v>
      </c>
    </row>
    <row r="712" spans="2:10" x14ac:dyDescent="0.25">
      <c r="B712" s="29" t="s">
        <v>808</v>
      </c>
      <c r="C712" s="29" t="s">
        <v>1004</v>
      </c>
      <c r="D712" s="29" t="s">
        <v>23</v>
      </c>
      <c r="E712" s="7">
        <v>45971</v>
      </c>
      <c r="F712" s="29" t="s">
        <v>58</v>
      </c>
      <c r="G712">
        <v>3</v>
      </c>
      <c r="H712">
        <v>2303</v>
      </c>
      <c r="I712" s="29" t="s">
        <v>84</v>
      </c>
      <c r="J712">
        <v>6909</v>
      </c>
    </row>
    <row r="713" spans="2:10" x14ac:dyDescent="0.25">
      <c r="B713" s="29" t="s">
        <v>809</v>
      </c>
      <c r="C713" s="29" t="s">
        <v>1019</v>
      </c>
      <c r="D713" s="29" t="s">
        <v>17</v>
      </c>
      <c r="E713" s="7">
        <v>45828</v>
      </c>
      <c r="F713" s="29" t="s">
        <v>58</v>
      </c>
      <c r="G713">
        <v>9</v>
      </c>
      <c r="H713">
        <v>2525</v>
      </c>
      <c r="I713" s="29" t="s">
        <v>76</v>
      </c>
      <c r="J713">
        <v>22725</v>
      </c>
    </row>
    <row r="714" spans="2:10" x14ac:dyDescent="0.25">
      <c r="B714" s="29" t="s">
        <v>810</v>
      </c>
      <c r="C714" s="29" t="s">
        <v>1022</v>
      </c>
      <c r="D714" s="29" t="s">
        <v>21</v>
      </c>
      <c r="E714" s="7">
        <v>45793</v>
      </c>
      <c r="F714" s="29" t="s">
        <v>57</v>
      </c>
      <c r="G714">
        <v>4</v>
      </c>
      <c r="H714">
        <v>2400</v>
      </c>
      <c r="I714" s="29" t="s">
        <v>84</v>
      </c>
      <c r="J714">
        <v>9600</v>
      </c>
    </row>
    <row r="715" spans="2:10" x14ac:dyDescent="0.25">
      <c r="B715" s="29" t="s">
        <v>811</v>
      </c>
      <c r="C715" s="29" t="s">
        <v>1018</v>
      </c>
      <c r="D715" s="29" t="s">
        <v>21</v>
      </c>
      <c r="E715" s="7">
        <v>45839</v>
      </c>
      <c r="F715" s="29" t="s">
        <v>58</v>
      </c>
      <c r="G715">
        <v>2</v>
      </c>
      <c r="H715">
        <v>4314</v>
      </c>
      <c r="I715" s="29" t="s">
        <v>84</v>
      </c>
      <c r="J715">
        <v>8628</v>
      </c>
    </row>
    <row r="716" spans="2:10" x14ac:dyDescent="0.25">
      <c r="B716" s="29" t="s">
        <v>812</v>
      </c>
      <c r="C716" s="29" t="s">
        <v>1017</v>
      </c>
      <c r="D716" s="29" t="s">
        <v>17</v>
      </c>
      <c r="E716" s="7">
        <v>45877</v>
      </c>
      <c r="F716" s="29" t="s">
        <v>57</v>
      </c>
      <c r="G716">
        <v>2</v>
      </c>
      <c r="H716">
        <v>2014</v>
      </c>
      <c r="I716" s="29" t="s">
        <v>76</v>
      </c>
      <c r="J716">
        <v>4028</v>
      </c>
    </row>
    <row r="717" spans="2:10" x14ac:dyDescent="0.25">
      <c r="B717" s="29" t="s">
        <v>813</v>
      </c>
      <c r="C717" s="29" t="s">
        <v>1021</v>
      </c>
      <c r="D717" s="29" t="s">
        <v>23</v>
      </c>
      <c r="E717" s="7">
        <v>45679</v>
      </c>
      <c r="F717" s="29" t="s">
        <v>58</v>
      </c>
      <c r="G717">
        <v>3</v>
      </c>
      <c r="H717">
        <v>3023</v>
      </c>
      <c r="I717" s="29" t="s">
        <v>84</v>
      </c>
      <c r="J717">
        <v>9069</v>
      </c>
    </row>
    <row r="718" spans="2:10" x14ac:dyDescent="0.25">
      <c r="B718" s="29" t="s">
        <v>814</v>
      </c>
      <c r="C718" s="29" t="s">
        <v>1017</v>
      </c>
      <c r="D718" s="29" t="s">
        <v>27</v>
      </c>
      <c r="E718" s="7">
        <v>45995</v>
      </c>
      <c r="F718" s="29" t="s">
        <v>58</v>
      </c>
      <c r="G718">
        <v>2</v>
      </c>
      <c r="H718">
        <v>1242</v>
      </c>
      <c r="I718" s="29" t="s">
        <v>76</v>
      </c>
      <c r="J718">
        <v>2484</v>
      </c>
    </row>
    <row r="719" spans="2:10" x14ac:dyDescent="0.25">
      <c r="B719" s="29" t="s">
        <v>815</v>
      </c>
      <c r="C719" s="29" t="s">
        <v>1006</v>
      </c>
      <c r="D719" s="29" t="s">
        <v>17</v>
      </c>
      <c r="E719" s="7">
        <v>45814</v>
      </c>
      <c r="F719" s="29" t="s">
        <v>57</v>
      </c>
      <c r="G719">
        <v>5</v>
      </c>
      <c r="H719">
        <v>4351</v>
      </c>
      <c r="I719" s="29" t="s">
        <v>76</v>
      </c>
      <c r="J719">
        <v>21755</v>
      </c>
    </row>
    <row r="720" spans="2:10" x14ac:dyDescent="0.25">
      <c r="B720" s="29" t="s">
        <v>816</v>
      </c>
      <c r="C720" s="29" t="s">
        <v>1012</v>
      </c>
      <c r="D720" s="29" t="s">
        <v>21</v>
      </c>
      <c r="E720" s="7">
        <v>45744</v>
      </c>
      <c r="F720" s="29" t="s">
        <v>57</v>
      </c>
      <c r="G720">
        <v>4</v>
      </c>
      <c r="H720">
        <v>1426</v>
      </c>
      <c r="I720" s="29" t="s">
        <v>1058</v>
      </c>
      <c r="J720">
        <v>5704</v>
      </c>
    </row>
    <row r="721" spans="2:10" x14ac:dyDescent="0.25">
      <c r="B721" s="29" t="s">
        <v>817</v>
      </c>
      <c r="C721" s="29" t="s">
        <v>1020</v>
      </c>
      <c r="D721" s="29" t="s">
        <v>21</v>
      </c>
      <c r="E721" s="7">
        <v>45922</v>
      </c>
      <c r="F721" s="29" t="s">
        <v>58</v>
      </c>
      <c r="G721">
        <v>3</v>
      </c>
      <c r="H721">
        <v>301</v>
      </c>
      <c r="I721" s="29" t="s">
        <v>84</v>
      </c>
      <c r="J721">
        <v>903</v>
      </c>
    </row>
    <row r="722" spans="2:10" x14ac:dyDescent="0.25">
      <c r="B722" s="29" t="s">
        <v>818</v>
      </c>
      <c r="C722" s="29" t="s">
        <v>1008</v>
      </c>
      <c r="D722" s="29" t="s">
        <v>21</v>
      </c>
      <c r="E722" s="7">
        <v>45775</v>
      </c>
      <c r="F722" s="29" t="s">
        <v>57</v>
      </c>
      <c r="G722">
        <v>10</v>
      </c>
      <c r="H722">
        <v>172</v>
      </c>
      <c r="I722" s="29" t="s">
        <v>1058</v>
      </c>
      <c r="J722">
        <v>1720</v>
      </c>
    </row>
    <row r="723" spans="2:10" x14ac:dyDescent="0.25">
      <c r="B723" s="29" t="s">
        <v>819</v>
      </c>
      <c r="C723" s="29" t="s">
        <v>1007</v>
      </c>
      <c r="D723" s="29" t="s">
        <v>14</v>
      </c>
      <c r="E723" s="7">
        <v>45939</v>
      </c>
      <c r="F723" s="29" t="s">
        <v>58</v>
      </c>
      <c r="G723">
        <v>5</v>
      </c>
      <c r="H723">
        <v>4047</v>
      </c>
      <c r="I723" s="29" t="s">
        <v>1058</v>
      </c>
      <c r="J723">
        <v>20235</v>
      </c>
    </row>
    <row r="724" spans="2:10" x14ac:dyDescent="0.25">
      <c r="B724" s="29" t="s">
        <v>820</v>
      </c>
      <c r="C724" s="29" t="s">
        <v>1020</v>
      </c>
      <c r="D724" s="29" t="s">
        <v>21</v>
      </c>
      <c r="E724" s="7">
        <v>45761</v>
      </c>
      <c r="F724" s="29" t="s">
        <v>58</v>
      </c>
      <c r="G724">
        <v>4</v>
      </c>
      <c r="H724">
        <v>1315</v>
      </c>
      <c r="I724" s="29" t="s">
        <v>76</v>
      </c>
      <c r="J724">
        <v>5260</v>
      </c>
    </row>
    <row r="725" spans="2:10" x14ac:dyDescent="0.25">
      <c r="B725" s="29" t="s">
        <v>821</v>
      </c>
      <c r="C725" s="29" t="s">
        <v>1014</v>
      </c>
      <c r="D725" s="29" t="s">
        <v>23</v>
      </c>
      <c r="E725" s="7">
        <v>45709</v>
      </c>
      <c r="F725" s="29" t="s">
        <v>57</v>
      </c>
      <c r="G725">
        <v>2</v>
      </c>
      <c r="H725">
        <v>120</v>
      </c>
      <c r="I725" s="29" t="s">
        <v>84</v>
      </c>
      <c r="J725">
        <v>240</v>
      </c>
    </row>
    <row r="726" spans="2:10" x14ac:dyDescent="0.25">
      <c r="B726" s="29" t="s">
        <v>822</v>
      </c>
      <c r="C726" s="29" t="s">
        <v>1005</v>
      </c>
      <c r="D726" s="29" t="s">
        <v>14</v>
      </c>
      <c r="E726" s="7">
        <v>45934</v>
      </c>
      <c r="F726" s="29" t="s">
        <v>57</v>
      </c>
      <c r="G726">
        <v>2</v>
      </c>
      <c r="H726">
        <v>4951</v>
      </c>
      <c r="I726" s="29" t="s">
        <v>76</v>
      </c>
      <c r="J726">
        <v>9902</v>
      </c>
    </row>
    <row r="727" spans="2:10" x14ac:dyDescent="0.25">
      <c r="B727" s="29" t="s">
        <v>823</v>
      </c>
      <c r="C727" s="29" t="s">
        <v>1012</v>
      </c>
      <c r="D727" s="29" t="s">
        <v>11</v>
      </c>
      <c r="E727" s="7">
        <v>45757</v>
      </c>
      <c r="F727" s="29" t="s">
        <v>57</v>
      </c>
      <c r="G727">
        <v>6</v>
      </c>
      <c r="H727">
        <v>4183</v>
      </c>
      <c r="I727" s="29" t="s">
        <v>1058</v>
      </c>
      <c r="J727">
        <v>25098</v>
      </c>
    </row>
    <row r="728" spans="2:10" x14ac:dyDescent="0.25">
      <c r="B728" s="29" t="s">
        <v>824</v>
      </c>
      <c r="C728" s="29" t="s">
        <v>1013</v>
      </c>
      <c r="D728" s="29" t="s">
        <v>23</v>
      </c>
      <c r="E728" s="7">
        <v>45861</v>
      </c>
      <c r="F728" s="29" t="s">
        <v>58</v>
      </c>
      <c r="G728">
        <v>4</v>
      </c>
      <c r="H728">
        <v>2461</v>
      </c>
      <c r="I728" s="29" t="s">
        <v>1058</v>
      </c>
      <c r="J728">
        <v>9844</v>
      </c>
    </row>
    <row r="729" spans="2:10" x14ac:dyDescent="0.25">
      <c r="B729" s="29" t="s">
        <v>825</v>
      </c>
      <c r="C729" s="29" t="s">
        <v>1008</v>
      </c>
      <c r="D729" s="29" t="s">
        <v>21</v>
      </c>
      <c r="E729" s="7">
        <v>45675</v>
      </c>
      <c r="F729" s="29" t="s">
        <v>58</v>
      </c>
      <c r="G729">
        <v>3</v>
      </c>
      <c r="H729">
        <v>3258</v>
      </c>
      <c r="I729" s="29" t="s">
        <v>1058</v>
      </c>
      <c r="J729">
        <v>9774</v>
      </c>
    </row>
    <row r="730" spans="2:10" x14ac:dyDescent="0.25">
      <c r="B730" s="29" t="s">
        <v>826</v>
      </c>
      <c r="C730" s="29" t="s">
        <v>1012</v>
      </c>
      <c r="D730" s="29" t="s">
        <v>21</v>
      </c>
      <c r="E730" s="7">
        <v>45796</v>
      </c>
      <c r="F730" s="29" t="s">
        <v>57</v>
      </c>
      <c r="G730">
        <v>10</v>
      </c>
      <c r="H730">
        <v>1413</v>
      </c>
      <c r="I730" s="29" t="s">
        <v>76</v>
      </c>
      <c r="J730">
        <v>14130</v>
      </c>
    </row>
    <row r="731" spans="2:10" x14ac:dyDescent="0.25">
      <c r="B731" s="29" t="s">
        <v>827</v>
      </c>
      <c r="C731" s="29" t="s">
        <v>1017</v>
      </c>
      <c r="D731" s="29" t="s">
        <v>23</v>
      </c>
      <c r="E731" s="7">
        <v>45848</v>
      </c>
      <c r="F731" s="29" t="s">
        <v>57</v>
      </c>
      <c r="G731">
        <v>1</v>
      </c>
      <c r="H731">
        <v>555</v>
      </c>
      <c r="I731" s="29" t="s">
        <v>76</v>
      </c>
      <c r="J731">
        <v>555</v>
      </c>
    </row>
    <row r="732" spans="2:10" x14ac:dyDescent="0.25">
      <c r="B732" s="29" t="s">
        <v>828</v>
      </c>
      <c r="C732" s="29" t="s">
        <v>1022</v>
      </c>
      <c r="D732" s="29" t="s">
        <v>14</v>
      </c>
      <c r="E732" s="7">
        <v>45839</v>
      </c>
      <c r="F732" s="29" t="s">
        <v>57</v>
      </c>
      <c r="G732">
        <v>6</v>
      </c>
      <c r="H732">
        <v>659</v>
      </c>
      <c r="I732" s="29" t="s">
        <v>1058</v>
      </c>
      <c r="J732">
        <v>3954</v>
      </c>
    </row>
    <row r="733" spans="2:10" x14ac:dyDescent="0.25">
      <c r="B733" s="29" t="s">
        <v>829</v>
      </c>
      <c r="C733" s="29" t="s">
        <v>1014</v>
      </c>
      <c r="D733" s="29" t="s">
        <v>19</v>
      </c>
      <c r="E733" s="7">
        <v>45672</v>
      </c>
      <c r="F733" s="29" t="s">
        <v>58</v>
      </c>
      <c r="G733">
        <v>9</v>
      </c>
      <c r="H733">
        <v>531</v>
      </c>
      <c r="I733" s="29" t="s">
        <v>1058</v>
      </c>
      <c r="J733">
        <v>4779</v>
      </c>
    </row>
    <row r="734" spans="2:10" x14ac:dyDescent="0.25">
      <c r="B734" s="29" t="s">
        <v>830</v>
      </c>
      <c r="C734" s="29" t="s">
        <v>1018</v>
      </c>
      <c r="D734" s="29" t="s">
        <v>19</v>
      </c>
      <c r="E734" s="7">
        <v>45854</v>
      </c>
      <c r="F734" s="29" t="s">
        <v>57</v>
      </c>
      <c r="G734">
        <v>8</v>
      </c>
      <c r="H734">
        <v>298</v>
      </c>
      <c r="I734" s="29" t="s">
        <v>1058</v>
      </c>
      <c r="J734">
        <v>2384</v>
      </c>
    </row>
    <row r="735" spans="2:10" x14ac:dyDescent="0.25">
      <c r="B735" s="29" t="s">
        <v>831</v>
      </c>
      <c r="C735" s="29" t="s">
        <v>1011</v>
      </c>
      <c r="D735" s="29" t="s">
        <v>14</v>
      </c>
      <c r="E735" s="7">
        <v>45699</v>
      </c>
      <c r="F735" s="29" t="s">
        <v>57</v>
      </c>
      <c r="G735">
        <v>1</v>
      </c>
      <c r="H735">
        <v>3904</v>
      </c>
      <c r="I735" s="29" t="s">
        <v>1058</v>
      </c>
      <c r="J735">
        <v>3904</v>
      </c>
    </row>
    <row r="736" spans="2:10" x14ac:dyDescent="0.25">
      <c r="B736" s="29" t="s">
        <v>832</v>
      </c>
      <c r="C736" s="29" t="s">
        <v>1018</v>
      </c>
      <c r="D736" s="29" t="s">
        <v>21</v>
      </c>
      <c r="E736" s="7">
        <v>45995</v>
      </c>
      <c r="F736" s="29" t="s">
        <v>58</v>
      </c>
      <c r="G736">
        <v>4</v>
      </c>
      <c r="H736">
        <v>1671</v>
      </c>
      <c r="I736" s="29" t="s">
        <v>76</v>
      </c>
      <c r="J736">
        <v>6684</v>
      </c>
    </row>
    <row r="737" spans="2:10" x14ac:dyDescent="0.25">
      <c r="B737" s="29" t="s">
        <v>833</v>
      </c>
      <c r="C737" s="29" t="s">
        <v>1012</v>
      </c>
      <c r="D737" s="29" t="s">
        <v>21</v>
      </c>
      <c r="E737" s="7">
        <v>45913</v>
      </c>
      <c r="F737" s="29" t="s">
        <v>58</v>
      </c>
      <c r="G737">
        <v>3</v>
      </c>
      <c r="H737">
        <v>2679</v>
      </c>
      <c r="I737" s="29" t="s">
        <v>76</v>
      </c>
      <c r="J737">
        <v>8037</v>
      </c>
    </row>
    <row r="738" spans="2:10" x14ac:dyDescent="0.25">
      <c r="B738" s="29" t="s">
        <v>834</v>
      </c>
      <c r="C738" s="29" t="s">
        <v>1016</v>
      </c>
      <c r="D738" s="29" t="s">
        <v>21</v>
      </c>
      <c r="E738" s="7">
        <v>46016</v>
      </c>
      <c r="F738" s="29" t="s">
        <v>58</v>
      </c>
      <c r="G738">
        <v>7</v>
      </c>
      <c r="H738">
        <v>2386</v>
      </c>
      <c r="I738" s="29" t="s">
        <v>84</v>
      </c>
      <c r="J738">
        <v>16702</v>
      </c>
    </row>
    <row r="739" spans="2:10" x14ac:dyDescent="0.25">
      <c r="B739" s="29" t="s">
        <v>835</v>
      </c>
      <c r="C739" s="29" t="s">
        <v>1020</v>
      </c>
      <c r="D739" s="29" t="s">
        <v>27</v>
      </c>
      <c r="E739" s="7">
        <v>45974</v>
      </c>
      <c r="F739" s="29" t="s">
        <v>58</v>
      </c>
      <c r="G739">
        <v>1</v>
      </c>
      <c r="H739">
        <v>65</v>
      </c>
      <c r="I739" s="29" t="s">
        <v>1058</v>
      </c>
      <c r="J739">
        <v>65</v>
      </c>
    </row>
    <row r="740" spans="2:10" x14ac:dyDescent="0.25">
      <c r="B740" s="29" t="s">
        <v>836</v>
      </c>
      <c r="C740" s="29" t="s">
        <v>1005</v>
      </c>
      <c r="D740" s="29" t="s">
        <v>21</v>
      </c>
      <c r="E740" s="7">
        <v>45843</v>
      </c>
      <c r="F740" s="29" t="s">
        <v>57</v>
      </c>
      <c r="G740">
        <v>1</v>
      </c>
      <c r="H740">
        <v>1293</v>
      </c>
      <c r="I740" s="29" t="s">
        <v>84</v>
      </c>
      <c r="J740">
        <v>1293</v>
      </c>
    </row>
    <row r="741" spans="2:10" x14ac:dyDescent="0.25">
      <c r="B741" s="29" t="s">
        <v>837</v>
      </c>
      <c r="C741" s="29" t="s">
        <v>1013</v>
      </c>
      <c r="D741" s="29" t="s">
        <v>14</v>
      </c>
      <c r="E741" s="7">
        <v>45942</v>
      </c>
      <c r="F741" s="29" t="s">
        <v>58</v>
      </c>
      <c r="G741">
        <v>6</v>
      </c>
      <c r="H741">
        <v>518</v>
      </c>
      <c r="I741" s="29" t="s">
        <v>76</v>
      </c>
      <c r="J741">
        <v>3108</v>
      </c>
    </row>
    <row r="742" spans="2:10" x14ac:dyDescent="0.25">
      <c r="B742" s="29" t="s">
        <v>838</v>
      </c>
      <c r="C742" s="29" t="s">
        <v>1015</v>
      </c>
      <c r="D742" s="29" t="s">
        <v>11</v>
      </c>
      <c r="E742" s="7">
        <v>45765</v>
      </c>
      <c r="F742" s="29" t="s">
        <v>58</v>
      </c>
      <c r="G742">
        <v>2</v>
      </c>
      <c r="H742">
        <v>3472</v>
      </c>
      <c r="I742" s="29" t="s">
        <v>76</v>
      </c>
      <c r="J742">
        <v>6944</v>
      </c>
    </row>
    <row r="743" spans="2:10" x14ac:dyDescent="0.25">
      <c r="B743" s="29" t="s">
        <v>839</v>
      </c>
      <c r="C743" s="29" t="s">
        <v>1017</v>
      </c>
      <c r="D743" s="29" t="s">
        <v>23</v>
      </c>
      <c r="E743" s="7">
        <v>45764</v>
      </c>
      <c r="F743" s="29" t="s">
        <v>58</v>
      </c>
      <c r="G743">
        <v>2</v>
      </c>
      <c r="H743">
        <v>4758</v>
      </c>
      <c r="I743" s="29" t="s">
        <v>1058</v>
      </c>
      <c r="J743">
        <v>9516</v>
      </c>
    </row>
    <row r="744" spans="2:10" x14ac:dyDescent="0.25">
      <c r="B744" s="29" t="s">
        <v>840</v>
      </c>
      <c r="C744" s="29" t="s">
        <v>1006</v>
      </c>
      <c r="D744" s="29" t="s">
        <v>14</v>
      </c>
      <c r="E744" s="7">
        <v>45966</v>
      </c>
      <c r="F744" s="29" t="s">
        <v>57</v>
      </c>
      <c r="G744">
        <v>9</v>
      </c>
      <c r="H744">
        <v>303</v>
      </c>
      <c r="I744" s="29" t="s">
        <v>1058</v>
      </c>
      <c r="J744">
        <v>2727</v>
      </c>
    </row>
    <row r="745" spans="2:10" x14ac:dyDescent="0.25">
      <c r="B745" s="29" t="s">
        <v>841</v>
      </c>
      <c r="C745" s="29" t="s">
        <v>1017</v>
      </c>
      <c r="D745" s="29" t="s">
        <v>21</v>
      </c>
      <c r="E745" s="7">
        <v>46005</v>
      </c>
      <c r="F745" s="29" t="s">
        <v>58</v>
      </c>
      <c r="G745">
        <v>4</v>
      </c>
      <c r="H745">
        <v>4789</v>
      </c>
      <c r="I745" s="29" t="s">
        <v>1058</v>
      </c>
      <c r="J745">
        <v>19156</v>
      </c>
    </row>
    <row r="746" spans="2:10" x14ac:dyDescent="0.25">
      <c r="B746" s="29" t="s">
        <v>842</v>
      </c>
      <c r="C746" s="29" t="s">
        <v>1017</v>
      </c>
      <c r="D746" s="29" t="s">
        <v>17</v>
      </c>
      <c r="E746" s="7">
        <v>45771</v>
      </c>
      <c r="F746" s="29" t="s">
        <v>58</v>
      </c>
      <c r="G746">
        <v>4</v>
      </c>
      <c r="H746">
        <v>4336</v>
      </c>
      <c r="I746" s="29" t="s">
        <v>84</v>
      </c>
      <c r="J746">
        <v>17344</v>
      </c>
    </row>
    <row r="747" spans="2:10" x14ac:dyDescent="0.25">
      <c r="B747" s="29" t="s">
        <v>843</v>
      </c>
      <c r="C747" s="29" t="s">
        <v>1021</v>
      </c>
      <c r="D747" s="29" t="s">
        <v>21</v>
      </c>
      <c r="E747" s="7">
        <v>45682</v>
      </c>
      <c r="F747" s="29" t="s">
        <v>58</v>
      </c>
      <c r="G747">
        <v>8</v>
      </c>
      <c r="H747">
        <v>3820</v>
      </c>
      <c r="I747" s="29" t="s">
        <v>84</v>
      </c>
      <c r="J747">
        <v>30560</v>
      </c>
    </row>
    <row r="748" spans="2:10" x14ac:dyDescent="0.25">
      <c r="B748" s="29" t="s">
        <v>844</v>
      </c>
      <c r="C748" s="29" t="s">
        <v>1006</v>
      </c>
      <c r="D748" s="29" t="s">
        <v>27</v>
      </c>
      <c r="E748" s="7">
        <v>45873</v>
      </c>
      <c r="F748" s="29" t="s">
        <v>58</v>
      </c>
      <c r="G748">
        <v>1</v>
      </c>
      <c r="H748">
        <v>4461</v>
      </c>
      <c r="I748" s="29" t="s">
        <v>76</v>
      </c>
      <c r="J748">
        <v>4461</v>
      </c>
    </row>
    <row r="749" spans="2:10" x14ac:dyDescent="0.25">
      <c r="B749" s="29" t="s">
        <v>845</v>
      </c>
      <c r="C749" s="29" t="s">
        <v>1006</v>
      </c>
      <c r="D749" s="29" t="s">
        <v>11</v>
      </c>
      <c r="E749" s="7">
        <v>45981</v>
      </c>
      <c r="F749" s="29" t="s">
        <v>58</v>
      </c>
      <c r="G749">
        <v>7</v>
      </c>
      <c r="H749">
        <v>1327</v>
      </c>
      <c r="I749" s="29" t="s">
        <v>76</v>
      </c>
      <c r="J749">
        <v>9289</v>
      </c>
    </row>
    <row r="750" spans="2:10" x14ac:dyDescent="0.25">
      <c r="B750" s="29" t="s">
        <v>846</v>
      </c>
      <c r="C750" s="29" t="s">
        <v>1021</v>
      </c>
      <c r="D750" s="29" t="s">
        <v>14</v>
      </c>
      <c r="E750" s="7">
        <v>45825</v>
      </c>
      <c r="F750" s="29" t="s">
        <v>57</v>
      </c>
      <c r="G750">
        <v>6</v>
      </c>
      <c r="H750">
        <v>775</v>
      </c>
      <c r="I750" s="29" t="s">
        <v>84</v>
      </c>
      <c r="J750">
        <v>4650</v>
      </c>
    </row>
    <row r="751" spans="2:10" x14ac:dyDescent="0.25">
      <c r="B751" s="29" t="s">
        <v>847</v>
      </c>
      <c r="C751" s="29" t="s">
        <v>1019</v>
      </c>
      <c r="D751" s="29" t="s">
        <v>17</v>
      </c>
      <c r="E751" s="7">
        <v>45969</v>
      </c>
      <c r="F751" s="29" t="s">
        <v>58</v>
      </c>
      <c r="G751">
        <v>2</v>
      </c>
      <c r="H751">
        <v>3010</v>
      </c>
      <c r="I751" s="29" t="s">
        <v>84</v>
      </c>
      <c r="J751">
        <v>6020</v>
      </c>
    </row>
    <row r="752" spans="2:10" x14ac:dyDescent="0.25">
      <c r="B752" s="29" t="s">
        <v>848</v>
      </c>
      <c r="C752" s="29" t="s">
        <v>1021</v>
      </c>
      <c r="D752" s="29" t="s">
        <v>27</v>
      </c>
      <c r="E752" s="7">
        <v>45812</v>
      </c>
      <c r="F752" s="29" t="s">
        <v>57</v>
      </c>
      <c r="G752">
        <v>10</v>
      </c>
      <c r="H752">
        <v>4582</v>
      </c>
      <c r="I752" s="29" t="s">
        <v>1058</v>
      </c>
      <c r="J752">
        <v>45820</v>
      </c>
    </row>
    <row r="753" spans="2:10" x14ac:dyDescent="0.25">
      <c r="B753" s="29" t="s">
        <v>849</v>
      </c>
      <c r="C753" s="29" t="s">
        <v>1013</v>
      </c>
      <c r="D753" s="29" t="s">
        <v>11</v>
      </c>
      <c r="E753" s="7">
        <v>45690</v>
      </c>
      <c r="F753" s="29" t="s">
        <v>58</v>
      </c>
      <c r="G753">
        <v>8</v>
      </c>
      <c r="H753">
        <v>873</v>
      </c>
      <c r="I753" s="29" t="s">
        <v>1058</v>
      </c>
      <c r="J753">
        <v>6984</v>
      </c>
    </row>
    <row r="754" spans="2:10" x14ac:dyDescent="0.25">
      <c r="B754" s="29" t="s">
        <v>850</v>
      </c>
      <c r="C754" s="29" t="s">
        <v>1018</v>
      </c>
      <c r="D754" s="29" t="s">
        <v>21</v>
      </c>
      <c r="E754" s="7">
        <v>45894</v>
      </c>
      <c r="F754" s="29" t="s">
        <v>58</v>
      </c>
      <c r="G754">
        <v>2</v>
      </c>
      <c r="H754">
        <v>3528</v>
      </c>
      <c r="I754" s="29" t="s">
        <v>1058</v>
      </c>
      <c r="J754">
        <v>7056</v>
      </c>
    </row>
    <row r="755" spans="2:10" x14ac:dyDescent="0.25">
      <c r="B755" s="29" t="s">
        <v>851</v>
      </c>
      <c r="C755" s="29" t="s">
        <v>1006</v>
      </c>
      <c r="D755" s="29" t="s">
        <v>19</v>
      </c>
      <c r="E755" s="7">
        <v>45832</v>
      </c>
      <c r="F755" s="29" t="s">
        <v>58</v>
      </c>
      <c r="G755">
        <v>5</v>
      </c>
      <c r="H755">
        <v>3106</v>
      </c>
      <c r="I755" s="29" t="s">
        <v>76</v>
      </c>
      <c r="J755">
        <v>15530</v>
      </c>
    </row>
    <row r="756" spans="2:10" x14ac:dyDescent="0.25">
      <c r="B756" s="29" t="s">
        <v>852</v>
      </c>
      <c r="C756" s="29" t="s">
        <v>1011</v>
      </c>
      <c r="D756" s="29" t="s">
        <v>21</v>
      </c>
      <c r="E756" s="7">
        <v>45662</v>
      </c>
      <c r="F756" s="29" t="s">
        <v>58</v>
      </c>
      <c r="G756">
        <v>8</v>
      </c>
      <c r="H756">
        <v>1446</v>
      </c>
      <c r="I756" s="29" t="s">
        <v>76</v>
      </c>
      <c r="J756">
        <v>11568</v>
      </c>
    </row>
    <row r="757" spans="2:10" x14ac:dyDescent="0.25">
      <c r="B757" s="29" t="s">
        <v>853</v>
      </c>
      <c r="C757" s="29" t="s">
        <v>1014</v>
      </c>
      <c r="D757" s="29" t="s">
        <v>21</v>
      </c>
      <c r="E757" s="7">
        <v>45794</v>
      </c>
      <c r="F757" s="29" t="s">
        <v>57</v>
      </c>
      <c r="G757">
        <v>2</v>
      </c>
      <c r="H757">
        <v>4204</v>
      </c>
      <c r="I757" s="29" t="s">
        <v>1058</v>
      </c>
      <c r="J757">
        <v>8408</v>
      </c>
    </row>
    <row r="758" spans="2:10" x14ac:dyDescent="0.25">
      <c r="B758" s="29" t="s">
        <v>854</v>
      </c>
      <c r="C758" s="29" t="s">
        <v>1018</v>
      </c>
      <c r="D758" s="29" t="s">
        <v>11</v>
      </c>
      <c r="E758" s="7">
        <v>45767</v>
      </c>
      <c r="F758" s="29" t="s">
        <v>58</v>
      </c>
      <c r="G758">
        <v>4</v>
      </c>
      <c r="H758">
        <v>3414</v>
      </c>
      <c r="I758" s="29" t="s">
        <v>84</v>
      </c>
      <c r="J758">
        <v>13656</v>
      </c>
    </row>
    <row r="759" spans="2:10" x14ac:dyDescent="0.25">
      <c r="B759" s="29" t="s">
        <v>855</v>
      </c>
      <c r="C759" s="29" t="s">
        <v>1012</v>
      </c>
      <c r="D759" s="29" t="s">
        <v>27</v>
      </c>
      <c r="E759" s="7">
        <v>45794</v>
      </c>
      <c r="F759" s="29" t="s">
        <v>57</v>
      </c>
      <c r="G759">
        <v>2</v>
      </c>
      <c r="H759">
        <v>4886</v>
      </c>
      <c r="I759" s="29" t="s">
        <v>76</v>
      </c>
      <c r="J759">
        <v>9772</v>
      </c>
    </row>
    <row r="760" spans="2:10" x14ac:dyDescent="0.25">
      <c r="B760" s="29" t="s">
        <v>856</v>
      </c>
      <c r="C760" s="29" t="s">
        <v>1017</v>
      </c>
      <c r="D760" s="29" t="s">
        <v>27</v>
      </c>
      <c r="E760" s="7">
        <v>45666</v>
      </c>
      <c r="F760" s="29" t="s">
        <v>57</v>
      </c>
      <c r="G760">
        <v>9</v>
      </c>
      <c r="H760">
        <v>811</v>
      </c>
      <c r="I760" s="29" t="s">
        <v>76</v>
      </c>
      <c r="J760">
        <v>7299</v>
      </c>
    </row>
    <row r="761" spans="2:10" x14ac:dyDescent="0.25">
      <c r="B761" s="29" t="s">
        <v>857</v>
      </c>
      <c r="C761" s="29" t="s">
        <v>1012</v>
      </c>
      <c r="D761" s="29" t="s">
        <v>14</v>
      </c>
      <c r="E761" s="7">
        <v>45757</v>
      </c>
      <c r="F761" s="29" t="s">
        <v>57</v>
      </c>
      <c r="G761">
        <v>10</v>
      </c>
      <c r="H761">
        <v>2137</v>
      </c>
      <c r="I761" s="29" t="s">
        <v>76</v>
      </c>
      <c r="J761">
        <v>21370</v>
      </c>
    </row>
    <row r="762" spans="2:10" x14ac:dyDescent="0.25">
      <c r="B762" s="29" t="s">
        <v>858</v>
      </c>
      <c r="C762" s="29" t="s">
        <v>1022</v>
      </c>
      <c r="D762" s="29" t="s">
        <v>21</v>
      </c>
      <c r="E762" s="7">
        <v>45720</v>
      </c>
      <c r="F762" s="29" t="s">
        <v>58</v>
      </c>
      <c r="G762">
        <v>5</v>
      </c>
      <c r="H762">
        <v>1208</v>
      </c>
      <c r="I762" s="29" t="s">
        <v>84</v>
      </c>
      <c r="J762">
        <v>6040</v>
      </c>
    </row>
    <row r="763" spans="2:10" x14ac:dyDescent="0.25">
      <c r="B763" s="29" t="s">
        <v>859</v>
      </c>
      <c r="C763" s="29" t="s">
        <v>1010</v>
      </c>
      <c r="D763" s="29" t="s">
        <v>19</v>
      </c>
      <c r="E763" s="7">
        <v>45733</v>
      </c>
      <c r="F763" s="29" t="s">
        <v>57</v>
      </c>
      <c r="G763">
        <v>4</v>
      </c>
      <c r="H763">
        <v>4147</v>
      </c>
      <c r="I763" s="29" t="s">
        <v>1058</v>
      </c>
      <c r="J763">
        <v>16588</v>
      </c>
    </row>
    <row r="764" spans="2:10" x14ac:dyDescent="0.25">
      <c r="B764" s="29" t="s">
        <v>860</v>
      </c>
      <c r="C764" s="29" t="s">
        <v>1018</v>
      </c>
      <c r="D764" s="29" t="s">
        <v>21</v>
      </c>
      <c r="E764" s="7">
        <v>45673</v>
      </c>
      <c r="F764" s="29" t="s">
        <v>58</v>
      </c>
      <c r="G764">
        <v>5</v>
      </c>
      <c r="H764">
        <v>3456</v>
      </c>
      <c r="I764" s="29" t="s">
        <v>76</v>
      </c>
      <c r="J764">
        <v>17280</v>
      </c>
    </row>
    <row r="765" spans="2:10" x14ac:dyDescent="0.25">
      <c r="B765" s="29" t="s">
        <v>861</v>
      </c>
      <c r="C765" s="29" t="s">
        <v>1020</v>
      </c>
      <c r="D765" s="29" t="s">
        <v>23</v>
      </c>
      <c r="E765" s="7">
        <v>45848</v>
      </c>
      <c r="F765" s="29" t="s">
        <v>58</v>
      </c>
      <c r="G765">
        <v>5</v>
      </c>
      <c r="H765">
        <v>431</v>
      </c>
      <c r="I765" s="29" t="s">
        <v>84</v>
      </c>
      <c r="J765">
        <v>2155</v>
      </c>
    </row>
    <row r="766" spans="2:10" x14ac:dyDescent="0.25">
      <c r="B766" s="29" t="s">
        <v>862</v>
      </c>
      <c r="C766" s="29" t="s">
        <v>1013</v>
      </c>
      <c r="D766" s="29" t="s">
        <v>11</v>
      </c>
      <c r="E766" s="7">
        <v>45997</v>
      </c>
      <c r="F766" s="29" t="s">
        <v>58</v>
      </c>
      <c r="G766">
        <v>7</v>
      </c>
      <c r="H766">
        <v>2672</v>
      </c>
      <c r="I766" s="29" t="s">
        <v>84</v>
      </c>
      <c r="J766">
        <v>18704</v>
      </c>
    </row>
    <row r="767" spans="2:10" x14ac:dyDescent="0.25">
      <c r="B767" s="29" t="s">
        <v>863</v>
      </c>
      <c r="C767" s="29" t="s">
        <v>1014</v>
      </c>
      <c r="D767" s="29" t="s">
        <v>23</v>
      </c>
      <c r="E767" s="7">
        <v>45954</v>
      </c>
      <c r="F767" s="29" t="s">
        <v>58</v>
      </c>
      <c r="G767">
        <v>5</v>
      </c>
      <c r="H767">
        <v>1669</v>
      </c>
      <c r="I767" s="29" t="s">
        <v>1058</v>
      </c>
      <c r="J767">
        <v>8345</v>
      </c>
    </row>
    <row r="768" spans="2:10" x14ac:dyDescent="0.25">
      <c r="B768" s="29" t="s">
        <v>864</v>
      </c>
      <c r="C768" s="29" t="s">
        <v>1005</v>
      </c>
      <c r="D768" s="29" t="s">
        <v>21</v>
      </c>
      <c r="E768" s="7">
        <v>45927</v>
      </c>
      <c r="F768" s="29" t="s">
        <v>57</v>
      </c>
      <c r="G768">
        <v>10</v>
      </c>
      <c r="H768">
        <v>197</v>
      </c>
      <c r="I768" s="29" t="s">
        <v>76</v>
      </c>
      <c r="J768">
        <v>1970</v>
      </c>
    </row>
    <row r="769" spans="2:10" x14ac:dyDescent="0.25">
      <c r="B769" s="29" t="s">
        <v>865</v>
      </c>
      <c r="C769" s="29" t="s">
        <v>1010</v>
      </c>
      <c r="D769" s="29" t="s">
        <v>11</v>
      </c>
      <c r="E769" s="7">
        <v>45948</v>
      </c>
      <c r="F769" s="29" t="s">
        <v>58</v>
      </c>
      <c r="G769">
        <v>10</v>
      </c>
      <c r="H769">
        <v>4845</v>
      </c>
      <c r="I769" s="29" t="s">
        <v>84</v>
      </c>
      <c r="J769">
        <v>48450</v>
      </c>
    </row>
    <row r="770" spans="2:10" x14ac:dyDescent="0.25">
      <c r="B770" s="29" t="s">
        <v>866</v>
      </c>
      <c r="C770" s="29" t="s">
        <v>1010</v>
      </c>
      <c r="D770" s="29" t="s">
        <v>27</v>
      </c>
      <c r="E770" s="7">
        <v>45742</v>
      </c>
      <c r="F770" s="29" t="s">
        <v>57</v>
      </c>
      <c r="G770">
        <v>4</v>
      </c>
      <c r="H770">
        <v>3601</v>
      </c>
      <c r="I770" s="29" t="s">
        <v>76</v>
      </c>
      <c r="J770">
        <v>14404</v>
      </c>
    </row>
    <row r="771" spans="2:10" x14ac:dyDescent="0.25">
      <c r="B771" s="29" t="s">
        <v>867</v>
      </c>
      <c r="C771" s="29" t="s">
        <v>1010</v>
      </c>
      <c r="D771" s="29" t="s">
        <v>23</v>
      </c>
      <c r="E771" s="7">
        <v>45912</v>
      </c>
      <c r="F771" s="29" t="s">
        <v>57</v>
      </c>
      <c r="G771">
        <v>8</v>
      </c>
      <c r="H771">
        <v>3209</v>
      </c>
      <c r="I771" s="29" t="s">
        <v>84</v>
      </c>
      <c r="J771">
        <v>25672</v>
      </c>
    </row>
    <row r="772" spans="2:10" x14ac:dyDescent="0.25">
      <c r="B772" s="29" t="s">
        <v>868</v>
      </c>
      <c r="C772" s="29" t="s">
        <v>1014</v>
      </c>
      <c r="D772" s="29" t="s">
        <v>21</v>
      </c>
      <c r="E772" s="7">
        <v>45945</v>
      </c>
      <c r="F772" s="29" t="s">
        <v>57</v>
      </c>
      <c r="G772">
        <v>5</v>
      </c>
      <c r="H772">
        <v>1774</v>
      </c>
      <c r="I772" s="29" t="s">
        <v>84</v>
      </c>
      <c r="J772">
        <v>8870</v>
      </c>
    </row>
    <row r="773" spans="2:10" x14ac:dyDescent="0.25">
      <c r="B773" s="29" t="s">
        <v>869</v>
      </c>
      <c r="C773" s="29" t="s">
        <v>1014</v>
      </c>
      <c r="D773" s="29" t="s">
        <v>11</v>
      </c>
      <c r="E773" s="7">
        <v>45906</v>
      </c>
      <c r="F773" s="29" t="s">
        <v>57</v>
      </c>
      <c r="G773">
        <v>9</v>
      </c>
      <c r="H773">
        <v>1216</v>
      </c>
      <c r="I773" s="29" t="s">
        <v>84</v>
      </c>
      <c r="J773">
        <v>10944</v>
      </c>
    </row>
    <row r="774" spans="2:10" x14ac:dyDescent="0.25">
      <c r="B774" s="29" t="s">
        <v>870</v>
      </c>
      <c r="C774" s="29" t="s">
        <v>1019</v>
      </c>
      <c r="D774" s="29" t="s">
        <v>17</v>
      </c>
      <c r="E774" s="7">
        <v>45910</v>
      </c>
      <c r="F774" s="29" t="s">
        <v>58</v>
      </c>
      <c r="G774">
        <v>8</v>
      </c>
      <c r="H774">
        <v>4775</v>
      </c>
      <c r="I774" s="29" t="s">
        <v>1058</v>
      </c>
      <c r="J774">
        <v>38200</v>
      </c>
    </row>
    <row r="775" spans="2:10" x14ac:dyDescent="0.25">
      <c r="B775" s="29" t="s">
        <v>871</v>
      </c>
      <c r="C775" s="29" t="s">
        <v>1005</v>
      </c>
      <c r="D775" s="29" t="s">
        <v>14</v>
      </c>
      <c r="E775" s="7">
        <v>45846</v>
      </c>
      <c r="F775" s="29" t="s">
        <v>57</v>
      </c>
      <c r="G775">
        <v>5</v>
      </c>
      <c r="H775">
        <v>4566</v>
      </c>
      <c r="I775" s="29" t="s">
        <v>1058</v>
      </c>
      <c r="J775">
        <v>22830</v>
      </c>
    </row>
    <row r="776" spans="2:10" x14ac:dyDescent="0.25">
      <c r="B776" s="29" t="s">
        <v>872</v>
      </c>
      <c r="C776" s="29" t="s">
        <v>1012</v>
      </c>
      <c r="D776" s="29" t="s">
        <v>14</v>
      </c>
      <c r="E776" s="7">
        <v>45970</v>
      </c>
      <c r="F776" s="29" t="s">
        <v>58</v>
      </c>
      <c r="G776">
        <v>4</v>
      </c>
      <c r="H776">
        <v>3985</v>
      </c>
      <c r="I776" s="29" t="s">
        <v>1058</v>
      </c>
      <c r="J776">
        <v>15940</v>
      </c>
    </row>
    <row r="777" spans="2:10" x14ac:dyDescent="0.25">
      <c r="B777" s="29" t="s">
        <v>873</v>
      </c>
      <c r="C777" s="29" t="s">
        <v>1020</v>
      </c>
      <c r="D777" s="29" t="s">
        <v>14</v>
      </c>
      <c r="E777" s="7">
        <v>45995</v>
      </c>
      <c r="F777" s="29" t="s">
        <v>58</v>
      </c>
      <c r="G777">
        <v>2</v>
      </c>
      <c r="H777">
        <v>282</v>
      </c>
      <c r="I777" s="29" t="s">
        <v>76</v>
      </c>
      <c r="J777">
        <v>564</v>
      </c>
    </row>
    <row r="778" spans="2:10" x14ac:dyDescent="0.25">
      <c r="B778" s="29" t="s">
        <v>874</v>
      </c>
      <c r="C778" s="29" t="s">
        <v>1014</v>
      </c>
      <c r="D778" s="29" t="s">
        <v>21</v>
      </c>
      <c r="E778" s="7">
        <v>45671</v>
      </c>
      <c r="F778" s="29" t="s">
        <v>58</v>
      </c>
      <c r="G778">
        <v>3</v>
      </c>
      <c r="H778">
        <v>1991</v>
      </c>
      <c r="I778" s="29" t="s">
        <v>76</v>
      </c>
      <c r="J778">
        <v>5973</v>
      </c>
    </row>
    <row r="779" spans="2:10" x14ac:dyDescent="0.25">
      <c r="B779" s="29" t="s">
        <v>875</v>
      </c>
      <c r="C779" s="29" t="s">
        <v>1004</v>
      </c>
      <c r="D779" s="29" t="s">
        <v>27</v>
      </c>
      <c r="E779" s="7">
        <v>45672</v>
      </c>
      <c r="F779" s="29" t="s">
        <v>58</v>
      </c>
      <c r="G779">
        <v>9</v>
      </c>
      <c r="H779">
        <v>1536</v>
      </c>
      <c r="I779" s="29" t="s">
        <v>1058</v>
      </c>
      <c r="J779">
        <v>13824</v>
      </c>
    </row>
    <row r="780" spans="2:10" x14ac:dyDescent="0.25">
      <c r="B780" s="29" t="s">
        <v>876</v>
      </c>
      <c r="C780" s="29" t="s">
        <v>1011</v>
      </c>
      <c r="D780" s="29" t="s">
        <v>17</v>
      </c>
      <c r="E780" s="7">
        <v>45847</v>
      </c>
      <c r="F780" s="29" t="s">
        <v>57</v>
      </c>
      <c r="G780">
        <v>10</v>
      </c>
      <c r="H780">
        <v>2627</v>
      </c>
      <c r="I780" s="29" t="s">
        <v>84</v>
      </c>
      <c r="J780">
        <v>26270</v>
      </c>
    </row>
    <row r="781" spans="2:10" x14ac:dyDescent="0.25">
      <c r="B781" s="29" t="s">
        <v>877</v>
      </c>
      <c r="C781" s="29" t="s">
        <v>1018</v>
      </c>
      <c r="D781" s="29" t="s">
        <v>21</v>
      </c>
      <c r="E781" s="7">
        <v>45701</v>
      </c>
      <c r="F781" s="29" t="s">
        <v>57</v>
      </c>
      <c r="G781">
        <v>5</v>
      </c>
      <c r="H781">
        <v>2823</v>
      </c>
      <c r="I781" s="29" t="s">
        <v>1058</v>
      </c>
      <c r="J781">
        <v>14115</v>
      </c>
    </row>
    <row r="782" spans="2:10" x14ac:dyDescent="0.25">
      <c r="B782" s="29" t="s">
        <v>878</v>
      </c>
      <c r="C782" s="29" t="s">
        <v>1005</v>
      </c>
      <c r="D782" s="29" t="s">
        <v>11</v>
      </c>
      <c r="E782" s="7">
        <v>45973</v>
      </c>
      <c r="F782" s="29" t="s">
        <v>57</v>
      </c>
      <c r="G782">
        <v>10</v>
      </c>
      <c r="H782">
        <v>1008</v>
      </c>
      <c r="I782" s="29" t="s">
        <v>84</v>
      </c>
      <c r="J782">
        <v>10080</v>
      </c>
    </row>
    <row r="783" spans="2:10" x14ac:dyDescent="0.25">
      <c r="B783" s="29" t="s">
        <v>879</v>
      </c>
      <c r="C783" s="29" t="s">
        <v>1007</v>
      </c>
      <c r="D783" s="29" t="s">
        <v>21</v>
      </c>
      <c r="E783" s="7">
        <v>45935</v>
      </c>
      <c r="F783" s="29" t="s">
        <v>58</v>
      </c>
      <c r="G783">
        <v>3</v>
      </c>
      <c r="H783">
        <v>4861</v>
      </c>
      <c r="I783" s="29" t="s">
        <v>76</v>
      </c>
      <c r="J783">
        <v>14583</v>
      </c>
    </row>
    <row r="784" spans="2:10" x14ac:dyDescent="0.25">
      <c r="B784" s="29" t="s">
        <v>880</v>
      </c>
      <c r="C784" s="29" t="s">
        <v>1015</v>
      </c>
      <c r="D784" s="29" t="s">
        <v>23</v>
      </c>
      <c r="E784" s="7">
        <v>45886</v>
      </c>
      <c r="F784" s="29" t="s">
        <v>58</v>
      </c>
      <c r="G784">
        <v>5</v>
      </c>
      <c r="H784">
        <v>3459</v>
      </c>
      <c r="I784" s="29" t="s">
        <v>1058</v>
      </c>
      <c r="J784">
        <v>17295</v>
      </c>
    </row>
    <row r="785" spans="2:10" x14ac:dyDescent="0.25">
      <c r="B785" s="29" t="s">
        <v>881</v>
      </c>
      <c r="C785" s="29" t="s">
        <v>1021</v>
      </c>
      <c r="D785" s="29" t="s">
        <v>21</v>
      </c>
      <c r="E785" s="7">
        <v>45966</v>
      </c>
      <c r="F785" s="29" t="s">
        <v>57</v>
      </c>
      <c r="G785">
        <v>8</v>
      </c>
      <c r="H785">
        <v>4635</v>
      </c>
      <c r="I785" s="29" t="s">
        <v>84</v>
      </c>
      <c r="J785">
        <v>37080</v>
      </c>
    </row>
    <row r="786" spans="2:10" x14ac:dyDescent="0.25">
      <c r="B786" s="29" t="s">
        <v>882</v>
      </c>
      <c r="C786" s="29" t="s">
        <v>1013</v>
      </c>
      <c r="D786" s="29" t="s">
        <v>11</v>
      </c>
      <c r="E786" s="7">
        <v>45964</v>
      </c>
      <c r="F786" s="29" t="s">
        <v>57</v>
      </c>
      <c r="G786">
        <v>4</v>
      </c>
      <c r="H786">
        <v>2604</v>
      </c>
      <c r="I786" s="29" t="s">
        <v>1058</v>
      </c>
      <c r="J786">
        <v>10416</v>
      </c>
    </row>
    <row r="787" spans="2:10" x14ac:dyDescent="0.25">
      <c r="B787" s="29" t="s">
        <v>883</v>
      </c>
      <c r="C787" s="29" t="s">
        <v>1017</v>
      </c>
      <c r="D787" s="29" t="s">
        <v>27</v>
      </c>
      <c r="E787" s="7">
        <v>45814</v>
      </c>
      <c r="F787" s="29" t="s">
        <v>57</v>
      </c>
      <c r="G787">
        <v>10</v>
      </c>
      <c r="H787">
        <v>374</v>
      </c>
      <c r="I787" s="29" t="s">
        <v>84</v>
      </c>
      <c r="J787">
        <v>3740</v>
      </c>
    </row>
    <row r="788" spans="2:10" x14ac:dyDescent="0.25">
      <c r="B788" s="29" t="s">
        <v>884</v>
      </c>
      <c r="C788" s="29" t="s">
        <v>1010</v>
      </c>
      <c r="D788" s="29" t="s">
        <v>19</v>
      </c>
      <c r="E788" s="7">
        <v>45906</v>
      </c>
      <c r="F788" s="29" t="s">
        <v>58</v>
      </c>
      <c r="G788">
        <v>2</v>
      </c>
      <c r="H788">
        <v>2278</v>
      </c>
      <c r="I788" s="29" t="s">
        <v>1058</v>
      </c>
      <c r="J788">
        <v>4556</v>
      </c>
    </row>
    <row r="789" spans="2:10" x14ac:dyDescent="0.25">
      <c r="B789" s="29" t="s">
        <v>885</v>
      </c>
      <c r="C789" s="29" t="s">
        <v>1006</v>
      </c>
      <c r="D789" s="29" t="s">
        <v>21</v>
      </c>
      <c r="E789" s="7">
        <v>45999</v>
      </c>
      <c r="F789" s="29" t="s">
        <v>58</v>
      </c>
      <c r="G789">
        <v>6</v>
      </c>
      <c r="H789">
        <v>1516</v>
      </c>
      <c r="I789" s="29" t="s">
        <v>76</v>
      </c>
      <c r="J789">
        <v>9096</v>
      </c>
    </row>
    <row r="790" spans="2:10" x14ac:dyDescent="0.25">
      <c r="B790" s="29" t="s">
        <v>886</v>
      </c>
      <c r="C790" s="29" t="s">
        <v>1009</v>
      </c>
      <c r="D790" s="29" t="s">
        <v>21</v>
      </c>
      <c r="E790" s="7">
        <v>45886</v>
      </c>
      <c r="F790" s="29" t="s">
        <v>58</v>
      </c>
      <c r="G790">
        <v>5</v>
      </c>
      <c r="H790">
        <v>2577</v>
      </c>
      <c r="I790" s="29" t="s">
        <v>76</v>
      </c>
      <c r="J790">
        <v>12885</v>
      </c>
    </row>
    <row r="791" spans="2:10" x14ac:dyDescent="0.25">
      <c r="B791" s="29" t="s">
        <v>887</v>
      </c>
      <c r="C791" s="29" t="s">
        <v>1011</v>
      </c>
      <c r="D791" s="29" t="s">
        <v>27</v>
      </c>
      <c r="E791" s="7">
        <v>45950</v>
      </c>
      <c r="F791" s="29" t="s">
        <v>57</v>
      </c>
      <c r="G791">
        <v>2</v>
      </c>
      <c r="H791">
        <v>3799</v>
      </c>
      <c r="I791" s="29" t="s">
        <v>84</v>
      </c>
      <c r="J791">
        <v>7598</v>
      </c>
    </row>
    <row r="792" spans="2:10" x14ac:dyDescent="0.25">
      <c r="B792" s="29" t="s">
        <v>888</v>
      </c>
      <c r="C792" s="29" t="s">
        <v>1019</v>
      </c>
      <c r="D792" s="29" t="s">
        <v>23</v>
      </c>
      <c r="E792" s="7">
        <v>45781</v>
      </c>
      <c r="F792" s="29" t="s">
        <v>57</v>
      </c>
      <c r="G792">
        <v>4</v>
      </c>
      <c r="H792">
        <v>4844</v>
      </c>
      <c r="I792" s="29" t="s">
        <v>1058</v>
      </c>
      <c r="J792">
        <v>19376</v>
      </c>
    </row>
    <row r="793" spans="2:10" x14ac:dyDescent="0.25">
      <c r="B793" s="29" t="s">
        <v>889</v>
      </c>
      <c r="C793" s="29" t="s">
        <v>1010</v>
      </c>
      <c r="D793" s="29" t="s">
        <v>23</v>
      </c>
      <c r="E793" s="7">
        <v>45986</v>
      </c>
      <c r="F793" s="29" t="s">
        <v>57</v>
      </c>
      <c r="G793">
        <v>1</v>
      </c>
      <c r="H793">
        <v>4206</v>
      </c>
      <c r="I793" s="29" t="s">
        <v>84</v>
      </c>
      <c r="J793">
        <v>4206</v>
      </c>
    </row>
    <row r="794" spans="2:10" x14ac:dyDescent="0.25">
      <c r="B794" s="29" t="s">
        <v>890</v>
      </c>
      <c r="C794" s="29" t="s">
        <v>1011</v>
      </c>
      <c r="D794" s="29" t="s">
        <v>19</v>
      </c>
      <c r="E794" s="7">
        <v>45988</v>
      </c>
      <c r="F794" s="29" t="s">
        <v>58</v>
      </c>
      <c r="G794">
        <v>9</v>
      </c>
      <c r="H794">
        <v>1704</v>
      </c>
      <c r="I794" s="29" t="s">
        <v>84</v>
      </c>
      <c r="J794">
        <v>15336</v>
      </c>
    </row>
    <row r="795" spans="2:10" x14ac:dyDescent="0.25">
      <c r="B795" s="29" t="s">
        <v>891</v>
      </c>
      <c r="C795" s="29" t="s">
        <v>1022</v>
      </c>
      <c r="D795" s="29" t="s">
        <v>14</v>
      </c>
      <c r="E795" s="7">
        <v>45796</v>
      </c>
      <c r="F795" s="29" t="s">
        <v>58</v>
      </c>
      <c r="G795">
        <v>2</v>
      </c>
      <c r="H795">
        <v>968</v>
      </c>
      <c r="I795" s="29" t="s">
        <v>84</v>
      </c>
      <c r="J795">
        <v>1936</v>
      </c>
    </row>
    <row r="796" spans="2:10" x14ac:dyDescent="0.25">
      <c r="B796" s="29" t="s">
        <v>892</v>
      </c>
      <c r="C796" s="29" t="s">
        <v>1010</v>
      </c>
      <c r="D796" s="29" t="s">
        <v>27</v>
      </c>
      <c r="E796" s="7">
        <v>45789</v>
      </c>
      <c r="F796" s="29" t="s">
        <v>57</v>
      </c>
      <c r="G796">
        <v>4</v>
      </c>
      <c r="H796">
        <v>1972</v>
      </c>
      <c r="I796" s="29" t="s">
        <v>84</v>
      </c>
      <c r="J796">
        <v>7888</v>
      </c>
    </row>
    <row r="797" spans="2:10" x14ac:dyDescent="0.25">
      <c r="B797" s="29" t="s">
        <v>893</v>
      </c>
      <c r="C797" s="29" t="s">
        <v>1011</v>
      </c>
      <c r="D797" s="29" t="s">
        <v>17</v>
      </c>
      <c r="E797" s="7">
        <v>45836</v>
      </c>
      <c r="F797" s="29" t="s">
        <v>57</v>
      </c>
      <c r="G797">
        <v>6</v>
      </c>
      <c r="H797">
        <v>3522</v>
      </c>
      <c r="I797" s="29" t="s">
        <v>76</v>
      </c>
      <c r="J797">
        <v>21132</v>
      </c>
    </row>
    <row r="798" spans="2:10" x14ac:dyDescent="0.25">
      <c r="B798" s="29" t="s">
        <v>894</v>
      </c>
      <c r="C798" s="29" t="s">
        <v>1012</v>
      </c>
      <c r="D798" s="29" t="s">
        <v>17</v>
      </c>
      <c r="E798" s="7">
        <v>45752</v>
      </c>
      <c r="F798" s="29" t="s">
        <v>58</v>
      </c>
      <c r="G798">
        <v>6</v>
      </c>
      <c r="H798">
        <v>765</v>
      </c>
      <c r="I798" s="29" t="s">
        <v>1058</v>
      </c>
      <c r="J798">
        <v>4590</v>
      </c>
    </row>
    <row r="799" spans="2:10" x14ac:dyDescent="0.25">
      <c r="B799" s="29" t="s">
        <v>895</v>
      </c>
      <c r="C799" s="29" t="s">
        <v>1017</v>
      </c>
      <c r="D799" s="29" t="s">
        <v>21</v>
      </c>
      <c r="E799" s="7">
        <v>45966</v>
      </c>
      <c r="F799" s="29" t="s">
        <v>57</v>
      </c>
      <c r="G799">
        <v>4</v>
      </c>
      <c r="H799">
        <v>2624</v>
      </c>
      <c r="I799" s="29" t="s">
        <v>1058</v>
      </c>
      <c r="J799">
        <v>10496</v>
      </c>
    </row>
    <row r="800" spans="2:10" x14ac:dyDescent="0.25">
      <c r="B800" s="29" t="s">
        <v>896</v>
      </c>
      <c r="C800" s="29" t="s">
        <v>1014</v>
      </c>
      <c r="D800" s="29" t="s">
        <v>19</v>
      </c>
      <c r="E800" s="7">
        <v>45750</v>
      </c>
      <c r="F800" s="29" t="s">
        <v>58</v>
      </c>
      <c r="G800">
        <v>4</v>
      </c>
      <c r="H800">
        <v>4404</v>
      </c>
      <c r="I800" s="29" t="s">
        <v>1058</v>
      </c>
      <c r="J800">
        <v>17616</v>
      </c>
    </row>
    <row r="801" spans="2:10" x14ac:dyDescent="0.25">
      <c r="B801" s="29" t="s">
        <v>897</v>
      </c>
      <c r="C801" s="29" t="s">
        <v>1015</v>
      </c>
      <c r="D801" s="29" t="s">
        <v>23</v>
      </c>
      <c r="E801" s="7">
        <v>45765</v>
      </c>
      <c r="F801" s="29" t="s">
        <v>57</v>
      </c>
      <c r="G801">
        <v>3</v>
      </c>
      <c r="H801">
        <v>241</v>
      </c>
      <c r="I801" s="29" t="s">
        <v>1058</v>
      </c>
      <c r="J801">
        <v>723</v>
      </c>
    </row>
    <row r="802" spans="2:10" x14ac:dyDescent="0.25">
      <c r="B802" s="29" t="s">
        <v>898</v>
      </c>
      <c r="C802" s="29" t="s">
        <v>1006</v>
      </c>
      <c r="D802" s="29" t="s">
        <v>27</v>
      </c>
      <c r="E802" s="7">
        <v>45817</v>
      </c>
      <c r="F802" s="29" t="s">
        <v>57</v>
      </c>
      <c r="G802">
        <v>10</v>
      </c>
      <c r="H802">
        <v>537</v>
      </c>
      <c r="I802" s="29" t="s">
        <v>76</v>
      </c>
      <c r="J802">
        <v>5370</v>
      </c>
    </row>
    <row r="803" spans="2:10" x14ac:dyDescent="0.25">
      <c r="B803" s="29" t="s">
        <v>899</v>
      </c>
      <c r="C803" s="29" t="s">
        <v>1021</v>
      </c>
      <c r="D803" s="29" t="s">
        <v>27</v>
      </c>
      <c r="E803" s="7">
        <v>45967</v>
      </c>
      <c r="F803" s="29" t="s">
        <v>58</v>
      </c>
      <c r="G803">
        <v>10</v>
      </c>
      <c r="H803">
        <v>4564</v>
      </c>
      <c r="I803" s="29" t="s">
        <v>84</v>
      </c>
      <c r="J803">
        <v>45640</v>
      </c>
    </row>
    <row r="804" spans="2:10" x14ac:dyDescent="0.25">
      <c r="B804" s="29" t="s">
        <v>900</v>
      </c>
      <c r="C804" s="29" t="s">
        <v>1019</v>
      </c>
      <c r="D804" s="29" t="s">
        <v>14</v>
      </c>
      <c r="E804" s="7">
        <v>45967</v>
      </c>
      <c r="F804" s="29" t="s">
        <v>57</v>
      </c>
      <c r="G804">
        <v>8</v>
      </c>
      <c r="H804">
        <v>2956</v>
      </c>
      <c r="I804" s="29" t="s">
        <v>76</v>
      </c>
      <c r="J804">
        <v>23648</v>
      </c>
    </row>
    <row r="805" spans="2:10" x14ac:dyDescent="0.25">
      <c r="B805" s="29" t="s">
        <v>901</v>
      </c>
      <c r="C805" s="29" t="s">
        <v>1008</v>
      </c>
      <c r="D805" s="29" t="s">
        <v>11</v>
      </c>
      <c r="E805" s="7">
        <v>46014</v>
      </c>
      <c r="F805" s="29" t="s">
        <v>58</v>
      </c>
      <c r="G805">
        <v>5</v>
      </c>
      <c r="H805">
        <v>123</v>
      </c>
      <c r="I805" s="29" t="s">
        <v>1058</v>
      </c>
      <c r="J805">
        <v>615</v>
      </c>
    </row>
    <row r="806" spans="2:10" x14ac:dyDescent="0.25">
      <c r="B806" s="29" t="s">
        <v>902</v>
      </c>
      <c r="C806" s="29" t="s">
        <v>1014</v>
      </c>
      <c r="D806" s="29" t="s">
        <v>14</v>
      </c>
      <c r="E806" s="7">
        <v>45669</v>
      </c>
      <c r="F806" s="29" t="s">
        <v>58</v>
      </c>
      <c r="G806">
        <v>5</v>
      </c>
      <c r="H806">
        <v>1798</v>
      </c>
      <c r="I806" s="29" t="s">
        <v>1058</v>
      </c>
      <c r="J806">
        <v>8990</v>
      </c>
    </row>
    <row r="807" spans="2:10" x14ac:dyDescent="0.25">
      <c r="B807" s="29" t="s">
        <v>903</v>
      </c>
      <c r="C807" s="29" t="s">
        <v>1008</v>
      </c>
      <c r="D807" s="29" t="s">
        <v>23</v>
      </c>
      <c r="E807" s="7">
        <v>45739</v>
      </c>
      <c r="F807" s="29" t="s">
        <v>57</v>
      </c>
      <c r="G807">
        <v>2</v>
      </c>
      <c r="H807">
        <v>2584</v>
      </c>
      <c r="I807" s="29" t="s">
        <v>84</v>
      </c>
      <c r="J807">
        <v>5168</v>
      </c>
    </row>
    <row r="808" spans="2:10" x14ac:dyDescent="0.25">
      <c r="B808" s="29" t="s">
        <v>904</v>
      </c>
      <c r="C808" s="29" t="s">
        <v>1008</v>
      </c>
      <c r="D808" s="29" t="s">
        <v>27</v>
      </c>
      <c r="E808" s="7">
        <v>45891</v>
      </c>
      <c r="F808" s="29" t="s">
        <v>58</v>
      </c>
      <c r="G808">
        <v>9</v>
      </c>
      <c r="H808">
        <v>3387</v>
      </c>
      <c r="I808" s="29" t="s">
        <v>76</v>
      </c>
      <c r="J808">
        <v>30483</v>
      </c>
    </row>
    <row r="809" spans="2:10" x14ac:dyDescent="0.25">
      <c r="B809" s="29" t="s">
        <v>905</v>
      </c>
      <c r="C809" s="29" t="s">
        <v>1005</v>
      </c>
      <c r="D809" s="29" t="s">
        <v>27</v>
      </c>
      <c r="E809" s="7">
        <v>45764</v>
      </c>
      <c r="F809" s="29" t="s">
        <v>58</v>
      </c>
      <c r="G809">
        <v>6</v>
      </c>
      <c r="H809">
        <v>3947</v>
      </c>
      <c r="I809" s="29" t="s">
        <v>84</v>
      </c>
      <c r="J809">
        <v>23682</v>
      </c>
    </row>
    <row r="810" spans="2:10" x14ac:dyDescent="0.25">
      <c r="B810" s="29" t="s">
        <v>906</v>
      </c>
      <c r="C810" s="29" t="s">
        <v>1017</v>
      </c>
      <c r="D810" s="29" t="s">
        <v>23</v>
      </c>
      <c r="E810" s="7">
        <v>45913</v>
      </c>
      <c r="F810" s="29" t="s">
        <v>57</v>
      </c>
      <c r="G810">
        <v>2</v>
      </c>
      <c r="H810">
        <v>347</v>
      </c>
      <c r="I810" s="29" t="s">
        <v>76</v>
      </c>
      <c r="J810">
        <v>694</v>
      </c>
    </row>
    <row r="811" spans="2:10" x14ac:dyDescent="0.25">
      <c r="B811" s="29" t="s">
        <v>907</v>
      </c>
      <c r="C811" s="29" t="s">
        <v>1007</v>
      </c>
      <c r="D811" s="29" t="s">
        <v>17</v>
      </c>
      <c r="E811" s="7">
        <v>45748</v>
      </c>
      <c r="F811" s="29" t="s">
        <v>58</v>
      </c>
      <c r="G811">
        <v>4</v>
      </c>
      <c r="H811">
        <v>2443</v>
      </c>
      <c r="I811" s="29" t="s">
        <v>1058</v>
      </c>
      <c r="J811">
        <v>9772</v>
      </c>
    </row>
    <row r="812" spans="2:10" x14ac:dyDescent="0.25">
      <c r="B812" s="29" t="s">
        <v>908</v>
      </c>
      <c r="C812" s="29" t="s">
        <v>1017</v>
      </c>
      <c r="D812" s="29" t="s">
        <v>19</v>
      </c>
      <c r="E812" s="7">
        <v>45801</v>
      </c>
      <c r="F812" s="29" t="s">
        <v>58</v>
      </c>
      <c r="G812">
        <v>8</v>
      </c>
      <c r="H812">
        <v>1493</v>
      </c>
      <c r="I812" s="29" t="s">
        <v>76</v>
      </c>
      <c r="J812">
        <v>11944</v>
      </c>
    </row>
    <row r="813" spans="2:10" x14ac:dyDescent="0.25">
      <c r="B813" s="29" t="s">
        <v>909</v>
      </c>
      <c r="C813" s="29" t="s">
        <v>1022</v>
      </c>
      <c r="D813" s="29" t="s">
        <v>14</v>
      </c>
      <c r="E813" s="7">
        <v>45901</v>
      </c>
      <c r="F813" s="29" t="s">
        <v>57</v>
      </c>
      <c r="G813">
        <v>8</v>
      </c>
      <c r="H813">
        <v>2528</v>
      </c>
      <c r="I813" s="29" t="s">
        <v>1058</v>
      </c>
      <c r="J813">
        <v>20224</v>
      </c>
    </row>
    <row r="814" spans="2:10" x14ac:dyDescent="0.25">
      <c r="B814" s="29" t="s">
        <v>910</v>
      </c>
      <c r="C814" s="29" t="s">
        <v>1010</v>
      </c>
      <c r="D814" s="29" t="s">
        <v>21</v>
      </c>
      <c r="E814" s="7">
        <v>45703</v>
      </c>
      <c r="F814" s="29" t="s">
        <v>58</v>
      </c>
      <c r="G814">
        <v>4</v>
      </c>
      <c r="H814">
        <v>1942</v>
      </c>
      <c r="I814" s="29" t="s">
        <v>76</v>
      </c>
      <c r="J814">
        <v>7768</v>
      </c>
    </row>
    <row r="815" spans="2:10" x14ac:dyDescent="0.25">
      <c r="B815" s="29" t="s">
        <v>911</v>
      </c>
      <c r="C815" s="29" t="s">
        <v>1008</v>
      </c>
      <c r="D815" s="29" t="s">
        <v>27</v>
      </c>
      <c r="E815" s="7">
        <v>45682</v>
      </c>
      <c r="F815" s="29" t="s">
        <v>57</v>
      </c>
      <c r="G815">
        <v>9</v>
      </c>
      <c r="H815">
        <v>4921</v>
      </c>
      <c r="I815" s="29" t="s">
        <v>1058</v>
      </c>
      <c r="J815">
        <v>44289</v>
      </c>
    </row>
    <row r="816" spans="2:10" x14ac:dyDescent="0.25">
      <c r="B816" s="29" t="s">
        <v>912</v>
      </c>
      <c r="C816" s="29" t="s">
        <v>1021</v>
      </c>
      <c r="D816" s="29" t="s">
        <v>19</v>
      </c>
      <c r="E816" s="7">
        <v>45912</v>
      </c>
      <c r="F816" s="29" t="s">
        <v>58</v>
      </c>
      <c r="G816">
        <v>9</v>
      </c>
      <c r="H816">
        <v>3035</v>
      </c>
      <c r="I816" s="29" t="s">
        <v>76</v>
      </c>
      <c r="J816">
        <v>27315</v>
      </c>
    </row>
    <row r="817" spans="2:10" x14ac:dyDescent="0.25">
      <c r="B817" s="29" t="s">
        <v>913</v>
      </c>
      <c r="C817" s="29" t="s">
        <v>1016</v>
      </c>
      <c r="D817" s="29" t="s">
        <v>19</v>
      </c>
      <c r="E817" s="7">
        <v>45659</v>
      </c>
      <c r="F817" s="29" t="s">
        <v>58</v>
      </c>
      <c r="G817">
        <v>3</v>
      </c>
      <c r="H817">
        <v>1626</v>
      </c>
      <c r="I817" s="29" t="s">
        <v>1058</v>
      </c>
      <c r="J817">
        <v>4878</v>
      </c>
    </row>
    <row r="818" spans="2:10" x14ac:dyDescent="0.25">
      <c r="B818" s="29" t="s">
        <v>914</v>
      </c>
      <c r="C818" s="29" t="s">
        <v>1009</v>
      </c>
      <c r="D818" s="29" t="s">
        <v>19</v>
      </c>
      <c r="E818" s="7">
        <v>46009</v>
      </c>
      <c r="F818" s="29" t="s">
        <v>58</v>
      </c>
      <c r="G818">
        <v>5</v>
      </c>
      <c r="H818">
        <v>2380</v>
      </c>
      <c r="I818" s="29" t="s">
        <v>76</v>
      </c>
      <c r="J818">
        <v>11900</v>
      </c>
    </row>
    <row r="819" spans="2:10" x14ac:dyDescent="0.25">
      <c r="B819" s="29" t="s">
        <v>915</v>
      </c>
      <c r="C819" s="29" t="s">
        <v>1010</v>
      </c>
      <c r="D819" s="29" t="s">
        <v>21</v>
      </c>
      <c r="E819" s="7">
        <v>45972</v>
      </c>
      <c r="F819" s="29" t="s">
        <v>57</v>
      </c>
      <c r="G819">
        <v>8</v>
      </c>
      <c r="H819">
        <v>834</v>
      </c>
      <c r="I819" s="29" t="s">
        <v>76</v>
      </c>
      <c r="J819">
        <v>6672</v>
      </c>
    </row>
    <row r="820" spans="2:10" x14ac:dyDescent="0.25">
      <c r="B820" s="29" t="s">
        <v>916</v>
      </c>
      <c r="C820" s="29" t="s">
        <v>1017</v>
      </c>
      <c r="D820" s="29" t="s">
        <v>27</v>
      </c>
      <c r="E820" s="7">
        <v>45732</v>
      </c>
      <c r="F820" s="29" t="s">
        <v>58</v>
      </c>
      <c r="G820">
        <v>5</v>
      </c>
      <c r="H820">
        <v>3810</v>
      </c>
      <c r="I820" s="29" t="s">
        <v>76</v>
      </c>
      <c r="J820">
        <v>19050</v>
      </c>
    </row>
    <row r="821" spans="2:10" x14ac:dyDescent="0.25">
      <c r="B821" s="29" t="s">
        <v>917</v>
      </c>
      <c r="C821" s="29" t="s">
        <v>1020</v>
      </c>
      <c r="D821" s="29" t="s">
        <v>21</v>
      </c>
      <c r="E821" s="7">
        <v>45984</v>
      </c>
      <c r="F821" s="29" t="s">
        <v>58</v>
      </c>
      <c r="G821">
        <v>5</v>
      </c>
      <c r="H821">
        <v>2019</v>
      </c>
      <c r="I821" s="29" t="s">
        <v>84</v>
      </c>
      <c r="J821">
        <v>10095</v>
      </c>
    </row>
    <row r="822" spans="2:10" x14ac:dyDescent="0.25">
      <c r="B822" s="29" t="s">
        <v>918</v>
      </c>
      <c r="C822" s="29" t="s">
        <v>1013</v>
      </c>
      <c r="D822" s="29" t="s">
        <v>27</v>
      </c>
      <c r="E822" s="7">
        <v>45984</v>
      </c>
      <c r="F822" s="29" t="s">
        <v>57</v>
      </c>
      <c r="G822">
        <v>6</v>
      </c>
      <c r="H822">
        <v>2440</v>
      </c>
      <c r="I822" s="29" t="s">
        <v>84</v>
      </c>
      <c r="J822">
        <v>14640</v>
      </c>
    </row>
    <row r="823" spans="2:10" x14ac:dyDescent="0.25">
      <c r="B823" s="29" t="s">
        <v>919</v>
      </c>
      <c r="C823" s="29" t="s">
        <v>1022</v>
      </c>
      <c r="D823" s="29" t="s">
        <v>11</v>
      </c>
      <c r="E823" s="7">
        <v>45886</v>
      </c>
      <c r="F823" s="29" t="s">
        <v>57</v>
      </c>
      <c r="G823">
        <v>6</v>
      </c>
      <c r="H823">
        <v>921</v>
      </c>
      <c r="I823" s="29" t="s">
        <v>1058</v>
      </c>
      <c r="J823">
        <v>5526</v>
      </c>
    </row>
    <row r="824" spans="2:10" x14ac:dyDescent="0.25">
      <c r="B824" s="29" t="s">
        <v>920</v>
      </c>
      <c r="C824" s="29" t="s">
        <v>1010</v>
      </c>
      <c r="D824" s="29" t="s">
        <v>19</v>
      </c>
      <c r="E824" s="7">
        <v>45877</v>
      </c>
      <c r="F824" s="29" t="s">
        <v>58</v>
      </c>
      <c r="G824">
        <v>8</v>
      </c>
      <c r="H824">
        <v>4595</v>
      </c>
      <c r="I824" s="29" t="s">
        <v>76</v>
      </c>
      <c r="J824">
        <v>36760</v>
      </c>
    </row>
    <row r="825" spans="2:10" x14ac:dyDescent="0.25">
      <c r="B825" s="29" t="s">
        <v>921</v>
      </c>
      <c r="C825" s="29" t="s">
        <v>1016</v>
      </c>
      <c r="D825" s="29" t="s">
        <v>21</v>
      </c>
      <c r="E825" s="7">
        <v>45999</v>
      </c>
      <c r="F825" s="29" t="s">
        <v>58</v>
      </c>
      <c r="G825">
        <v>7</v>
      </c>
      <c r="H825">
        <v>4486</v>
      </c>
      <c r="I825" s="29" t="s">
        <v>76</v>
      </c>
      <c r="J825">
        <v>31402</v>
      </c>
    </row>
    <row r="826" spans="2:10" x14ac:dyDescent="0.25">
      <c r="B826" s="29" t="s">
        <v>922</v>
      </c>
      <c r="C826" s="29" t="s">
        <v>1006</v>
      </c>
      <c r="D826" s="29" t="s">
        <v>27</v>
      </c>
      <c r="E826" s="7">
        <v>45840</v>
      </c>
      <c r="F826" s="29" t="s">
        <v>57</v>
      </c>
      <c r="G826">
        <v>2</v>
      </c>
      <c r="H826">
        <v>2900</v>
      </c>
      <c r="I826" s="29" t="s">
        <v>1058</v>
      </c>
      <c r="J826">
        <v>5800</v>
      </c>
    </row>
    <row r="827" spans="2:10" x14ac:dyDescent="0.25">
      <c r="B827" s="29" t="s">
        <v>923</v>
      </c>
      <c r="C827" s="29" t="s">
        <v>1007</v>
      </c>
      <c r="D827" s="29" t="s">
        <v>14</v>
      </c>
      <c r="E827" s="7">
        <v>45977</v>
      </c>
      <c r="F827" s="29" t="s">
        <v>57</v>
      </c>
      <c r="G827">
        <v>5</v>
      </c>
      <c r="H827">
        <v>980</v>
      </c>
      <c r="I827" s="29" t="s">
        <v>76</v>
      </c>
      <c r="J827">
        <v>4900</v>
      </c>
    </row>
    <row r="828" spans="2:10" x14ac:dyDescent="0.25">
      <c r="B828" s="29" t="s">
        <v>924</v>
      </c>
      <c r="C828" s="29" t="s">
        <v>1004</v>
      </c>
      <c r="D828" s="29" t="s">
        <v>23</v>
      </c>
      <c r="E828" s="7">
        <v>45886</v>
      </c>
      <c r="F828" s="29" t="s">
        <v>57</v>
      </c>
      <c r="G828">
        <v>2</v>
      </c>
      <c r="H828">
        <v>1189</v>
      </c>
      <c r="I828" s="29" t="s">
        <v>76</v>
      </c>
      <c r="J828">
        <v>2378</v>
      </c>
    </row>
    <row r="829" spans="2:10" x14ac:dyDescent="0.25">
      <c r="B829" s="29" t="s">
        <v>925</v>
      </c>
      <c r="C829" s="29" t="s">
        <v>1013</v>
      </c>
      <c r="D829" s="29" t="s">
        <v>11</v>
      </c>
      <c r="E829" s="7">
        <v>45944</v>
      </c>
      <c r="F829" s="29" t="s">
        <v>58</v>
      </c>
      <c r="G829">
        <v>1</v>
      </c>
      <c r="H829">
        <v>4823</v>
      </c>
      <c r="I829" s="29" t="s">
        <v>76</v>
      </c>
      <c r="J829">
        <v>4823</v>
      </c>
    </row>
    <row r="830" spans="2:10" x14ac:dyDescent="0.25">
      <c r="B830" s="29" t="s">
        <v>926</v>
      </c>
      <c r="C830" s="29" t="s">
        <v>1020</v>
      </c>
      <c r="D830" s="29" t="s">
        <v>14</v>
      </c>
      <c r="E830" s="7">
        <v>45822</v>
      </c>
      <c r="F830" s="29" t="s">
        <v>57</v>
      </c>
      <c r="G830">
        <v>4</v>
      </c>
      <c r="H830">
        <v>4539</v>
      </c>
      <c r="I830" s="29" t="s">
        <v>1058</v>
      </c>
      <c r="J830">
        <v>18156</v>
      </c>
    </row>
    <row r="831" spans="2:10" x14ac:dyDescent="0.25">
      <c r="B831" s="29" t="s">
        <v>927</v>
      </c>
      <c r="C831" s="29" t="s">
        <v>1011</v>
      </c>
      <c r="D831" s="29" t="s">
        <v>21</v>
      </c>
      <c r="E831" s="7">
        <v>45755</v>
      </c>
      <c r="F831" s="29" t="s">
        <v>58</v>
      </c>
      <c r="G831">
        <v>7</v>
      </c>
      <c r="H831">
        <v>1790</v>
      </c>
      <c r="I831" s="29" t="s">
        <v>76</v>
      </c>
      <c r="J831">
        <v>12530</v>
      </c>
    </row>
    <row r="832" spans="2:10" x14ac:dyDescent="0.25">
      <c r="B832" s="29" t="s">
        <v>928</v>
      </c>
      <c r="C832" s="29" t="s">
        <v>1006</v>
      </c>
      <c r="D832" s="29" t="s">
        <v>27</v>
      </c>
      <c r="E832" s="7">
        <v>45946</v>
      </c>
      <c r="F832" s="29" t="s">
        <v>58</v>
      </c>
      <c r="G832">
        <v>9</v>
      </c>
      <c r="H832">
        <v>4331</v>
      </c>
      <c r="I832" s="29" t="s">
        <v>76</v>
      </c>
      <c r="J832">
        <v>38979</v>
      </c>
    </row>
    <row r="833" spans="2:10" x14ac:dyDescent="0.25">
      <c r="B833" s="29" t="s">
        <v>929</v>
      </c>
      <c r="C833" s="29" t="s">
        <v>1020</v>
      </c>
      <c r="D833" s="29" t="s">
        <v>21</v>
      </c>
      <c r="E833" s="7">
        <v>45701</v>
      </c>
      <c r="F833" s="29" t="s">
        <v>58</v>
      </c>
      <c r="G833">
        <v>10</v>
      </c>
      <c r="H833">
        <v>3809</v>
      </c>
      <c r="I833" s="29" t="s">
        <v>84</v>
      </c>
      <c r="J833">
        <v>38090</v>
      </c>
    </row>
    <row r="834" spans="2:10" x14ac:dyDescent="0.25">
      <c r="B834" s="29" t="s">
        <v>930</v>
      </c>
      <c r="C834" s="29" t="s">
        <v>1022</v>
      </c>
      <c r="D834" s="29" t="s">
        <v>21</v>
      </c>
      <c r="E834" s="7">
        <v>45839</v>
      </c>
      <c r="F834" s="29" t="s">
        <v>57</v>
      </c>
      <c r="G834">
        <v>6</v>
      </c>
      <c r="H834">
        <v>3153</v>
      </c>
      <c r="I834" s="29" t="s">
        <v>1058</v>
      </c>
      <c r="J834">
        <v>18918</v>
      </c>
    </row>
    <row r="835" spans="2:10" x14ac:dyDescent="0.25">
      <c r="B835" s="29" t="s">
        <v>931</v>
      </c>
      <c r="C835" s="29" t="s">
        <v>1004</v>
      </c>
      <c r="D835" s="29" t="s">
        <v>14</v>
      </c>
      <c r="E835" s="7">
        <v>45861</v>
      </c>
      <c r="F835" s="29" t="s">
        <v>57</v>
      </c>
      <c r="G835">
        <v>6</v>
      </c>
      <c r="H835">
        <v>4128</v>
      </c>
      <c r="I835" s="29" t="s">
        <v>84</v>
      </c>
      <c r="J835">
        <v>24768</v>
      </c>
    </row>
    <row r="836" spans="2:10" x14ac:dyDescent="0.25">
      <c r="B836" s="29" t="s">
        <v>932</v>
      </c>
      <c r="C836" s="29" t="s">
        <v>1019</v>
      </c>
      <c r="D836" s="29" t="s">
        <v>21</v>
      </c>
      <c r="E836" s="7">
        <v>45937</v>
      </c>
      <c r="F836" s="29" t="s">
        <v>57</v>
      </c>
      <c r="G836">
        <v>1</v>
      </c>
      <c r="H836">
        <v>4838</v>
      </c>
      <c r="I836" s="29" t="s">
        <v>76</v>
      </c>
      <c r="J836">
        <v>4838</v>
      </c>
    </row>
    <row r="837" spans="2:10" x14ac:dyDescent="0.25">
      <c r="B837" s="29" t="s">
        <v>933</v>
      </c>
      <c r="C837" s="29" t="s">
        <v>1016</v>
      </c>
      <c r="D837" s="29" t="s">
        <v>17</v>
      </c>
      <c r="E837" s="7">
        <v>45877</v>
      </c>
      <c r="F837" s="29" t="s">
        <v>57</v>
      </c>
      <c r="G837">
        <v>6</v>
      </c>
      <c r="H837">
        <v>2222</v>
      </c>
      <c r="I837" s="29" t="s">
        <v>76</v>
      </c>
      <c r="J837">
        <v>13332</v>
      </c>
    </row>
    <row r="838" spans="2:10" x14ac:dyDescent="0.25">
      <c r="B838" s="29" t="s">
        <v>934</v>
      </c>
      <c r="C838" s="29" t="s">
        <v>1004</v>
      </c>
      <c r="D838" s="29" t="s">
        <v>23</v>
      </c>
      <c r="E838" s="7">
        <v>45738</v>
      </c>
      <c r="F838" s="29" t="s">
        <v>58</v>
      </c>
      <c r="G838">
        <v>10</v>
      </c>
      <c r="H838">
        <v>4503</v>
      </c>
      <c r="I838" s="29" t="s">
        <v>76</v>
      </c>
      <c r="J838">
        <v>45030</v>
      </c>
    </row>
    <row r="839" spans="2:10" x14ac:dyDescent="0.25">
      <c r="B839" s="29" t="s">
        <v>935</v>
      </c>
      <c r="C839" s="29" t="s">
        <v>1004</v>
      </c>
      <c r="D839" s="29" t="s">
        <v>21</v>
      </c>
      <c r="E839" s="7">
        <v>45720</v>
      </c>
      <c r="F839" s="29" t="s">
        <v>57</v>
      </c>
      <c r="G839">
        <v>4</v>
      </c>
      <c r="H839">
        <v>3792</v>
      </c>
      <c r="I839" s="29" t="s">
        <v>84</v>
      </c>
      <c r="J839">
        <v>15168</v>
      </c>
    </row>
    <row r="840" spans="2:10" x14ac:dyDescent="0.25">
      <c r="B840" s="29" t="s">
        <v>936</v>
      </c>
      <c r="C840" s="29" t="s">
        <v>1020</v>
      </c>
      <c r="D840" s="29" t="s">
        <v>17</v>
      </c>
      <c r="E840" s="7">
        <v>45794</v>
      </c>
      <c r="F840" s="29" t="s">
        <v>57</v>
      </c>
      <c r="G840">
        <v>3</v>
      </c>
      <c r="H840">
        <v>3489</v>
      </c>
      <c r="I840" s="29" t="s">
        <v>84</v>
      </c>
      <c r="J840">
        <v>10467</v>
      </c>
    </row>
    <row r="841" spans="2:10" x14ac:dyDescent="0.25">
      <c r="B841" s="29" t="s">
        <v>937</v>
      </c>
      <c r="C841" s="29" t="s">
        <v>1022</v>
      </c>
      <c r="D841" s="29" t="s">
        <v>23</v>
      </c>
      <c r="E841" s="7">
        <v>46017</v>
      </c>
      <c r="F841" s="29" t="s">
        <v>58</v>
      </c>
      <c r="G841">
        <v>4</v>
      </c>
      <c r="H841">
        <v>841</v>
      </c>
      <c r="I841" s="29" t="s">
        <v>76</v>
      </c>
      <c r="J841">
        <v>3364</v>
      </c>
    </row>
    <row r="842" spans="2:10" x14ac:dyDescent="0.25">
      <c r="B842" s="29" t="s">
        <v>938</v>
      </c>
      <c r="C842" s="29" t="s">
        <v>1004</v>
      </c>
      <c r="D842" s="29" t="s">
        <v>21</v>
      </c>
      <c r="E842" s="7">
        <v>45769</v>
      </c>
      <c r="F842" s="29" t="s">
        <v>57</v>
      </c>
      <c r="G842">
        <v>10</v>
      </c>
      <c r="H842">
        <v>4384</v>
      </c>
      <c r="I842" s="29" t="s">
        <v>76</v>
      </c>
      <c r="J842">
        <v>43840</v>
      </c>
    </row>
    <row r="843" spans="2:10" x14ac:dyDescent="0.25">
      <c r="B843" s="29" t="s">
        <v>939</v>
      </c>
      <c r="C843" s="29" t="s">
        <v>1022</v>
      </c>
      <c r="D843" s="29" t="s">
        <v>27</v>
      </c>
      <c r="E843" s="7">
        <v>45666</v>
      </c>
      <c r="F843" s="29" t="s">
        <v>57</v>
      </c>
      <c r="G843">
        <v>4</v>
      </c>
      <c r="H843">
        <v>1560</v>
      </c>
      <c r="I843" s="29" t="s">
        <v>76</v>
      </c>
      <c r="J843">
        <v>6240</v>
      </c>
    </row>
    <row r="844" spans="2:10" x14ac:dyDescent="0.25">
      <c r="B844" s="29" t="s">
        <v>940</v>
      </c>
      <c r="C844" s="29" t="s">
        <v>1005</v>
      </c>
      <c r="D844" s="29" t="s">
        <v>14</v>
      </c>
      <c r="E844" s="7">
        <v>45708</v>
      </c>
      <c r="F844" s="29" t="s">
        <v>57</v>
      </c>
      <c r="G844">
        <v>6</v>
      </c>
      <c r="H844">
        <v>1060</v>
      </c>
      <c r="I844" s="29" t="s">
        <v>1058</v>
      </c>
      <c r="J844">
        <v>6360</v>
      </c>
    </row>
    <row r="845" spans="2:10" x14ac:dyDescent="0.25">
      <c r="B845" s="29" t="s">
        <v>941</v>
      </c>
      <c r="C845" s="29" t="s">
        <v>1022</v>
      </c>
      <c r="D845" s="29" t="s">
        <v>27</v>
      </c>
      <c r="E845" s="7">
        <v>45912</v>
      </c>
      <c r="F845" s="29" t="s">
        <v>58</v>
      </c>
      <c r="G845">
        <v>5</v>
      </c>
      <c r="H845">
        <v>444</v>
      </c>
      <c r="I845" s="29" t="s">
        <v>1058</v>
      </c>
      <c r="J845">
        <v>2220</v>
      </c>
    </row>
    <row r="846" spans="2:10" x14ac:dyDescent="0.25">
      <c r="B846" s="29" t="s">
        <v>942</v>
      </c>
      <c r="C846" s="29" t="s">
        <v>1020</v>
      </c>
      <c r="D846" s="29" t="s">
        <v>27</v>
      </c>
      <c r="E846" s="7">
        <v>45775</v>
      </c>
      <c r="F846" s="29" t="s">
        <v>58</v>
      </c>
      <c r="G846">
        <v>7</v>
      </c>
      <c r="H846">
        <v>3576</v>
      </c>
      <c r="I846" s="29" t="s">
        <v>84</v>
      </c>
      <c r="J846">
        <v>25032</v>
      </c>
    </row>
    <row r="847" spans="2:10" x14ac:dyDescent="0.25">
      <c r="B847" s="29" t="s">
        <v>943</v>
      </c>
      <c r="C847" s="29" t="s">
        <v>1009</v>
      </c>
      <c r="D847" s="29" t="s">
        <v>21</v>
      </c>
      <c r="E847" s="7">
        <v>45881</v>
      </c>
      <c r="F847" s="29" t="s">
        <v>57</v>
      </c>
      <c r="G847">
        <v>9</v>
      </c>
      <c r="H847">
        <v>3192</v>
      </c>
      <c r="I847" s="29" t="s">
        <v>84</v>
      </c>
      <c r="J847">
        <v>28728</v>
      </c>
    </row>
    <row r="848" spans="2:10" x14ac:dyDescent="0.25">
      <c r="B848" s="29" t="s">
        <v>944</v>
      </c>
      <c r="C848" s="29" t="s">
        <v>1012</v>
      </c>
      <c r="D848" s="29" t="s">
        <v>23</v>
      </c>
      <c r="E848" s="7">
        <v>45885</v>
      </c>
      <c r="F848" s="29" t="s">
        <v>57</v>
      </c>
      <c r="G848">
        <v>3</v>
      </c>
      <c r="H848">
        <v>3312</v>
      </c>
      <c r="I848" s="29" t="s">
        <v>84</v>
      </c>
      <c r="J848">
        <v>9936</v>
      </c>
    </row>
    <row r="849" spans="2:10" x14ac:dyDescent="0.25">
      <c r="B849" s="29" t="s">
        <v>945</v>
      </c>
      <c r="C849" s="29" t="s">
        <v>1017</v>
      </c>
      <c r="D849" s="29" t="s">
        <v>19</v>
      </c>
      <c r="E849" s="7">
        <v>45892</v>
      </c>
      <c r="F849" s="29" t="s">
        <v>57</v>
      </c>
      <c r="G849">
        <v>2</v>
      </c>
      <c r="H849">
        <v>1808</v>
      </c>
      <c r="I849" s="29" t="s">
        <v>84</v>
      </c>
      <c r="J849">
        <v>3616</v>
      </c>
    </row>
    <row r="850" spans="2:10" x14ac:dyDescent="0.25">
      <c r="B850" s="29" t="s">
        <v>946</v>
      </c>
      <c r="C850" s="29" t="s">
        <v>1018</v>
      </c>
      <c r="D850" s="29" t="s">
        <v>19</v>
      </c>
      <c r="E850" s="7">
        <v>45672</v>
      </c>
      <c r="F850" s="29" t="s">
        <v>57</v>
      </c>
      <c r="G850">
        <v>5</v>
      </c>
      <c r="H850">
        <v>2857</v>
      </c>
      <c r="I850" s="29" t="s">
        <v>1058</v>
      </c>
      <c r="J850">
        <v>14285</v>
      </c>
    </row>
    <row r="851" spans="2:10" x14ac:dyDescent="0.25">
      <c r="B851" s="29" t="s">
        <v>947</v>
      </c>
      <c r="C851" s="29" t="s">
        <v>1007</v>
      </c>
      <c r="D851" s="29" t="s">
        <v>21</v>
      </c>
      <c r="E851" s="7">
        <v>45912</v>
      </c>
      <c r="F851" s="29" t="s">
        <v>58</v>
      </c>
      <c r="G851">
        <v>2</v>
      </c>
      <c r="H851">
        <v>4484</v>
      </c>
      <c r="I851" s="29" t="s">
        <v>84</v>
      </c>
      <c r="J851">
        <v>8968</v>
      </c>
    </row>
    <row r="852" spans="2:10" x14ac:dyDescent="0.25">
      <c r="B852" s="29" t="s">
        <v>948</v>
      </c>
      <c r="C852" s="29" t="s">
        <v>1010</v>
      </c>
      <c r="D852" s="29" t="s">
        <v>11</v>
      </c>
      <c r="E852" s="7">
        <v>45876</v>
      </c>
      <c r="F852" s="29" t="s">
        <v>58</v>
      </c>
      <c r="G852">
        <v>8</v>
      </c>
      <c r="H852">
        <v>1061</v>
      </c>
      <c r="I852" s="29" t="s">
        <v>1058</v>
      </c>
      <c r="J852">
        <v>8488</v>
      </c>
    </row>
    <row r="853" spans="2:10" x14ac:dyDescent="0.25">
      <c r="B853" s="29" t="s">
        <v>949</v>
      </c>
      <c r="C853" s="29" t="s">
        <v>1009</v>
      </c>
      <c r="D853" s="29" t="s">
        <v>11</v>
      </c>
      <c r="E853" s="7">
        <v>45752</v>
      </c>
      <c r="F853" s="29" t="s">
        <v>57</v>
      </c>
      <c r="G853">
        <v>9</v>
      </c>
      <c r="H853">
        <v>732</v>
      </c>
      <c r="I853" s="29" t="s">
        <v>1058</v>
      </c>
      <c r="J853">
        <v>6588</v>
      </c>
    </row>
    <row r="854" spans="2:10" x14ac:dyDescent="0.25">
      <c r="B854" s="29" t="s">
        <v>950</v>
      </c>
      <c r="C854" s="29" t="s">
        <v>1010</v>
      </c>
      <c r="D854" s="29" t="s">
        <v>23</v>
      </c>
      <c r="E854" s="7">
        <v>45667</v>
      </c>
      <c r="F854" s="29" t="s">
        <v>58</v>
      </c>
      <c r="G854">
        <v>7</v>
      </c>
      <c r="H854">
        <v>3004</v>
      </c>
      <c r="I854" s="29" t="s">
        <v>76</v>
      </c>
      <c r="J854">
        <v>21028</v>
      </c>
    </row>
    <row r="855" spans="2:10" x14ac:dyDescent="0.25">
      <c r="B855" s="29" t="s">
        <v>951</v>
      </c>
      <c r="C855" s="29" t="s">
        <v>1006</v>
      </c>
      <c r="D855" s="29" t="s">
        <v>21</v>
      </c>
      <c r="E855" s="7">
        <v>45971</v>
      </c>
      <c r="F855" s="29" t="s">
        <v>58</v>
      </c>
      <c r="G855">
        <v>5</v>
      </c>
      <c r="H855">
        <v>1235</v>
      </c>
      <c r="I855" s="29" t="s">
        <v>84</v>
      </c>
      <c r="J855">
        <v>6175</v>
      </c>
    </row>
    <row r="856" spans="2:10" x14ac:dyDescent="0.25">
      <c r="B856" s="29" t="s">
        <v>952</v>
      </c>
      <c r="C856" s="29" t="s">
        <v>1016</v>
      </c>
      <c r="D856" s="29" t="s">
        <v>21</v>
      </c>
      <c r="E856" s="7">
        <v>45951</v>
      </c>
      <c r="F856" s="29" t="s">
        <v>57</v>
      </c>
      <c r="G856">
        <v>2</v>
      </c>
      <c r="H856">
        <v>66</v>
      </c>
      <c r="I856" s="29" t="s">
        <v>76</v>
      </c>
      <c r="J856">
        <v>132</v>
      </c>
    </row>
    <row r="857" spans="2:10" x14ac:dyDescent="0.25">
      <c r="B857" s="29" t="s">
        <v>953</v>
      </c>
      <c r="C857" s="29" t="s">
        <v>1012</v>
      </c>
      <c r="D857" s="29" t="s">
        <v>21</v>
      </c>
      <c r="E857" s="7">
        <v>45791</v>
      </c>
      <c r="F857" s="29" t="s">
        <v>58</v>
      </c>
      <c r="G857">
        <v>7</v>
      </c>
      <c r="H857">
        <v>2975</v>
      </c>
      <c r="I857" s="29" t="s">
        <v>1058</v>
      </c>
      <c r="J857">
        <v>20825</v>
      </c>
    </row>
    <row r="858" spans="2:10" x14ac:dyDescent="0.25">
      <c r="B858" s="29" t="s">
        <v>954</v>
      </c>
      <c r="C858" s="29" t="s">
        <v>1013</v>
      </c>
      <c r="D858" s="29" t="s">
        <v>11</v>
      </c>
      <c r="E858" s="7">
        <v>45672</v>
      </c>
      <c r="F858" s="29" t="s">
        <v>57</v>
      </c>
      <c r="G858">
        <v>5</v>
      </c>
      <c r="H858">
        <v>4797</v>
      </c>
      <c r="I858" s="29" t="s">
        <v>1058</v>
      </c>
      <c r="J858">
        <v>23985</v>
      </c>
    </row>
    <row r="859" spans="2:10" x14ac:dyDescent="0.25">
      <c r="B859" s="29" t="s">
        <v>955</v>
      </c>
      <c r="C859" s="29" t="s">
        <v>1009</v>
      </c>
      <c r="D859" s="29" t="s">
        <v>19</v>
      </c>
      <c r="E859" s="7">
        <v>45939</v>
      </c>
      <c r="F859" s="29" t="s">
        <v>58</v>
      </c>
      <c r="G859">
        <v>2</v>
      </c>
      <c r="H859">
        <v>4183</v>
      </c>
      <c r="I859" s="29" t="s">
        <v>1058</v>
      </c>
      <c r="J859">
        <v>8366</v>
      </c>
    </row>
    <row r="860" spans="2:10" x14ac:dyDescent="0.25">
      <c r="B860" s="29" t="s">
        <v>956</v>
      </c>
      <c r="C860" s="29" t="s">
        <v>1015</v>
      </c>
      <c r="D860" s="29" t="s">
        <v>19</v>
      </c>
      <c r="E860" s="7">
        <v>45933</v>
      </c>
      <c r="F860" s="29" t="s">
        <v>58</v>
      </c>
      <c r="G860">
        <v>9</v>
      </c>
      <c r="H860">
        <v>1106</v>
      </c>
      <c r="I860" s="29" t="s">
        <v>76</v>
      </c>
      <c r="J860">
        <v>9954</v>
      </c>
    </row>
    <row r="861" spans="2:10" x14ac:dyDescent="0.25">
      <c r="B861" s="29" t="s">
        <v>957</v>
      </c>
      <c r="C861" s="29" t="s">
        <v>1011</v>
      </c>
      <c r="D861" s="29" t="s">
        <v>27</v>
      </c>
      <c r="E861" s="7">
        <v>45861</v>
      </c>
      <c r="F861" s="29" t="s">
        <v>57</v>
      </c>
      <c r="G861">
        <v>10</v>
      </c>
      <c r="H861">
        <v>4334</v>
      </c>
      <c r="I861" s="29" t="s">
        <v>76</v>
      </c>
      <c r="J861">
        <v>43340</v>
      </c>
    </row>
    <row r="862" spans="2:10" x14ac:dyDescent="0.25">
      <c r="B862" s="29" t="s">
        <v>958</v>
      </c>
      <c r="C862" s="29" t="s">
        <v>1018</v>
      </c>
      <c r="D862" s="29" t="s">
        <v>23</v>
      </c>
      <c r="E862" s="7">
        <v>45872</v>
      </c>
      <c r="F862" s="29" t="s">
        <v>57</v>
      </c>
      <c r="G862">
        <v>2</v>
      </c>
      <c r="H862">
        <v>4033</v>
      </c>
      <c r="I862" s="29" t="s">
        <v>76</v>
      </c>
      <c r="J862">
        <v>8066</v>
      </c>
    </row>
    <row r="863" spans="2:10" x14ac:dyDescent="0.25">
      <c r="B863" s="29" t="s">
        <v>959</v>
      </c>
      <c r="C863" s="29" t="s">
        <v>1020</v>
      </c>
      <c r="D863" s="29" t="s">
        <v>23</v>
      </c>
      <c r="E863" s="7">
        <v>45695</v>
      </c>
      <c r="F863" s="29" t="s">
        <v>57</v>
      </c>
      <c r="G863">
        <v>5</v>
      </c>
      <c r="H863">
        <v>4146</v>
      </c>
      <c r="I863" s="29" t="s">
        <v>84</v>
      </c>
      <c r="J863">
        <v>20730</v>
      </c>
    </row>
    <row r="864" spans="2:10" x14ac:dyDescent="0.25">
      <c r="B864" s="29" t="s">
        <v>960</v>
      </c>
      <c r="C864" s="29" t="s">
        <v>1013</v>
      </c>
      <c r="D864" s="29" t="s">
        <v>14</v>
      </c>
      <c r="E864" s="7">
        <v>45727</v>
      </c>
      <c r="F864" s="29" t="s">
        <v>57</v>
      </c>
      <c r="G864">
        <v>2</v>
      </c>
      <c r="H864">
        <v>4959</v>
      </c>
      <c r="I864" s="29" t="s">
        <v>1058</v>
      </c>
      <c r="J864">
        <v>9918</v>
      </c>
    </row>
    <row r="865" spans="2:10" x14ac:dyDescent="0.25">
      <c r="B865" s="29" t="s">
        <v>961</v>
      </c>
      <c r="C865" s="29" t="s">
        <v>1018</v>
      </c>
      <c r="D865" s="29" t="s">
        <v>23</v>
      </c>
      <c r="E865" s="7">
        <v>45812</v>
      </c>
      <c r="F865" s="29" t="s">
        <v>57</v>
      </c>
      <c r="G865">
        <v>1</v>
      </c>
      <c r="H865">
        <v>606</v>
      </c>
      <c r="I865" s="29" t="s">
        <v>76</v>
      </c>
      <c r="J865">
        <v>606</v>
      </c>
    </row>
    <row r="866" spans="2:10" x14ac:dyDescent="0.25">
      <c r="B866" s="29" t="s">
        <v>962</v>
      </c>
      <c r="C866" s="29" t="s">
        <v>1022</v>
      </c>
      <c r="D866" s="29" t="s">
        <v>27</v>
      </c>
      <c r="E866" s="7">
        <v>45810</v>
      </c>
      <c r="F866" s="29" t="s">
        <v>57</v>
      </c>
      <c r="G866">
        <v>2</v>
      </c>
      <c r="H866">
        <v>1490</v>
      </c>
      <c r="I866" s="29" t="s">
        <v>1058</v>
      </c>
      <c r="J866">
        <v>2980</v>
      </c>
    </row>
    <row r="867" spans="2:10" x14ac:dyDescent="0.25">
      <c r="B867" s="29" t="s">
        <v>963</v>
      </c>
      <c r="C867" s="29" t="s">
        <v>1013</v>
      </c>
      <c r="D867" s="29" t="s">
        <v>21</v>
      </c>
      <c r="E867" s="7">
        <v>45845</v>
      </c>
      <c r="F867" s="29" t="s">
        <v>58</v>
      </c>
      <c r="G867">
        <v>7</v>
      </c>
      <c r="H867">
        <v>1902</v>
      </c>
      <c r="I867" s="29" t="s">
        <v>84</v>
      </c>
      <c r="J867">
        <v>13314</v>
      </c>
    </row>
    <row r="868" spans="2:10" x14ac:dyDescent="0.25">
      <c r="B868" s="29" t="s">
        <v>964</v>
      </c>
      <c r="C868" s="29" t="s">
        <v>1014</v>
      </c>
      <c r="D868" s="29" t="s">
        <v>21</v>
      </c>
      <c r="E868" s="7">
        <v>45916</v>
      </c>
      <c r="F868" s="29" t="s">
        <v>58</v>
      </c>
      <c r="G868">
        <v>4</v>
      </c>
      <c r="H868">
        <v>2440</v>
      </c>
      <c r="I868" s="29" t="s">
        <v>1058</v>
      </c>
      <c r="J868">
        <v>9760</v>
      </c>
    </row>
    <row r="869" spans="2:10" x14ac:dyDescent="0.25">
      <c r="B869" s="29" t="s">
        <v>965</v>
      </c>
      <c r="C869" s="29" t="s">
        <v>1005</v>
      </c>
      <c r="D869" s="29" t="s">
        <v>23</v>
      </c>
      <c r="E869" s="7">
        <v>45915</v>
      </c>
      <c r="F869" s="29" t="s">
        <v>57</v>
      </c>
      <c r="G869">
        <v>2</v>
      </c>
      <c r="H869">
        <v>2531</v>
      </c>
      <c r="I869" s="29" t="s">
        <v>1058</v>
      </c>
      <c r="J869">
        <v>5062</v>
      </c>
    </row>
    <row r="870" spans="2:10" x14ac:dyDescent="0.25">
      <c r="B870" s="29" t="s">
        <v>966</v>
      </c>
      <c r="C870" s="29" t="s">
        <v>1011</v>
      </c>
      <c r="D870" s="29" t="s">
        <v>11</v>
      </c>
      <c r="E870" s="7">
        <v>45761</v>
      </c>
      <c r="F870" s="29" t="s">
        <v>58</v>
      </c>
      <c r="G870">
        <v>6</v>
      </c>
      <c r="H870">
        <v>2926</v>
      </c>
      <c r="I870" s="29" t="s">
        <v>84</v>
      </c>
      <c r="J870">
        <v>17556</v>
      </c>
    </row>
    <row r="871" spans="2:10" x14ac:dyDescent="0.25">
      <c r="B871" s="29" t="s">
        <v>967</v>
      </c>
      <c r="C871" s="29" t="s">
        <v>1005</v>
      </c>
      <c r="D871" s="29" t="s">
        <v>21</v>
      </c>
      <c r="E871" s="7">
        <v>45878</v>
      </c>
      <c r="F871" s="29" t="s">
        <v>57</v>
      </c>
      <c r="G871">
        <v>10</v>
      </c>
      <c r="H871">
        <v>3211</v>
      </c>
      <c r="I871" s="29" t="s">
        <v>84</v>
      </c>
      <c r="J871">
        <v>32110</v>
      </c>
    </row>
    <row r="872" spans="2:10" x14ac:dyDescent="0.25">
      <c r="B872" s="29" t="s">
        <v>968</v>
      </c>
      <c r="C872" s="29" t="s">
        <v>1004</v>
      </c>
      <c r="D872" s="29" t="s">
        <v>19</v>
      </c>
      <c r="E872" s="7">
        <v>46012</v>
      </c>
      <c r="F872" s="29" t="s">
        <v>57</v>
      </c>
      <c r="G872">
        <v>6</v>
      </c>
      <c r="H872">
        <v>4291</v>
      </c>
      <c r="I872" s="29" t="s">
        <v>76</v>
      </c>
      <c r="J872">
        <v>25746</v>
      </c>
    </row>
    <row r="873" spans="2:10" x14ac:dyDescent="0.25">
      <c r="B873" s="29" t="s">
        <v>969</v>
      </c>
      <c r="C873" s="29" t="s">
        <v>1018</v>
      </c>
      <c r="D873" s="29" t="s">
        <v>11</v>
      </c>
      <c r="E873" s="7">
        <v>45658</v>
      </c>
      <c r="F873" s="29" t="s">
        <v>58</v>
      </c>
      <c r="G873">
        <v>6</v>
      </c>
      <c r="H873">
        <v>926</v>
      </c>
      <c r="I873" s="29" t="s">
        <v>1058</v>
      </c>
      <c r="J873">
        <v>5556</v>
      </c>
    </row>
    <row r="874" spans="2:10" x14ac:dyDescent="0.25">
      <c r="B874" s="29" t="s">
        <v>970</v>
      </c>
      <c r="C874" s="29" t="s">
        <v>1022</v>
      </c>
      <c r="D874" s="29" t="s">
        <v>14</v>
      </c>
      <c r="E874" s="7">
        <v>45911</v>
      </c>
      <c r="F874" s="29" t="s">
        <v>58</v>
      </c>
      <c r="G874">
        <v>8</v>
      </c>
      <c r="H874">
        <v>4141</v>
      </c>
      <c r="I874" s="29" t="s">
        <v>84</v>
      </c>
      <c r="J874">
        <v>33128</v>
      </c>
    </row>
    <row r="875" spans="2:10" x14ac:dyDescent="0.25">
      <c r="B875" s="29" t="s">
        <v>971</v>
      </c>
      <c r="C875" s="29" t="s">
        <v>1010</v>
      </c>
      <c r="D875" s="29" t="s">
        <v>21</v>
      </c>
      <c r="E875" s="7">
        <v>45701</v>
      </c>
      <c r="F875" s="29" t="s">
        <v>58</v>
      </c>
      <c r="G875">
        <v>8</v>
      </c>
      <c r="H875">
        <v>3868</v>
      </c>
      <c r="I875" s="29" t="s">
        <v>84</v>
      </c>
      <c r="J875">
        <v>30944</v>
      </c>
    </row>
    <row r="876" spans="2:10" x14ac:dyDescent="0.25">
      <c r="B876" s="29" t="s">
        <v>972</v>
      </c>
      <c r="C876" s="29" t="s">
        <v>1022</v>
      </c>
      <c r="D876" s="29" t="s">
        <v>21</v>
      </c>
      <c r="E876" s="7">
        <v>45925</v>
      </c>
      <c r="F876" s="29" t="s">
        <v>58</v>
      </c>
      <c r="G876">
        <v>3</v>
      </c>
      <c r="H876">
        <v>1327</v>
      </c>
      <c r="I876" s="29" t="s">
        <v>1058</v>
      </c>
      <c r="J876">
        <v>3981</v>
      </c>
    </row>
    <row r="877" spans="2:10" x14ac:dyDescent="0.25">
      <c r="B877" s="29" t="s">
        <v>973</v>
      </c>
      <c r="C877" s="29" t="s">
        <v>1018</v>
      </c>
      <c r="D877" s="29" t="s">
        <v>11</v>
      </c>
      <c r="E877" s="7">
        <v>45706</v>
      </c>
      <c r="F877" s="29" t="s">
        <v>58</v>
      </c>
      <c r="G877">
        <v>7</v>
      </c>
      <c r="H877">
        <v>1550</v>
      </c>
      <c r="I877" s="29" t="s">
        <v>1058</v>
      </c>
      <c r="J877">
        <v>10850</v>
      </c>
    </row>
    <row r="878" spans="2:10" x14ac:dyDescent="0.25">
      <c r="B878" s="29" t="s">
        <v>974</v>
      </c>
      <c r="C878" s="29" t="s">
        <v>1004</v>
      </c>
      <c r="D878" s="29" t="s">
        <v>27</v>
      </c>
      <c r="E878" s="7">
        <v>45799</v>
      </c>
      <c r="F878" s="29" t="s">
        <v>57</v>
      </c>
      <c r="G878">
        <v>10</v>
      </c>
      <c r="H878">
        <v>929</v>
      </c>
      <c r="I878" s="29" t="s">
        <v>76</v>
      </c>
      <c r="J878">
        <v>9290</v>
      </c>
    </row>
    <row r="879" spans="2:10" x14ac:dyDescent="0.25">
      <c r="B879" s="29" t="s">
        <v>975</v>
      </c>
      <c r="C879" s="29" t="s">
        <v>1009</v>
      </c>
      <c r="D879" s="29" t="s">
        <v>19</v>
      </c>
      <c r="E879" s="7">
        <v>45922</v>
      </c>
      <c r="F879" s="29" t="s">
        <v>58</v>
      </c>
      <c r="G879">
        <v>4</v>
      </c>
      <c r="H879">
        <v>4653</v>
      </c>
      <c r="I879" s="29" t="s">
        <v>84</v>
      </c>
      <c r="J879">
        <v>18612</v>
      </c>
    </row>
    <row r="880" spans="2:10" x14ac:dyDescent="0.25">
      <c r="B880" s="29" t="s">
        <v>976</v>
      </c>
      <c r="C880" s="29" t="s">
        <v>1016</v>
      </c>
      <c r="D880" s="29" t="s">
        <v>27</v>
      </c>
      <c r="E880" s="7">
        <v>45809</v>
      </c>
      <c r="F880" s="29" t="s">
        <v>58</v>
      </c>
      <c r="G880">
        <v>7</v>
      </c>
      <c r="H880">
        <v>4290</v>
      </c>
      <c r="I880" s="29" t="s">
        <v>1058</v>
      </c>
      <c r="J880">
        <v>30030</v>
      </c>
    </row>
    <row r="881" spans="2:10" x14ac:dyDescent="0.25">
      <c r="B881" s="29" t="s">
        <v>977</v>
      </c>
      <c r="C881" s="29" t="s">
        <v>1008</v>
      </c>
      <c r="D881" s="29" t="s">
        <v>21</v>
      </c>
      <c r="E881" s="7">
        <v>45850</v>
      </c>
      <c r="F881" s="29" t="s">
        <v>57</v>
      </c>
      <c r="G881">
        <v>6</v>
      </c>
      <c r="H881">
        <v>200</v>
      </c>
      <c r="I881" s="29" t="s">
        <v>76</v>
      </c>
      <c r="J881">
        <v>1200</v>
      </c>
    </row>
    <row r="882" spans="2:10" x14ac:dyDescent="0.25">
      <c r="B882" s="29" t="s">
        <v>978</v>
      </c>
      <c r="C882" s="29" t="s">
        <v>1009</v>
      </c>
      <c r="D882" s="29" t="s">
        <v>11</v>
      </c>
      <c r="E882" s="7">
        <v>46011</v>
      </c>
      <c r="F882" s="29" t="s">
        <v>58</v>
      </c>
      <c r="G882">
        <v>5</v>
      </c>
      <c r="H882">
        <v>4033</v>
      </c>
      <c r="I882" s="29" t="s">
        <v>84</v>
      </c>
      <c r="J882">
        <v>20165</v>
      </c>
    </row>
    <row r="883" spans="2:10" x14ac:dyDescent="0.25">
      <c r="B883" s="29" t="s">
        <v>979</v>
      </c>
      <c r="C883" s="29" t="s">
        <v>1013</v>
      </c>
      <c r="D883" s="29" t="s">
        <v>21</v>
      </c>
      <c r="E883" s="7">
        <v>45969</v>
      </c>
      <c r="F883" s="29" t="s">
        <v>58</v>
      </c>
      <c r="G883">
        <v>10</v>
      </c>
      <c r="H883">
        <v>1364</v>
      </c>
      <c r="I883" s="29" t="s">
        <v>76</v>
      </c>
      <c r="J883">
        <v>13640</v>
      </c>
    </row>
    <row r="884" spans="2:10" x14ac:dyDescent="0.25">
      <c r="B884" s="29" t="s">
        <v>980</v>
      </c>
      <c r="C884" s="29" t="s">
        <v>1008</v>
      </c>
      <c r="D884" s="29" t="s">
        <v>11</v>
      </c>
      <c r="E884" s="7">
        <v>45998</v>
      </c>
      <c r="F884" s="29" t="s">
        <v>57</v>
      </c>
      <c r="G884">
        <v>10</v>
      </c>
      <c r="H884">
        <v>3994</v>
      </c>
      <c r="I884" s="29" t="s">
        <v>84</v>
      </c>
      <c r="J884">
        <v>39940</v>
      </c>
    </row>
    <row r="885" spans="2:10" x14ac:dyDescent="0.25">
      <c r="B885" s="29" t="s">
        <v>981</v>
      </c>
      <c r="C885" s="29" t="s">
        <v>1018</v>
      </c>
      <c r="D885" s="29" t="s">
        <v>21</v>
      </c>
      <c r="E885" s="7">
        <v>45667</v>
      </c>
      <c r="F885" s="29" t="s">
        <v>57</v>
      </c>
      <c r="G885">
        <v>7</v>
      </c>
      <c r="H885">
        <v>2637</v>
      </c>
      <c r="I885" s="29" t="s">
        <v>84</v>
      </c>
      <c r="J885">
        <v>18459</v>
      </c>
    </row>
    <row r="886" spans="2:10" x14ac:dyDescent="0.25">
      <c r="B886" s="29" t="s">
        <v>982</v>
      </c>
      <c r="C886" s="29" t="s">
        <v>1014</v>
      </c>
      <c r="D886" s="29" t="s">
        <v>21</v>
      </c>
      <c r="E886" s="7">
        <v>45664</v>
      </c>
      <c r="F886" s="29" t="s">
        <v>58</v>
      </c>
      <c r="G886">
        <v>7</v>
      </c>
      <c r="H886">
        <v>4269</v>
      </c>
      <c r="I886" s="29" t="s">
        <v>1058</v>
      </c>
      <c r="J886">
        <v>29883</v>
      </c>
    </row>
    <row r="887" spans="2:10" x14ac:dyDescent="0.25">
      <c r="B887" s="29" t="s">
        <v>983</v>
      </c>
      <c r="C887" s="29" t="s">
        <v>1013</v>
      </c>
      <c r="D887" s="29" t="s">
        <v>14</v>
      </c>
      <c r="E887" s="7">
        <v>45865</v>
      </c>
      <c r="F887" s="29" t="s">
        <v>58</v>
      </c>
      <c r="G887">
        <v>9</v>
      </c>
      <c r="H887">
        <v>4739</v>
      </c>
      <c r="I887" s="29" t="s">
        <v>76</v>
      </c>
      <c r="J887">
        <v>42651</v>
      </c>
    </row>
    <row r="888" spans="2:10" x14ac:dyDescent="0.25">
      <c r="B888" s="29" t="s">
        <v>984</v>
      </c>
      <c r="C888" s="29" t="s">
        <v>1019</v>
      </c>
      <c r="D888" s="29" t="s">
        <v>21</v>
      </c>
      <c r="E888" s="7">
        <v>45976</v>
      </c>
      <c r="F888" s="29" t="s">
        <v>57</v>
      </c>
      <c r="G888">
        <v>6</v>
      </c>
      <c r="H888">
        <v>1219</v>
      </c>
      <c r="I888" s="29" t="s">
        <v>84</v>
      </c>
      <c r="J888">
        <v>7314</v>
      </c>
    </row>
    <row r="889" spans="2:10" x14ac:dyDescent="0.25">
      <c r="B889" s="29" t="s">
        <v>985</v>
      </c>
      <c r="C889" s="29" t="s">
        <v>1004</v>
      </c>
      <c r="D889" s="29" t="s">
        <v>27</v>
      </c>
      <c r="E889" s="7">
        <v>45703</v>
      </c>
      <c r="F889" s="29" t="s">
        <v>57</v>
      </c>
      <c r="G889">
        <v>2</v>
      </c>
      <c r="H889">
        <v>4655</v>
      </c>
      <c r="I889" s="29" t="s">
        <v>84</v>
      </c>
      <c r="J889">
        <v>9310</v>
      </c>
    </row>
    <row r="890" spans="2:10" x14ac:dyDescent="0.25">
      <c r="B890" s="29" t="s">
        <v>986</v>
      </c>
      <c r="C890" s="29" t="s">
        <v>1016</v>
      </c>
      <c r="D890" s="29" t="s">
        <v>27</v>
      </c>
      <c r="E890" s="7">
        <v>45786</v>
      </c>
      <c r="F890" s="29" t="s">
        <v>58</v>
      </c>
      <c r="G890">
        <v>7</v>
      </c>
      <c r="H890">
        <v>2414</v>
      </c>
      <c r="I890" s="29" t="s">
        <v>84</v>
      </c>
      <c r="J890">
        <v>16898</v>
      </c>
    </row>
    <row r="891" spans="2:10" x14ac:dyDescent="0.25">
      <c r="B891" s="29" t="s">
        <v>987</v>
      </c>
      <c r="C891" s="29" t="s">
        <v>1016</v>
      </c>
      <c r="D891" s="29" t="s">
        <v>23</v>
      </c>
      <c r="E891" s="7">
        <v>45712</v>
      </c>
      <c r="F891" s="29" t="s">
        <v>58</v>
      </c>
      <c r="G891">
        <v>3</v>
      </c>
      <c r="H891">
        <v>615</v>
      </c>
      <c r="I891" s="29" t="s">
        <v>1058</v>
      </c>
      <c r="J891">
        <v>1845</v>
      </c>
    </row>
    <row r="892" spans="2:10" x14ac:dyDescent="0.25">
      <c r="B892" s="29" t="s">
        <v>988</v>
      </c>
      <c r="C892" s="29" t="s">
        <v>1022</v>
      </c>
      <c r="D892" s="29" t="s">
        <v>23</v>
      </c>
      <c r="E892" s="7">
        <v>45957</v>
      </c>
      <c r="F892" s="29" t="s">
        <v>57</v>
      </c>
      <c r="G892">
        <v>7</v>
      </c>
      <c r="H892">
        <v>1724</v>
      </c>
      <c r="I892" s="29" t="s">
        <v>76</v>
      </c>
      <c r="J892">
        <v>12068</v>
      </c>
    </row>
    <row r="893" spans="2:10" x14ac:dyDescent="0.25">
      <c r="B893" s="29" t="s">
        <v>989</v>
      </c>
      <c r="C893" s="29" t="s">
        <v>1020</v>
      </c>
      <c r="D893" s="29" t="s">
        <v>11</v>
      </c>
      <c r="E893" s="7">
        <v>45895</v>
      </c>
      <c r="F893" s="29" t="s">
        <v>58</v>
      </c>
      <c r="G893">
        <v>4</v>
      </c>
      <c r="H893">
        <v>2055</v>
      </c>
      <c r="I893" s="29" t="s">
        <v>76</v>
      </c>
      <c r="J893">
        <v>8220</v>
      </c>
    </row>
    <row r="894" spans="2:10" x14ac:dyDescent="0.25">
      <c r="B894" s="29" t="s">
        <v>990</v>
      </c>
      <c r="C894" s="29" t="s">
        <v>1007</v>
      </c>
      <c r="D894" s="29" t="s">
        <v>14</v>
      </c>
      <c r="E894" s="7">
        <v>45871</v>
      </c>
      <c r="F894" s="29" t="s">
        <v>58</v>
      </c>
      <c r="G894">
        <v>10</v>
      </c>
      <c r="H894">
        <v>4227</v>
      </c>
      <c r="I894" s="29" t="s">
        <v>76</v>
      </c>
      <c r="J894">
        <v>42270</v>
      </c>
    </row>
    <row r="895" spans="2:10" x14ac:dyDescent="0.25">
      <c r="B895" s="29" t="s">
        <v>991</v>
      </c>
      <c r="C895" s="29" t="s">
        <v>1011</v>
      </c>
      <c r="D895" s="29" t="s">
        <v>17</v>
      </c>
      <c r="E895" s="7">
        <v>45778</v>
      </c>
      <c r="F895" s="29" t="s">
        <v>58</v>
      </c>
      <c r="G895">
        <v>7</v>
      </c>
      <c r="H895">
        <v>4713</v>
      </c>
      <c r="I895" s="29" t="s">
        <v>1058</v>
      </c>
      <c r="J895">
        <v>32991</v>
      </c>
    </row>
    <row r="896" spans="2:10" x14ac:dyDescent="0.25">
      <c r="B896" s="29" t="s">
        <v>992</v>
      </c>
      <c r="C896" s="29" t="s">
        <v>1016</v>
      </c>
      <c r="D896" s="29" t="s">
        <v>11</v>
      </c>
      <c r="E896" s="7">
        <v>45823</v>
      </c>
      <c r="F896" s="29" t="s">
        <v>57</v>
      </c>
      <c r="G896">
        <v>6</v>
      </c>
      <c r="H896">
        <v>1305</v>
      </c>
      <c r="I896" s="29" t="s">
        <v>84</v>
      </c>
      <c r="J896">
        <v>7830</v>
      </c>
    </row>
    <row r="897" spans="2:10" x14ac:dyDescent="0.25">
      <c r="B897" s="29" t="s">
        <v>993</v>
      </c>
      <c r="C897" s="29" t="s">
        <v>1008</v>
      </c>
      <c r="D897" s="29" t="s">
        <v>11</v>
      </c>
      <c r="E897" s="7">
        <v>45675</v>
      </c>
      <c r="F897" s="29" t="s">
        <v>57</v>
      </c>
      <c r="G897">
        <v>7</v>
      </c>
      <c r="H897">
        <v>593</v>
      </c>
      <c r="I897" s="29" t="s">
        <v>1058</v>
      </c>
      <c r="J897">
        <v>4151</v>
      </c>
    </row>
    <row r="898" spans="2:10" x14ac:dyDescent="0.25">
      <c r="B898" s="29" t="s">
        <v>994</v>
      </c>
      <c r="C898" s="29" t="s">
        <v>1019</v>
      </c>
      <c r="D898" s="29" t="s">
        <v>27</v>
      </c>
      <c r="E898" s="7">
        <v>45790</v>
      </c>
      <c r="F898" s="29" t="s">
        <v>58</v>
      </c>
      <c r="G898">
        <v>6</v>
      </c>
      <c r="H898">
        <v>526</v>
      </c>
      <c r="I898" s="29" t="s">
        <v>1058</v>
      </c>
      <c r="J898">
        <v>3156</v>
      </c>
    </row>
    <row r="899" spans="2:10" x14ac:dyDescent="0.25">
      <c r="B899" s="29" t="s">
        <v>995</v>
      </c>
      <c r="C899" s="29" t="s">
        <v>1017</v>
      </c>
      <c r="D899" s="29" t="s">
        <v>19</v>
      </c>
      <c r="E899" s="7">
        <v>45975</v>
      </c>
      <c r="F899" s="29" t="s">
        <v>58</v>
      </c>
      <c r="G899">
        <v>2</v>
      </c>
      <c r="H899">
        <v>2868</v>
      </c>
      <c r="I899" s="29" t="s">
        <v>84</v>
      </c>
      <c r="J899">
        <v>5736</v>
      </c>
    </row>
    <row r="900" spans="2:10" x14ac:dyDescent="0.25">
      <c r="B900" s="29" t="s">
        <v>996</v>
      </c>
      <c r="C900" s="29" t="s">
        <v>1005</v>
      </c>
      <c r="D900" s="29" t="s">
        <v>17</v>
      </c>
      <c r="E900" s="7">
        <v>45815</v>
      </c>
      <c r="F900" s="29" t="s">
        <v>58</v>
      </c>
      <c r="G900">
        <v>6</v>
      </c>
      <c r="H900">
        <v>742</v>
      </c>
      <c r="I900" s="29" t="s">
        <v>1058</v>
      </c>
      <c r="J900">
        <v>4452</v>
      </c>
    </row>
    <row r="901" spans="2:10" x14ac:dyDescent="0.25">
      <c r="B901" s="29" t="s">
        <v>997</v>
      </c>
      <c r="C901" s="29" t="s">
        <v>1006</v>
      </c>
      <c r="D901" s="29" t="s">
        <v>21</v>
      </c>
      <c r="E901" s="7">
        <v>45734</v>
      </c>
      <c r="F901" s="29" t="s">
        <v>57</v>
      </c>
      <c r="G901">
        <v>2</v>
      </c>
      <c r="H901">
        <v>1049</v>
      </c>
      <c r="I901" s="29" t="s">
        <v>84</v>
      </c>
      <c r="J901">
        <v>2098</v>
      </c>
    </row>
    <row r="902" spans="2:10" x14ac:dyDescent="0.25">
      <c r="B902" s="29" t="s">
        <v>998</v>
      </c>
      <c r="C902" s="29" t="s">
        <v>1021</v>
      </c>
      <c r="D902" s="29" t="s">
        <v>11</v>
      </c>
      <c r="E902" s="7">
        <v>45762</v>
      </c>
      <c r="F902" s="29" t="s">
        <v>58</v>
      </c>
      <c r="G902">
        <v>1</v>
      </c>
      <c r="H902">
        <v>2051</v>
      </c>
      <c r="I902" s="29" t="s">
        <v>76</v>
      </c>
      <c r="J902">
        <v>2051</v>
      </c>
    </row>
    <row r="903" spans="2:10" x14ac:dyDescent="0.25">
      <c r="B903" s="29" t="s">
        <v>999</v>
      </c>
      <c r="C903" s="29" t="s">
        <v>1018</v>
      </c>
      <c r="D903" s="29" t="s">
        <v>27</v>
      </c>
      <c r="E903" s="7">
        <v>45816</v>
      </c>
      <c r="F903" s="29" t="s">
        <v>58</v>
      </c>
      <c r="G903">
        <v>1</v>
      </c>
      <c r="H903">
        <v>839</v>
      </c>
      <c r="I903" s="29" t="s">
        <v>1058</v>
      </c>
      <c r="J903">
        <v>839</v>
      </c>
    </row>
    <row r="904" spans="2:10" x14ac:dyDescent="0.25">
      <c r="B904" s="29" t="s">
        <v>1000</v>
      </c>
      <c r="C904" s="29" t="s">
        <v>1021</v>
      </c>
      <c r="D904" s="29" t="s">
        <v>17</v>
      </c>
      <c r="E904" s="7">
        <v>45814</v>
      </c>
      <c r="F904" s="29" t="s">
        <v>58</v>
      </c>
      <c r="G904">
        <v>10</v>
      </c>
      <c r="H904">
        <v>813</v>
      </c>
      <c r="I904" s="29" t="s">
        <v>84</v>
      </c>
      <c r="J904">
        <v>8130</v>
      </c>
    </row>
    <row r="905" spans="2:10" x14ac:dyDescent="0.25">
      <c r="B905" s="29" t="s">
        <v>1001</v>
      </c>
      <c r="C905" s="29" t="s">
        <v>1019</v>
      </c>
      <c r="D905" s="29" t="s">
        <v>17</v>
      </c>
      <c r="E905" s="7">
        <v>45897</v>
      </c>
      <c r="F905" s="29" t="s">
        <v>58</v>
      </c>
      <c r="G905">
        <v>3</v>
      </c>
      <c r="H905">
        <v>4202</v>
      </c>
      <c r="I905" s="29" t="s">
        <v>84</v>
      </c>
      <c r="J905">
        <v>12606</v>
      </c>
    </row>
    <row r="906" spans="2:10" x14ac:dyDescent="0.25">
      <c r="B906" s="29" t="s">
        <v>1002</v>
      </c>
      <c r="C906" s="29" t="s">
        <v>1019</v>
      </c>
      <c r="D906" s="29" t="s">
        <v>19</v>
      </c>
      <c r="E906" s="7">
        <v>45667</v>
      </c>
      <c r="F906" s="29" t="s">
        <v>58</v>
      </c>
      <c r="G906">
        <v>5</v>
      </c>
      <c r="H906">
        <v>4598</v>
      </c>
      <c r="I906" s="29" t="s">
        <v>76</v>
      </c>
      <c r="J906">
        <v>22990</v>
      </c>
    </row>
    <row r="907" spans="2:10" x14ac:dyDescent="0.25">
      <c r="B907" s="29" t="s">
        <v>1023</v>
      </c>
      <c r="C907" s="29" t="s">
        <v>9</v>
      </c>
      <c r="D907" s="29" t="s">
        <v>23</v>
      </c>
      <c r="E907" s="7">
        <v>45981</v>
      </c>
      <c r="F907" s="29" t="s">
        <v>59</v>
      </c>
      <c r="G907">
        <v>10</v>
      </c>
      <c r="H907">
        <v>3291</v>
      </c>
      <c r="I907" s="29" t="s">
        <v>84</v>
      </c>
      <c r="J907">
        <v>32910</v>
      </c>
    </row>
    <row r="908" spans="2:10" x14ac:dyDescent="0.25">
      <c r="B908" s="29" t="s">
        <v>1025</v>
      </c>
      <c r="C908" s="29" t="s">
        <v>10</v>
      </c>
      <c r="D908" s="29" t="s">
        <v>11</v>
      </c>
      <c r="E908" s="7">
        <v>45701</v>
      </c>
      <c r="F908" s="29" t="s">
        <v>59</v>
      </c>
      <c r="G908">
        <v>7</v>
      </c>
      <c r="H908">
        <v>4654</v>
      </c>
      <c r="I908" s="29" t="s">
        <v>1058</v>
      </c>
      <c r="J908">
        <v>32578</v>
      </c>
    </row>
    <row r="909" spans="2:10" x14ac:dyDescent="0.25">
      <c r="B909" s="29" t="s">
        <v>1027</v>
      </c>
      <c r="C909" s="29" t="s">
        <v>13</v>
      </c>
      <c r="D909" s="29" t="s">
        <v>23</v>
      </c>
      <c r="E909" s="7">
        <v>45666</v>
      </c>
      <c r="F909" s="29" t="s">
        <v>59</v>
      </c>
      <c r="G909">
        <v>7</v>
      </c>
      <c r="H909">
        <v>3877</v>
      </c>
      <c r="I909" s="29" t="s">
        <v>1118</v>
      </c>
      <c r="J909">
        <v>27139</v>
      </c>
    </row>
    <row r="910" spans="2:10" x14ac:dyDescent="0.25">
      <c r="B910" s="29" t="s">
        <v>1029</v>
      </c>
      <c r="C910" s="29" t="s">
        <v>14</v>
      </c>
      <c r="D910" s="29" t="s">
        <v>21</v>
      </c>
      <c r="E910" s="7">
        <v>45677</v>
      </c>
      <c r="F910" s="29" t="s">
        <v>59</v>
      </c>
      <c r="G910">
        <v>4</v>
      </c>
      <c r="H910">
        <v>4825</v>
      </c>
      <c r="I910" s="29" t="s">
        <v>1118</v>
      </c>
      <c r="J910">
        <v>19300</v>
      </c>
    </row>
    <row r="911" spans="2:10" x14ac:dyDescent="0.25">
      <c r="B911" s="29" t="s">
        <v>1030</v>
      </c>
      <c r="C911" s="29" t="s">
        <v>12</v>
      </c>
      <c r="D911" s="29" t="s">
        <v>11</v>
      </c>
      <c r="E911" s="7">
        <v>45980</v>
      </c>
      <c r="F911" s="29" t="s">
        <v>59</v>
      </c>
      <c r="G911">
        <v>5</v>
      </c>
      <c r="H911">
        <v>234</v>
      </c>
      <c r="I911" s="29" t="s">
        <v>1058</v>
      </c>
      <c r="J911">
        <v>1170</v>
      </c>
    </row>
    <row r="912" spans="2:10" x14ac:dyDescent="0.25">
      <c r="B912" s="29" t="s">
        <v>1031</v>
      </c>
      <c r="C912" s="29" t="s">
        <v>17</v>
      </c>
      <c r="D912" s="29" t="s">
        <v>14</v>
      </c>
      <c r="E912" s="7">
        <v>45780</v>
      </c>
      <c r="F912" s="29" t="s">
        <v>59</v>
      </c>
      <c r="G912">
        <v>3</v>
      </c>
      <c r="H912">
        <v>4085</v>
      </c>
      <c r="I912" s="29" t="s">
        <v>1118</v>
      </c>
      <c r="J912">
        <v>12255</v>
      </c>
    </row>
    <row r="913" spans="2:10" x14ac:dyDescent="0.25">
      <c r="B913" s="29" t="s">
        <v>1032</v>
      </c>
      <c r="C913" s="29" t="s">
        <v>11</v>
      </c>
      <c r="D913" s="29" t="s">
        <v>21</v>
      </c>
      <c r="E913" s="7">
        <v>45667</v>
      </c>
      <c r="F913" s="29" t="s">
        <v>59</v>
      </c>
      <c r="G913">
        <v>1</v>
      </c>
      <c r="H913">
        <v>4288</v>
      </c>
      <c r="I913" s="29" t="s">
        <v>84</v>
      </c>
      <c r="J913">
        <v>4288</v>
      </c>
    </row>
    <row r="914" spans="2:10" x14ac:dyDescent="0.25">
      <c r="B914" s="29" t="s">
        <v>1033</v>
      </c>
      <c r="C914" s="29" t="s">
        <v>16</v>
      </c>
      <c r="D914" s="29" t="s">
        <v>14</v>
      </c>
      <c r="E914" s="7">
        <v>45737</v>
      </c>
      <c r="F914" s="29" t="s">
        <v>59</v>
      </c>
      <c r="G914">
        <v>8</v>
      </c>
      <c r="H914">
        <v>39</v>
      </c>
      <c r="I914" s="29" t="s">
        <v>1118</v>
      </c>
      <c r="J914">
        <v>312</v>
      </c>
    </row>
    <row r="915" spans="2:10" x14ac:dyDescent="0.25">
      <c r="B915" s="29" t="s">
        <v>1034</v>
      </c>
      <c r="C915" s="29" t="s">
        <v>17</v>
      </c>
      <c r="D915" s="29" t="s">
        <v>11</v>
      </c>
      <c r="E915" s="7">
        <v>45932</v>
      </c>
      <c r="F915" s="29" t="s">
        <v>59</v>
      </c>
      <c r="G915">
        <v>3</v>
      </c>
      <c r="H915">
        <v>4308</v>
      </c>
      <c r="I915" s="29" t="s">
        <v>1058</v>
      </c>
      <c r="J915">
        <v>12924</v>
      </c>
    </row>
    <row r="916" spans="2:10" x14ac:dyDescent="0.25">
      <c r="B916" s="29" t="s">
        <v>1035</v>
      </c>
      <c r="C916" s="29" t="s">
        <v>18</v>
      </c>
      <c r="D916" s="29" t="s">
        <v>17</v>
      </c>
      <c r="E916" s="7">
        <v>45901</v>
      </c>
      <c r="F916" s="29" t="s">
        <v>59</v>
      </c>
      <c r="G916">
        <v>1</v>
      </c>
      <c r="H916">
        <v>1503</v>
      </c>
      <c r="I916" s="29" t="s">
        <v>1118</v>
      </c>
      <c r="J916">
        <v>1503</v>
      </c>
    </row>
    <row r="917" spans="2:10" x14ac:dyDescent="0.25">
      <c r="B917" s="29" t="s">
        <v>1036</v>
      </c>
      <c r="C917" s="29" t="s">
        <v>18</v>
      </c>
      <c r="D917" s="29" t="s">
        <v>27</v>
      </c>
      <c r="E917" s="7">
        <v>45801</v>
      </c>
      <c r="F917" s="29" t="s">
        <v>59</v>
      </c>
      <c r="G917">
        <v>10</v>
      </c>
      <c r="H917">
        <v>4750</v>
      </c>
      <c r="I917" s="29" t="s">
        <v>1058</v>
      </c>
      <c r="J917">
        <v>47500</v>
      </c>
    </row>
    <row r="918" spans="2:10" x14ac:dyDescent="0.25">
      <c r="B918" s="29" t="s">
        <v>1037</v>
      </c>
      <c r="C918" s="29" t="s">
        <v>14</v>
      </c>
      <c r="D918" s="29" t="s">
        <v>17</v>
      </c>
      <c r="E918" s="7">
        <v>45733</v>
      </c>
      <c r="F918" s="29" t="s">
        <v>59</v>
      </c>
      <c r="G918">
        <v>1</v>
      </c>
      <c r="H918">
        <v>3592</v>
      </c>
      <c r="I918" s="29" t="s">
        <v>1118</v>
      </c>
      <c r="J918">
        <v>3592</v>
      </c>
    </row>
    <row r="919" spans="2:10" x14ac:dyDescent="0.25">
      <c r="B919" s="29" t="s">
        <v>1038</v>
      </c>
      <c r="C919" s="29" t="s">
        <v>17</v>
      </c>
      <c r="D919" s="29" t="s">
        <v>21</v>
      </c>
      <c r="E919" s="7">
        <v>45773</v>
      </c>
      <c r="F919" s="29" t="s">
        <v>59</v>
      </c>
      <c r="G919">
        <v>6</v>
      </c>
      <c r="H919">
        <v>1351</v>
      </c>
      <c r="I919" s="29" t="s">
        <v>1058</v>
      </c>
      <c r="J919">
        <v>8106</v>
      </c>
    </row>
    <row r="920" spans="2:10" x14ac:dyDescent="0.25">
      <c r="B920" s="29" t="s">
        <v>1039</v>
      </c>
      <c r="C920" s="29" t="s">
        <v>17</v>
      </c>
      <c r="D920" s="29" t="s">
        <v>17</v>
      </c>
      <c r="E920" s="7">
        <v>45847</v>
      </c>
      <c r="F920" s="29" t="s">
        <v>59</v>
      </c>
      <c r="G920">
        <v>4</v>
      </c>
      <c r="H920">
        <v>2668</v>
      </c>
      <c r="I920" s="29" t="s">
        <v>1058</v>
      </c>
      <c r="J920">
        <v>10672</v>
      </c>
    </row>
    <row r="921" spans="2:10" x14ac:dyDescent="0.25">
      <c r="B921" s="29" t="s">
        <v>1040</v>
      </c>
      <c r="C921" s="29" t="s">
        <v>18</v>
      </c>
      <c r="D921" s="29" t="s">
        <v>23</v>
      </c>
      <c r="E921" s="7">
        <v>45860</v>
      </c>
      <c r="F921" s="29" t="s">
        <v>59</v>
      </c>
      <c r="G921">
        <v>6</v>
      </c>
      <c r="H921">
        <v>1058</v>
      </c>
      <c r="I921" s="29" t="s">
        <v>1118</v>
      </c>
      <c r="J921">
        <v>6348</v>
      </c>
    </row>
    <row r="922" spans="2:10" x14ac:dyDescent="0.25">
      <c r="B922" s="29" t="s">
        <v>1041</v>
      </c>
      <c r="C922" s="29" t="s">
        <v>12</v>
      </c>
      <c r="D922" s="29" t="s">
        <v>21</v>
      </c>
      <c r="E922" s="7">
        <v>45908</v>
      </c>
      <c r="F922" s="29" t="s">
        <v>59</v>
      </c>
      <c r="G922">
        <v>5</v>
      </c>
      <c r="H922">
        <v>1319</v>
      </c>
      <c r="I922" s="29" t="s">
        <v>1118</v>
      </c>
      <c r="J922">
        <v>6595</v>
      </c>
    </row>
    <row r="923" spans="2:10" x14ac:dyDescent="0.25">
      <c r="B923" s="29" t="s">
        <v>1042</v>
      </c>
      <c r="C923" s="29" t="s">
        <v>17</v>
      </c>
      <c r="D923" s="29" t="s">
        <v>21</v>
      </c>
      <c r="E923" s="7">
        <v>45695</v>
      </c>
      <c r="F923" s="29" t="s">
        <v>59</v>
      </c>
      <c r="G923">
        <v>7</v>
      </c>
      <c r="H923">
        <v>2101</v>
      </c>
      <c r="I923" s="29" t="s">
        <v>84</v>
      </c>
      <c r="J923">
        <v>14707</v>
      </c>
    </row>
    <row r="924" spans="2:10" x14ac:dyDescent="0.25">
      <c r="B924" s="29" t="s">
        <v>1043</v>
      </c>
      <c r="C924" s="29" t="s">
        <v>18</v>
      </c>
      <c r="D924" s="29" t="s">
        <v>11</v>
      </c>
      <c r="E924" s="7">
        <v>45956</v>
      </c>
      <c r="F924" s="29" t="s">
        <v>59</v>
      </c>
      <c r="G924">
        <v>5</v>
      </c>
      <c r="H924">
        <v>3377</v>
      </c>
      <c r="I924" s="29" t="s">
        <v>1118</v>
      </c>
      <c r="J924">
        <v>16885</v>
      </c>
    </row>
    <row r="925" spans="2:10" x14ac:dyDescent="0.25">
      <c r="B925" s="29" t="s">
        <v>1044</v>
      </c>
      <c r="C925" s="29" t="s">
        <v>14</v>
      </c>
      <c r="D925" s="29" t="s">
        <v>27</v>
      </c>
      <c r="E925" s="7">
        <v>45754</v>
      </c>
      <c r="F925" s="29" t="s">
        <v>59</v>
      </c>
      <c r="G925">
        <v>1</v>
      </c>
      <c r="H925">
        <v>3954</v>
      </c>
      <c r="I925" s="29" t="s">
        <v>1058</v>
      </c>
      <c r="J925">
        <v>3954</v>
      </c>
    </row>
    <row r="926" spans="2:10" x14ac:dyDescent="0.25">
      <c r="B926" s="29" t="s">
        <v>1045</v>
      </c>
      <c r="C926" s="29" t="s">
        <v>14</v>
      </c>
      <c r="D926" s="29" t="s">
        <v>14</v>
      </c>
      <c r="E926" s="7">
        <v>45772</v>
      </c>
      <c r="F926" s="29" t="s">
        <v>59</v>
      </c>
      <c r="G926">
        <v>3</v>
      </c>
      <c r="H926">
        <v>3959</v>
      </c>
      <c r="I926" s="29" t="s">
        <v>84</v>
      </c>
      <c r="J926">
        <v>11877</v>
      </c>
    </row>
    <row r="927" spans="2:10" x14ac:dyDescent="0.25">
      <c r="B927" s="29" t="s">
        <v>1046</v>
      </c>
      <c r="C927" s="29" t="s">
        <v>10</v>
      </c>
      <c r="D927" s="29" t="s">
        <v>21</v>
      </c>
      <c r="E927" s="7">
        <v>45932</v>
      </c>
      <c r="F927" s="29" t="s">
        <v>59</v>
      </c>
      <c r="G927">
        <v>10</v>
      </c>
      <c r="H927">
        <v>2356</v>
      </c>
      <c r="I927" s="29" t="s">
        <v>1058</v>
      </c>
      <c r="J927">
        <v>23560</v>
      </c>
    </row>
    <row r="928" spans="2:10" x14ac:dyDescent="0.25">
      <c r="B928" s="29" t="s">
        <v>1047</v>
      </c>
      <c r="C928" s="29" t="s">
        <v>14</v>
      </c>
      <c r="D928" s="29" t="s">
        <v>14</v>
      </c>
      <c r="E928" s="7">
        <v>46018</v>
      </c>
      <c r="F928" s="29" t="s">
        <v>59</v>
      </c>
      <c r="G928">
        <v>7</v>
      </c>
      <c r="H928">
        <v>4408</v>
      </c>
      <c r="I928" s="29" t="s">
        <v>84</v>
      </c>
      <c r="J928">
        <v>30856</v>
      </c>
    </row>
    <row r="929" spans="2:10" x14ac:dyDescent="0.25">
      <c r="B929" s="29" t="s">
        <v>1048</v>
      </c>
      <c r="C929" s="29" t="s">
        <v>10</v>
      </c>
      <c r="D929" s="29" t="s">
        <v>11</v>
      </c>
      <c r="E929" s="7">
        <v>45783</v>
      </c>
      <c r="F929" s="29" t="s">
        <v>59</v>
      </c>
      <c r="G929">
        <v>9</v>
      </c>
      <c r="H929">
        <v>4253</v>
      </c>
      <c r="I929" s="29" t="s">
        <v>1118</v>
      </c>
      <c r="J929">
        <v>38277</v>
      </c>
    </row>
    <row r="930" spans="2:10" x14ac:dyDescent="0.25">
      <c r="B930" s="29" t="s">
        <v>1049</v>
      </c>
      <c r="C930" s="29" t="s">
        <v>14</v>
      </c>
      <c r="D930" s="29" t="s">
        <v>19</v>
      </c>
      <c r="E930" s="7">
        <v>45910</v>
      </c>
      <c r="F930" s="29" t="s">
        <v>59</v>
      </c>
      <c r="G930">
        <v>8</v>
      </c>
      <c r="H930">
        <v>2330</v>
      </c>
      <c r="I930" s="29" t="s">
        <v>1058</v>
      </c>
      <c r="J930">
        <v>18640</v>
      </c>
    </row>
    <row r="931" spans="2:10" x14ac:dyDescent="0.25">
      <c r="B931" s="29" t="s">
        <v>1050</v>
      </c>
      <c r="C931" s="29" t="s">
        <v>12</v>
      </c>
      <c r="D931" s="29" t="s">
        <v>19</v>
      </c>
      <c r="E931" s="7">
        <v>45669</v>
      </c>
      <c r="F931" s="29" t="s">
        <v>59</v>
      </c>
      <c r="G931">
        <v>7</v>
      </c>
      <c r="H931">
        <v>2894</v>
      </c>
      <c r="I931" s="29" t="s">
        <v>1118</v>
      </c>
      <c r="J931">
        <v>20258</v>
      </c>
    </row>
    <row r="932" spans="2:10" x14ac:dyDescent="0.25">
      <c r="B932" s="29" t="s">
        <v>1051</v>
      </c>
      <c r="C932" s="29" t="s">
        <v>11</v>
      </c>
      <c r="D932" s="29" t="s">
        <v>19</v>
      </c>
      <c r="E932" s="7">
        <v>45912</v>
      </c>
      <c r="F932" s="29" t="s">
        <v>59</v>
      </c>
      <c r="G932">
        <v>2</v>
      </c>
      <c r="H932">
        <v>1559</v>
      </c>
      <c r="I932" s="29" t="s">
        <v>84</v>
      </c>
      <c r="J932">
        <v>3118</v>
      </c>
    </row>
    <row r="933" spans="2:10" x14ac:dyDescent="0.25">
      <c r="B933" s="29" t="s">
        <v>1052</v>
      </c>
      <c r="C933" s="29" t="s">
        <v>13</v>
      </c>
      <c r="D933" s="29" t="s">
        <v>27</v>
      </c>
      <c r="E933" s="7">
        <v>45768</v>
      </c>
      <c r="F933" s="29" t="s">
        <v>59</v>
      </c>
      <c r="G933">
        <v>3</v>
      </c>
      <c r="H933">
        <v>2734</v>
      </c>
      <c r="I933" s="29" t="s">
        <v>1058</v>
      </c>
      <c r="J933">
        <v>8202</v>
      </c>
    </row>
    <row r="934" spans="2:10" x14ac:dyDescent="0.25">
      <c r="B934" s="29" t="s">
        <v>1053</v>
      </c>
      <c r="C934" s="29" t="s">
        <v>17</v>
      </c>
      <c r="D934" s="29" t="s">
        <v>17</v>
      </c>
      <c r="E934" s="7">
        <v>45830</v>
      </c>
      <c r="F934" s="29" t="s">
        <v>59</v>
      </c>
      <c r="G934">
        <v>4</v>
      </c>
      <c r="H934">
        <v>2191</v>
      </c>
      <c r="I934" s="29" t="s">
        <v>1118</v>
      </c>
      <c r="J934">
        <v>8764</v>
      </c>
    </row>
    <row r="935" spans="2:10" x14ac:dyDescent="0.25">
      <c r="B935" s="29" t="s">
        <v>1054</v>
      </c>
      <c r="C935" s="29" t="s">
        <v>15</v>
      </c>
      <c r="D935" s="29" t="s">
        <v>27</v>
      </c>
      <c r="E935" s="7">
        <v>45849</v>
      </c>
      <c r="F935" s="29" t="s">
        <v>59</v>
      </c>
      <c r="G935">
        <v>10</v>
      </c>
      <c r="H935">
        <v>4494</v>
      </c>
      <c r="I935" s="29" t="s">
        <v>1118</v>
      </c>
      <c r="J935">
        <v>44940</v>
      </c>
    </row>
    <row r="936" spans="2:10" x14ac:dyDescent="0.25">
      <c r="B936" s="29" t="s">
        <v>1055</v>
      </c>
      <c r="C936" s="29" t="s">
        <v>12</v>
      </c>
      <c r="D936" s="29" t="s">
        <v>23</v>
      </c>
      <c r="E936" s="7">
        <v>45910</v>
      </c>
      <c r="F936" s="29" t="s">
        <v>59</v>
      </c>
      <c r="G936">
        <v>3</v>
      </c>
      <c r="H936">
        <v>588</v>
      </c>
      <c r="I936" s="29" t="s">
        <v>1058</v>
      </c>
      <c r="J936">
        <v>1764</v>
      </c>
    </row>
    <row r="937" spans="2:10" x14ac:dyDescent="0.25">
      <c r="B937" s="29" t="s">
        <v>1059</v>
      </c>
      <c r="C937" s="29" t="s">
        <v>1056</v>
      </c>
      <c r="D937" s="29" t="s">
        <v>37</v>
      </c>
      <c r="E937" s="7">
        <v>46043</v>
      </c>
      <c r="F937" s="29" t="s">
        <v>59</v>
      </c>
      <c r="G937">
        <v>2</v>
      </c>
      <c r="H937">
        <v>1400</v>
      </c>
      <c r="I937" s="29" t="s">
        <v>84</v>
      </c>
      <c r="J937">
        <v>2800</v>
      </c>
    </row>
    <row r="938" spans="2:10" x14ac:dyDescent="0.25">
      <c r="B938" s="29" t="s">
        <v>1062</v>
      </c>
      <c r="C938" s="29" t="s">
        <v>1060</v>
      </c>
      <c r="D938" s="29" t="s">
        <v>34</v>
      </c>
      <c r="E938" s="7">
        <v>46166</v>
      </c>
      <c r="F938" s="29" t="s">
        <v>58</v>
      </c>
      <c r="G938">
        <v>6</v>
      </c>
      <c r="H938">
        <v>2000</v>
      </c>
      <c r="I938" s="29" t="s">
        <v>84</v>
      </c>
      <c r="J938">
        <v>12000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7B3A-7B4A-44FC-BA08-023F8DB3F8C7}">
  <sheetPr codeName="Hoja7"/>
  <dimension ref="C11:K59"/>
  <sheetViews>
    <sheetView showGridLines="0" topLeftCell="A5" zoomScale="48" zoomScaleNormal="48" workbookViewId="0">
      <selection activeCell="R16" sqref="R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5" x14ac:dyDescent="0.25"/>
  <cols>
    <col min="2" max="2" width="11.42578125" customWidth="1"/>
    <col min="3" max="3" width="41.28515625" customWidth="1"/>
    <col min="4" max="4" width="21.5703125" customWidth="1"/>
    <col min="5" max="5" width="27.5703125" bestFit="1" customWidth="1"/>
    <col min="6" max="6" width="22" bestFit="1" customWidth="1"/>
    <col min="7" max="7" width="18" bestFit="1" customWidth="1"/>
    <col min="8" max="8" width="22.42578125" customWidth="1"/>
    <col min="9" max="9" width="25.28515625" customWidth="1"/>
    <col min="10" max="10" width="14.85546875" customWidth="1"/>
    <col min="18" max="18" width="29.85546875" bestFit="1" customWidth="1"/>
    <col min="19" max="19" width="23.140625" bestFit="1" customWidth="1"/>
  </cols>
  <sheetData>
    <row r="11" spans="3:10" x14ac:dyDescent="0.25">
      <c r="J11" s="7"/>
    </row>
    <row r="15" spans="3:10" ht="26.25" x14ac:dyDescent="0.4">
      <c r="C15" s="18" t="s">
        <v>66</v>
      </c>
      <c r="D15" s="14"/>
    </row>
    <row r="16" spans="3:10" ht="24" x14ac:dyDescent="0.4">
      <c r="H16" s="17"/>
    </row>
    <row r="17" spans="3:11" ht="24" customHeight="1" x14ac:dyDescent="0.45">
      <c r="C17" s="15" t="s">
        <v>108</v>
      </c>
      <c r="H17" s="16" t="s">
        <v>67</v>
      </c>
      <c r="I17" s="32" t="str" cm="1">
        <f t="array" ref="I17:I22">VLOOKUP(CONSULTAS!C17,BASE_LIMPIA[#All],{2;3;4;5;6;7},FALSE)</f>
        <v>Carlos Ramos</v>
      </c>
    </row>
    <row r="18" spans="3:11" ht="22.5" customHeight="1" x14ac:dyDescent="0.35">
      <c r="H18" s="16" t="s">
        <v>68</v>
      </c>
      <c r="I18" s="32" t="str">
        <v>Mouse Logitech</v>
      </c>
    </row>
    <row r="19" spans="3:11" ht="25.5" customHeight="1" x14ac:dyDescent="0.35">
      <c r="H19" s="16" t="s">
        <v>69</v>
      </c>
      <c r="I19" s="33">
        <v>45892</v>
      </c>
    </row>
    <row r="20" spans="3:11" ht="22.5" customHeight="1" x14ac:dyDescent="0.35">
      <c r="H20" s="16" t="s">
        <v>70</v>
      </c>
      <c r="I20" s="32" t="str">
        <v>Cancelado</v>
      </c>
    </row>
    <row r="21" spans="3:11" ht="22.5" customHeight="1" x14ac:dyDescent="0.35">
      <c r="H21" s="16" t="s">
        <v>73</v>
      </c>
      <c r="I21" s="32">
        <v>9</v>
      </c>
    </row>
    <row r="22" spans="3:11" ht="26.25" customHeight="1" x14ac:dyDescent="0.35">
      <c r="H22" s="16" t="s">
        <v>71</v>
      </c>
      <c r="I22" s="34">
        <v>502</v>
      </c>
    </row>
    <row r="23" spans="3:11" ht="21" x14ac:dyDescent="0.35">
      <c r="H23" s="19" t="s">
        <v>72</v>
      </c>
      <c r="I23" s="20">
        <f>(I21*I22)</f>
        <v>4518</v>
      </c>
    </row>
    <row r="27" spans="3:11" x14ac:dyDescent="0.25">
      <c r="E27" s="39" t="s">
        <v>5</v>
      </c>
      <c r="F27" s="2" t="s">
        <v>1121</v>
      </c>
      <c r="G27" s="2" t="s">
        <v>1122</v>
      </c>
      <c r="H27" s="37"/>
      <c r="I27" s="44" t="s">
        <v>1123</v>
      </c>
      <c r="J27" s="44"/>
      <c r="K27" s="44"/>
    </row>
    <row r="28" spans="3:11" x14ac:dyDescent="0.25">
      <c r="E28" s="8" t="s">
        <v>88</v>
      </c>
      <c r="F28" s="38">
        <v>279164</v>
      </c>
      <c r="G28" s="41">
        <v>2.2141196565578117E-2</v>
      </c>
      <c r="H28" s="37"/>
      <c r="I28" s="30" t="s">
        <v>0</v>
      </c>
      <c r="J28" s="31" t="s">
        <v>3</v>
      </c>
      <c r="K28" s="31" t="s">
        <v>4</v>
      </c>
    </row>
    <row r="29" spans="3:11" ht="23.25" customHeight="1" x14ac:dyDescent="0.45">
      <c r="C29" s="42">
        <f>COUNTA(BASE_LIMPIA[ID Registro])</f>
        <v>932</v>
      </c>
      <c r="E29" s="8" t="s">
        <v>34</v>
      </c>
      <c r="F29" s="38">
        <v>12000</v>
      </c>
      <c r="G29" s="40">
        <v>9.5175007804350635E-4</v>
      </c>
      <c r="H29" s="37"/>
      <c r="I29" t="str" cm="1">
        <f t="array" ref="I29:K59">_xlfn.CHOOSECOLS(_xlfn._xlws.FILTER(BASE_LIMPIA[],BASE_LIMPIA[Estado]="Completado"),1,4,5)</f>
        <v>ID-901</v>
      </c>
      <c r="J29" s="7">
        <v>45981</v>
      </c>
      <c r="K29" t="str">
        <v>Completado</v>
      </c>
    </row>
    <row r="30" spans="3:11" x14ac:dyDescent="0.25">
      <c r="E30" s="8" t="s">
        <v>23</v>
      </c>
      <c r="F30" s="38">
        <v>1590103</v>
      </c>
      <c r="G30" s="41">
        <v>0.12611505452893448</v>
      </c>
      <c r="H30" s="37"/>
      <c r="I30" t="str">
        <v>ID-902</v>
      </c>
      <c r="J30" s="7">
        <v>45701</v>
      </c>
      <c r="K30" t="str">
        <v>Completado</v>
      </c>
    </row>
    <row r="31" spans="3:11" x14ac:dyDescent="0.25">
      <c r="E31" s="8" t="s">
        <v>19</v>
      </c>
      <c r="F31" s="38">
        <v>1454918</v>
      </c>
      <c r="G31" s="41">
        <v>0.11539319333724185</v>
      </c>
      <c r="H31" s="37"/>
      <c r="I31" t="str">
        <v>ID-903</v>
      </c>
      <c r="J31" s="7">
        <v>45666</v>
      </c>
      <c r="K31" t="str">
        <v>Completado</v>
      </c>
    </row>
    <row r="32" spans="3:11" x14ac:dyDescent="0.25">
      <c r="E32" s="8" t="s">
        <v>14</v>
      </c>
      <c r="F32" s="38">
        <v>1544865</v>
      </c>
      <c r="G32" s="41">
        <v>0.12252711535972347</v>
      </c>
      <c r="H32" s="37"/>
      <c r="I32" t="str">
        <v>ID-904</v>
      </c>
      <c r="J32" s="7">
        <v>45677</v>
      </c>
      <c r="K32" t="str">
        <v>Completado</v>
      </c>
    </row>
    <row r="33" spans="3:11" x14ac:dyDescent="0.25">
      <c r="E33" s="8" t="s">
        <v>83</v>
      </c>
      <c r="F33" s="38">
        <v>185116</v>
      </c>
      <c r="G33" s="41">
        <v>1.4682013953925144E-2</v>
      </c>
      <c r="H33" s="37"/>
      <c r="I33" t="str">
        <v>ID-905</v>
      </c>
      <c r="J33" s="7">
        <v>45980</v>
      </c>
      <c r="K33" t="str">
        <v>Completado</v>
      </c>
    </row>
    <row r="34" spans="3:11" x14ac:dyDescent="0.25">
      <c r="E34" s="8" t="s">
        <v>80</v>
      </c>
      <c r="F34" s="38">
        <v>190004</v>
      </c>
      <c r="G34" s="41">
        <v>1.5069693485714866E-2</v>
      </c>
      <c r="H34" s="37"/>
      <c r="I34" t="str">
        <v>ID-906</v>
      </c>
      <c r="J34" s="7">
        <v>45780</v>
      </c>
      <c r="K34" t="str">
        <v>Completado</v>
      </c>
    </row>
    <row r="35" spans="3:11" x14ac:dyDescent="0.25">
      <c r="C35" t="str" cm="1">
        <f t="array" ref="C35:C48">_xlfn.UNIQUE(BASE_LIMPIA[Producto])</f>
        <v>Monitor Samsung</v>
      </c>
      <c r="E35" s="8" t="s">
        <v>27</v>
      </c>
      <c r="F35" s="38">
        <v>1241065</v>
      </c>
      <c r="G35" s="41">
        <v>9.8431975883922024E-2</v>
      </c>
      <c r="H35" s="37"/>
      <c r="I35" t="str">
        <v>ID-907</v>
      </c>
      <c r="J35" s="7">
        <v>45667</v>
      </c>
      <c r="K35" t="str">
        <v>Completado</v>
      </c>
    </row>
    <row r="36" spans="3:11" x14ac:dyDescent="0.25">
      <c r="C36" t="str">
        <v>Mouse Logitech</v>
      </c>
      <c r="E36" s="8" t="s">
        <v>37</v>
      </c>
      <c r="F36" s="38">
        <v>2800</v>
      </c>
      <c r="G36" s="40">
        <v>2.220750182101515E-4</v>
      </c>
      <c r="H36" s="37"/>
      <c r="I36" t="str">
        <v>ID-908</v>
      </c>
      <c r="J36" s="7">
        <v>45737</v>
      </c>
      <c r="K36" t="str">
        <v>Completado</v>
      </c>
    </row>
    <row r="37" spans="3:11" x14ac:dyDescent="0.25">
      <c r="C37" t="str">
        <v>Teclado HyperX</v>
      </c>
      <c r="E37" s="8" t="s">
        <v>21</v>
      </c>
      <c r="F37" s="38">
        <v>2835561</v>
      </c>
      <c r="G37" s="41">
        <v>0.22489545025392693</v>
      </c>
      <c r="H37" s="37"/>
      <c r="I37" t="str">
        <v>ID-909</v>
      </c>
      <c r="J37" s="7">
        <v>45932</v>
      </c>
      <c r="K37" t="str">
        <v>Completado</v>
      </c>
    </row>
    <row r="38" spans="3:11" x14ac:dyDescent="0.25">
      <c r="C38" t="str">
        <v>Tablet Samsung</v>
      </c>
      <c r="E38" s="8" t="s">
        <v>78</v>
      </c>
      <c r="F38" s="38">
        <v>343739</v>
      </c>
      <c r="G38" s="41">
        <v>2.7262801673049737E-2</v>
      </c>
      <c r="H38" s="37"/>
      <c r="I38" t="str">
        <v>ID-910</v>
      </c>
      <c r="J38" s="7">
        <v>45901</v>
      </c>
      <c r="K38" t="str">
        <v>Completado</v>
      </c>
    </row>
    <row r="39" spans="3:11" x14ac:dyDescent="0.25">
      <c r="C39" t="str">
        <v>Impresora Epson</v>
      </c>
      <c r="E39" s="8" t="s">
        <v>75</v>
      </c>
      <c r="F39" s="38">
        <v>209180</v>
      </c>
      <c r="G39" s="41">
        <v>1.6590590110428387E-2</v>
      </c>
      <c r="H39" s="37"/>
      <c r="I39" t="str">
        <v>ID-911</v>
      </c>
      <c r="J39" s="7">
        <v>45801</v>
      </c>
      <c r="K39" t="str">
        <v>Completado</v>
      </c>
    </row>
    <row r="40" spans="3:11" x14ac:dyDescent="0.25">
      <c r="C40" t="str">
        <v>Memoria USB 64GB</v>
      </c>
      <c r="E40" s="8" t="s">
        <v>11</v>
      </c>
      <c r="F40" s="38">
        <v>1442143</v>
      </c>
      <c r="G40" s="41">
        <v>0.11437997606665803</v>
      </c>
      <c r="H40" s="37"/>
      <c r="I40" t="str">
        <v>ID-912</v>
      </c>
      <c r="J40" s="7">
        <v>45733</v>
      </c>
      <c r="K40" t="str">
        <v>Completado</v>
      </c>
    </row>
    <row r="41" spans="3:11" x14ac:dyDescent="0.25">
      <c r="C41" t="str">
        <v>Webcam Logitech C920</v>
      </c>
      <c r="E41" s="8" t="s">
        <v>17</v>
      </c>
      <c r="F41" s="38">
        <v>1277694</v>
      </c>
      <c r="G41" s="41">
        <v>0.10133711368464332</v>
      </c>
      <c r="H41" s="37"/>
      <c r="I41" t="str">
        <v>ID-913</v>
      </c>
      <c r="J41" s="7">
        <v>45773</v>
      </c>
      <c r="K41" t="str">
        <v>Completado</v>
      </c>
    </row>
    <row r="42" spans="3:11" x14ac:dyDescent="0.25">
      <c r="C42" t="str">
        <v>Monitor LG UltraWide</v>
      </c>
      <c r="E42" s="8" t="s">
        <v>1120</v>
      </c>
      <c r="F42" s="38">
        <v>12608352</v>
      </c>
      <c r="G42" s="40">
        <v>1</v>
      </c>
      <c r="H42" s="37"/>
      <c r="I42" t="str">
        <v>ID-914</v>
      </c>
      <c r="J42" s="7">
        <v>45847</v>
      </c>
      <c r="K42" t="str">
        <v>Completado</v>
      </c>
    </row>
    <row r="43" spans="3:11" x14ac:dyDescent="0.25">
      <c r="C43" t="str">
        <v>SSD Kingston 480GB</v>
      </c>
      <c r="E43" s="37"/>
      <c r="F43" s="37"/>
      <c r="G43" s="37"/>
      <c r="H43" s="37"/>
      <c r="I43" t="str">
        <v>ID-915</v>
      </c>
      <c r="J43" s="7">
        <v>45860</v>
      </c>
      <c r="K43" t="str">
        <v>Completado</v>
      </c>
    </row>
    <row r="44" spans="3:11" x14ac:dyDescent="0.25">
      <c r="C44" t="str">
        <v>Teclado Mecánico Redragon</v>
      </c>
      <c r="E44" s="37"/>
      <c r="F44" s="37"/>
      <c r="G44" s="37"/>
      <c r="H44" s="37"/>
      <c r="I44" t="str">
        <v>ID-916</v>
      </c>
      <c r="J44" s="7">
        <v>45908</v>
      </c>
      <c r="K44" t="str">
        <v>Completado</v>
      </c>
    </row>
    <row r="45" spans="3:11" x14ac:dyDescent="0.25">
      <c r="C45" t="str">
        <v>Parlante JBL Go 3</v>
      </c>
      <c r="E45" s="37"/>
      <c r="F45" s="37"/>
      <c r="G45" s="37"/>
      <c r="H45" s="37"/>
      <c r="I45" t="str">
        <v>ID-917</v>
      </c>
      <c r="J45" s="7">
        <v>45695</v>
      </c>
      <c r="K45" t="str">
        <v>Completado</v>
      </c>
    </row>
    <row r="46" spans="3:11" x14ac:dyDescent="0.25">
      <c r="C46" t="str">
        <v>Memoria RAM 8GB</v>
      </c>
      <c r="E46" s="37"/>
      <c r="F46" s="37"/>
      <c r="G46" s="37"/>
      <c r="H46" s="37"/>
      <c r="I46" t="str">
        <v>ID-918</v>
      </c>
      <c r="J46" s="7">
        <v>45956</v>
      </c>
      <c r="K46" t="str">
        <v>Completado</v>
      </c>
    </row>
    <row r="47" spans="3:11" x14ac:dyDescent="0.25">
      <c r="C47" t="str">
        <v>Smartphone iPhone 13</v>
      </c>
      <c r="E47" s="37"/>
      <c r="F47" s="37"/>
      <c r="G47" s="37"/>
      <c r="H47" s="37"/>
      <c r="I47" t="str">
        <v>ID-919</v>
      </c>
      <c r="J47" s="7">
        <v>45754</v>
      </c>
      <c r="K47" t="str">
        <v>Completado</v>
      </c>
    </row>
    <row r="48" spans="3:11" ht="21" x14ac:dyDescent="0.35">
      <c r="C48" t="str">
        <v>iPad 10th Gen</v>
      </c>
      <c r="E48" s="37"/>
      <c r="F48" s="43">
        <f>SUM(BASE_LIMPIA[Total_Final])</f>
        <v>12608352</v>
      </c>
      <c r="G48" s="37"/>
      <c r="H48" s="37"/>
      <c r="I48" t="str">
        <v>ID-920</v>
      </c>
      <c r="J48" s="7">
        <v>45772</v>
      </c>
      <c r="K48" t="str">
        <v>Completado</v>
      </c>
    </row>
    <row r="49" spans="3:11" x14ac:dyDescent="0.25">
      <c r="E49" s="37"/>
      <c r="F49" s="37"/>
      <c r="G49" s="37"/>
      <c r="H49" s="37"/>
      <c r="I49" t="str">
        <v>ID-921</v>
      </c>
      <c r="J49" s="7">
        <v>45932</v>
      </c>
      <c r="K49" t="str">
        <v>Completado</v>
      </c>
    </row>
    <row r="50" spans="3:11" x14ac:dyDescent="0.25">
      <c r="C50" s="36" t="s">
        <v>1119</v>
      </c>
      <c r="E50" s="37"/>
      <c r="F50" s="37"/>
      <c r="G50" s="37"/>
      <c r="H50" s="37"/>
      <c r="I50" t="str">
        <v>ID-922</v>
      </c>
      <c r="J50" s="7">
        <v>46018</v>
      </c>
      <c r="K50" t="str">
        <v>Completado</v>
      </c>
    </row>
    <row r="51" spans="3:11" ht="24" x14ac:dyDescent="0.4">
      <c r="C51" s="35">
        <f>COUNTA(_xlfn.UNIQUE(BASE_LIMPIA[Producto]))</f>
        <v>14</v>
      </c>
      <c r="E51" s="37"/>
      <c r="F51" s="37"/>
      <c r="G51" s="37"/>
      <c r="H51" s="37"/>
      <c r="I51" t="str">
        <v>ID-923</v>
      </c>
      <c r="J51" s="7">
        <v>45783</v>
      </c>
      <c r="K51" t="str">
        <v>Completado</v>
      </c>
    </row>
    <row r="52" spans="3:11" x14ac:dyDescent="0.25">
      <c r="I52" t="str">
        <v>ID-924</v>
      </c>
      <c r="J52" s="7">
        <v>45910</v>
      </c>
      <c r="K52" t="str">
        <v>Completado</v>
      </c>
    </row>
    <row r="53" spans="3:11" x14ac:dyDescent="0.25">
      <c r="I53" t="str">
        <v>ID-925</v>
      </c>
      <c r="J53" s="7">
        <v>45669</v>
      </c>
      <c r="K53" t="str">
        <v>Completado</v>
      </c>
    </row>
    <row r="54" spans="3:11" x14ac:dyDescent="0.25">
      <c r="I54" t="str">
        <v>ID-926</v>
      </c>
      <c r="J54" s="7">
        <v>45912</v>
      </c>
      <c r="K54" t="str">
        <v>Completado</v>
      </c>
    </row>
    <row r="55" spans="3:11" x14ac:dyDescent="0.25">
      <c r="I55" t="str">
        <v>ID-927</v>
      </c>
      <c r="J55" s="7">
        <v>45768</v>
      </c>
      <c r="K55" t="str">
        <v>Completado</v>
      </c>
    </row>
    <row r="56" spans="3:11" x14ac:dyDescent="0.25">
      <c r="I56" t="str">
        <v>ID-928</v>
      </c>
      <c r="J56" s="7">
        <v>45830</v>
      </c>
      <c r="K56" t="str">
        <v>Completado</v>
      </c>
    </row>
    <row r="57" spans="3:11" x14ac:dyDescent="0.25">
      <c r="I57" t="str">
        <v>ID-929</v>
      </c>
      <c r="J57" s="7">
        <v>45849</v>
      </c>
      <c r="K57" t="str">
        <v>Completado</v>
      </c>
    </row>
    <row r="58" spans="3:11" x14ac:dyDescent="0.25">
      <c r="I58" t="str">
        <v>ID-930</v>
      </c>
      <c r="J58" s="7">
        <v>45910</v>
      </c>
      <c r="K58" t="str">
        <v>Completado</v>
      </c>
    </row>
    <row r="59" spans="3:11" x14ac:dyDescent="0.25">
      <c r="I59" t="str">
        <v>ID-0975</v>
      </c>
      <c r="J59" s="7">
        <v>46043</v>
      </c>
      <c r="K59" t="str">
        <v>Completado</v>
      </c>
    </row>
  </sheetData>
  <mergeCells count="1">
    <mergeCell ref="I27:K27"/>
  </mergeCell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1EA02D-37E7-4C7A-93A8-84ED00F015D3}">
          <x14:formula1>
            <xm:f>'BASE _LIMPIA'!$B$7:$B$938</xm:f>
          </x14:formula1>
          <xm:sqref>C17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A4F0AE-E978-4DB3-8F1A-3955E8E69D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VALIDACION</vt:lpstr>
      <vt:lpstr>INICIO</vt:lpstr>
      <vt:lpstr>FORMULARIO</vt:lpstr>
      <vt:lpstr>PRUEBA</vt:lpstr>
      <vt:lpstr>BASE_DATOS</vt:lpstr>
      <vt:lpstr>OBSERVACIONES</vt:lpstr>
      <vt:lpstr>OBSERVAR</vt:lpstr>
      <vt:lpstr>BASE _LIMPIA</vt:lpstr>
      <vt:lpstr>CONSULTAS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NAOMI MELANI AYOVI CHALA</dc:creator>
  <cp:lastModifiedBy>NAOMI MELANI AYOVI CHALA</cp:lastModifiedBy>
  <dcterms:created xsi:type="dcterms:W3CDTF">2026-05-22T16:14:15Z</dcterms:created>
  <dcterms:modified xsi:type="dcterms:W3CDTF">2026-05-24T21:31:32Z</dcterms:modified>
</cp:coreProperties>
</file>